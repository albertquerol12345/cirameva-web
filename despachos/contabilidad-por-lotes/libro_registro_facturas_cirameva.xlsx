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itidas" sheetId="2" state="visible" r:id="rId2"/>
    <sheet xmlns:r="http://schemas.openxmlformats.org/officeDocument/2006/relationships" name="Recibidas" sheetId="3" state="visible" r:id="rId3"/>
    <sheet xmlns:r="http://schemas.openxmlformats.org/officeDocument/2006/relationships" name="Resumen 303" sheetId="4" state="visible" r:id="rId4"/>
    <sheet xmlns:r="http://schemas.openxmlformats.org/officeDocument/2006/relationships" name="Concili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Libro registro de facturas con comprobaciones · CIRAMEVA Despachos (gratis; cirameva.com/despachos/contabilidad-por-lotes/)</t>
        </is>
      </c>
    </row>
    <row r="2">
      <c r="A2" t="inlineStr"/>
    </row>
    <row r="3">
      <c r="A3" t="inlineStr">
        <is>
          <t>1. Rellena solo las celdas amarillas de «Emitidas» y «Recibidas»: fecha, número, nombre, NIF, bases por tipo de IVA, retención y el total que pone la factura.</t>
        </is>
      </c>
    </row>
    <row r="4">
      <c r="A4" t="inlineStr">
        <is>
          <t>2. La hoja calcula las cuotas, el total y te avisa en verde/rojo: ¿Cuadra? (total de la factura frente al calculado, margen 2 céntimos), ¿NIF válido? (letra del DNI/NIE y dígito de control del CIF) y ¿Duplicada? (mismo número y NIF).</t>
        </is>
      </c>
    </row>
    <row r="5">
      <c r="A5" t="inlineStr">
        <is>
          <t>3. «Resumen 303» suma por trimestre el IVA devengado y el soportado. Es orientativo: no incluye prorrata, inversión del sujeto pasivo, bienes de inversión, recargo de equivalencia ni operaciones intracomunitarias. Revísalo con tu asesoría antes de presentar.</t>
        </is>
      </c>
    </row>
    <row r="6">
      <c r="A6" t="inlineStr">
        <is>
          <t>4. «Conciliación» compara el saldo del banco con el de tu contabilidad y lista las partidas pendientes.</t>
        </is>
      </c>
    </row>
    <row r="7">
      <c r="A7" t="inlineStr"/>
    </row>
    <row r="8">
      <c r="A8" t="inlineStr">
        <is>
          <t>Las filas de ejemplo (datos inventados) se pueden borrar. ¿Muchas facturas? Te las registramos y conciliamos por lotes en 48 h: 0,30 € por factura; el primer lote de 50, gratis.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9" customWidth="1" min="18" max="18"/>
    <col width="10" customWidth="1" min="19" max="19"/>
  </cols>
  <sheetData>
    <row r="1">
      <c r="A1" s="1" t="inlineStr">
        <is>
          <t>Fecha</t>
        </is>
      </c>
      <c r="B1" s="1" t="inlineStr">
        <is>
          <t>N.º factura</t>
        </is>
      </c>
      <c r="C1" s="1" t="inlineStr">
        <is>
          <t>Cliente</t>
        </is>
      </c>
      <c r="D1" s="1" t="inlineStr">
        <is>
          <t>NIF</t>
        </is>
      </c>
      <c r="E1" s="1" t="inlineStr">
        <is>
          <t>Base 21 %</t>
        </is>
      </c>
      <c r="F1" s="1" t="inlineStr">
        <is>
          <t>Base 10 %</t>
        </is>
      </c>
      <c r="G1" s="1" t="inlineStr">
        <is>
          <t>Base 4 %</t>
        </is>
      </c>
      <c r="H1" s="1" t="inlineStr">
        <is>
          <t>Base exenta o 0 %</t>
        </is>
      </c>
      <c r="I1" s="1" t="inlineStr">
        <is>
          <t>Cuota 21 %</t>
        </is>
      </c>
      <c r="J1" s="1" t="inlineStr">
        <is>
          <t>Cuota 10 %</t>
        </is>
      </c>
      <c r="K1" s="1" t="inlineStr">
        <is>
          <t>Cuota 4 %</t>
        </is>
      </c>
      <c r="L1" s="1" t="inlineStr">
        <is>
          <t>Retención IRPF</t>
        </is>
      </c>
      <c r="M1" s="1" t="inlineStr">
        <is>
          <t>Total en la factura</t>
        </is>
      </c>
      <c r="N1" s="1" t="inlineStr">
        <is>
          <t>Total calculado</t>
        </is>
      </c>
      <c r="O1" s="1" t="inlineStr">
        <is>
          <t>¿Cuadra?</t>
        </is>
      </c>
      <c r="P1" s="1" t="inlineStr">
        <is>
          <t>¿NIF válido?</t>
        </is>
      </c>
      <c r="Q1" s="1" t="inlineStr">
        <is>
          <t>¿Duplicada?</t>
        </is>
      </c>
      <c r="R1" s="1" t="inlineStr">
        <is>
          <t>Trimestre</t>
        </is>
      </c>
      <c r="S1" s="1" t="inlineStr">
        <is>
          <t>Cuenta PGC</t>
        </is>
      </c>
    </row>
    <row r="2">
      <c r="A2" s="2" t="n">
        <v>46206</v>
      </c>
      <c r="B2" s="3" t="inlineStr">
        <is>
          <t>2026-041</t>
        </is>
      </c>
      <c r="C2" s="3" t="inlineStr">
        <is>
          <t>Cliente Ejemplo, S.L.</t>
        </is>
      </c>
      <c r="D2" s="3" t="inlineStr">
        <is>
          <t>B12345674</t>
        </is>
      </c>
      <c r="E2" s="4" t="n">
        <v>1200</v>
      </c>
      <c r="F2" s="4" t="n"/>
      <c r="G2" s="4" t="n"/>
      <c r="H2" s="4" t="n"/>
      <c r="I2" s="5">
        <f>IF(E2="","",ROUND(E2*0.21,2))</f>
        <v/>
      </c>
      <c r="J2" s="5">
        <f>IF(F2="","",ROUND(F2*0.1,2))</f>
        <v/>
      </c>
      <c r="K2" s="5">
        <f>IF(G2="","",ROUND(G2*0.04,2))</f>
        <v/>
      </c>
      <c r="L2" s="4" t="n">
        <v>180</v>
      </c>
      <c r="M2" s="4" t="n">
        <v>1272</v>
      </c>
      <c r="N2" s="5">
        <f>IF(A2="","",SUM(E2:K2)-N(L2))</f>
        <v/>
      </c>
      <c r="O2">
        <f>IF(OR(A2="",M2=""),"",IF(ABS(M2-N2)&lt;=0.02,"OK","REVISAR"))</f>
        <v/>
      </c>
      <c r="P2">
        <f>IF(D2="","",IF(LEN(TRIM(D2))&lt;&gt;9,"REVISAR",IFERROR(IF(OR(ISNUMBER(VALUE(LEFT(UPPER(TRIM(D2)),1))),LEFT(UPPER(TRIM(D2)),1)="X",LEFT(UPPER(TRIM(D2)),1)="Y",LEFT(UPPER(TRIM(D2)),1)="Z"),IF(MID("TRWAGMYFPDXBNJZSQVHLCKE",MOD(VALUE(SUBSTITUTE(SUBSTITUTE(SUBSTITUTE(LEFT(UPPER(TRIM(D2)),8),"X","0"),"Y","1"),"Z","2")),23)+1,1)=RIGHT(UPPER(TRIM(D2)),1),"OK","REVISAR"),IF(OR(RIGHT(UPPER(TRIM(D2)),1)=TEXT(MOD(10-MOD((VALUE(MID(UPPER(TRIM(D2)),3,1))+VALUE(MID(UPPER(TRIM(D2)),5,1))+VALUE(MID(UPPER(TRIM(D2)),7,1)))+(INT(2*VALUE(MID(UPPER(TRIM(D2)),2,1))/10)+MOD(2*VALUE(MID(UPPER(TRIM(D2)),2,1)),10))+(INT(2*VALUE(MID(UPPER(TRIM(D2)),4,1))/10)+MOD(2*VALUE(MID(UPPER(TRIM(D2)),4,1)),10))+(INT(2*VALUE(MID(UPPER(TRIM(D2)),6,1))/10)+MOD(2*VALUE(MID(UPPER(TRIM(D2)),6,1)),10))+(INT(2*VALUE(MID(UPPER(TRIM(D2)),8,1))/10)+MOD(2*VALUE(MID(UPPER(TRIM(D2)),8,1)),10)),10),10),"0"),RIGHT(UPPER(TRIM(D2)),1)=MID("JABCDEFGHI",MOD(10-MOD((VALUE(MID(UPPER(TRIM(D2)),3,1))+VALUE(MID(UPPER(TRIM(D2)),5,1))+VALUE(MID(UPPER(TRIM(D2)),7,1)))+(INT(2*VALUE(MID(UPPER(TRIM(D2)),2,1))/10)+MOD(2*VALUE(MID(UPPER(TRIM(D2)),2,1)),10))+(INT(2*VALUE(MID(UPPER(TRIM(D2)),4,1))/10)+MOD(2*VALUE(MID(UPPER(TRIM(D2)),4,1)),10))+(INT(2*VALUE(MID(UPPER(TRIM(D2)),6,1))/10)+MOD(2*VALUE(MID(UPPER(TRIM(D2)),6,1)),10))+(INT(2*VALUE(MID(UPPER(TRIM(D2)),8,1))/10)+MOD(2*VALUE(MID(UPPER(TRIM(D2)),8,1)),10)),10),10)+1,1)),"OK","REVISAR")),"REVISAR")))</f>
        <v/>
      </c>
      <c r="Q2">
        <f>IF(B2="","",IF(COUNTIFS($B$2:$B$501,B2,$D$2:$D$501,D2)&gt;1,"DUPLICADA",""))</f>
        <v/>
      </c>
      <c r="R2">
        <f>IF(A2="","",ROUNDUP(MONTH(A2)/3,0))</f>
        <v/>
      </c>
      <c r="S2" s="3" t="inlineStr">
        <is>
          <t>705</t>
        </is>
      </c>
    </row>
    <row r="3">
      <c r="A3" s="2" t="n">
        <v>46254</v>
      </c>
      <c r="B3" s="3" t="inlineStr">
        <is>
          <t>2026-042</t>
        </is>
      </c>
      <c r="C3" s="3" t="inlineStr">
        <is>
          <t>Cliente Ejemplo, S.L.</t>
        </is>
      </c>
      <c r="D3" s="3" t="inlineStr">
        <is>
          <t>B12345674</t>
        </is>
      </c>
      <c r="E3" s="4" t="n">
        <v>800</v>
      </c>
      <c r="F3" s="4" t="n"/>
      <c r="G3" s="4" t="n"/>
      <c r="H3" s="4" t="n"/>
      <c r="I3" s="5">
        <f>IF(E3="","",ROUND(E3*0.21,2))</f>
        <v/>
      </c>
      <c r="J3" s="5">
        <f>IF(F3="","",ROUND(F3*0.1,2))</f>
        <v/>
      </c>
      <c r="K3" s="5">
        <f>IF(G3="","",ROUND(G3*0.04,2))</f>
        <v/>
      </c>
      <c r="L3" s="4" t="n"/>
      <c r="M3" s="4" t="n">
        <v>968</v>
      </c>
      <c r="N3" s="5">
        <f>IF(A3="","",SUM(E3:K3)-N(L3))</f>
        <v/>
      </c>
      <c r="O3">
        <f>IF(OR(A3="",M3=""),"",IF(ABS(M3-N3)&lt;=0.02,"OK","REVISAR"))</f>
        <v/>
      </c>
      <c r="P3">
        <f>IF(D3="","",IF(LEN(TRIM(D3))&lt;&gt;9,"REVISAR",IFERROR(IF(OR(ISNUMBER(VALUE(LEFT(UPPER(TRIM(D3)),1))),LEFT(UPPER(TRIM(D3)),1)="X",LEFT(UPPER(TRIM(D3)),1)="Y",LEFT(UPPER(TRIM(D3)),1)="Z"),IF(MID("TRWAGMYFPDXBNJZSQVHLCKE",MOD(VALUE(SUBSTITUTE(SUBSTITUTE(SUBSTITUTE(LEFT(UPPER(TRIM(D3)),8),"X","0"),"Y","1"),"Z","2")),23)+1,1)=RIGHT(UPPER(TRIM(D3)),1),"OK","REVISAR"),IF(OR(RIGHT(UPPER(TRIM(D3)),1)=TEXT(MOD(10-MOD((VALUE(MID(UPPER(TRIM(D3)),3,1))+VALUE(MID(UPPER(TRIM(D3)),5,1))+VALUE(MID(UPPER(TRIM(D3)),7,1)))+(INT(2*VALUE(MID(UPPER(TRIM(D3)),2,1))/10)+MOD(2*VALUE(MID(UPPER(TRIM(D3)),2,1)),10))+(INT(2*VALUE(MID(UPPER(TRIM(D3)),4,1))/10)+MOD(2*VALUE(MID(UPPER(TRIM(D3)),4,1)),10))+(INT(2*VALUE(MID(UPPER(TRIM(D3)),6,1))/10)+MOD(2*VALUE(MID(UPPER(TRIM(D3)),6,1)),10))+(INT(2*VALUE(MID(UPPER(TRIM(D3)),8,1))/10)+MOD(2*VALUE(MID(UPPER(TRIM(D3)),8,1)),10)),10),10),"0"),RIGHT(UPPER(TRIM(D3)),1)=MID("JABCDEFGHI",MOD(10-MOD((VALUE(MID(UPPER(TRIM(D3)),3,1))+VALUE(MID(UPPER(TRIM(D3)),5,1))+VALUE(MID(UPPER(TRIM(D3)),7,1)))+(INT(2*VALUE(MID(UPPER(TRIM(D3)),2,1))/10)+MOD(2*VALUE(MID(UPPER(TRIM(D3)),2,1)),10))+(INT(2*VALUE(MID(UPPER(TRIM(D3)),4,1))/10)+MOD(2*VALUE(MID(UPPER(TRIM(D3)),4,1)),10))+(INT(2*VALUE(MID(UPPER(TRIM(D3)),6,1))/10)+MOD(2*VALUE(MID(UPPER(TRIM(D3)),6,1)),10))+(INT(2*VALUE(MID(UPPER(TRIM(D3)),8,1))/10)+MOD(2*VALUE(MID(UPPER(TRIM(D3)),8,1)),10)),10),10)+1,1)),"OK","REVISAR")),"REVISAR")))</f>
        <v/>
      </c>
      <c r="Q3">
        <f>IF(B3="","",IF(COUNTIFS($B$2:$B$501,B3,$D$2:$D$501,D3)&gt;1,"DUPLICADA",""))</f>
        <v/>
      </c>
      <c r="R3">
        <f>IF(A3="","",ROUNDUP(MONTH(A3)/3,0))</f>
        <v/>
      </c>
      <c r="S3" s="3" t="inlineStr">
        <is>
          <t>705</t>
        </is>
      </c>
    </row>
    <row r="4">
      <c r="A4" s="2" t="n">
        <v>46295</v>
      </c>
      <c r="B4" s="3" t="inlineStr">
        <is>
          <t>2026-043</t>
        </is>
      </c>
      <c r="C4" s="3" t="inlineStr">
        <is>
          <t>Juan Ejemplo Pérez</t>
        </is>
      </c>
      <c r="D4" s="3" t="inlineStr">
        <is>
          <t>12345678Z</t>
        </is>
      </c>
      <c r="E4" s="4" t="n">
        <v>300</v>
      </c>
      <c r="F4" s="4" t="n"/>
      <c r="G4" s="4" t="n"/>
      <c r="H4" s="4" t="n"/>
      <c r="I4" s="5">
        <f>IF(E4="","",ROUND(E4*0.21,2))</f>
        <v/>
      </c>
      <c r="J4" s="5">
        <f>IF(F4="","",ROUND(F4*0.1,2))</f>
        <v/>
      </c>
      <c r="K4" s="5">
        <f>IF(G4="","",ROUND(G4*0.04,2))</f>
        <v/>
      </c>
      <c r="L4" s="4" t="n"/>
      <c r="M4" s="4" t="n">
        <v>363</v>
      </c>
      <c r="N4" s="5">
        <f>IF(A4="","",SUM(E4:K4)-N(L4))</f>
        <v/>
      </c>
      <c r="O4">
        <f>IF(OR(A4="",M4=""),"",IF(ABS(M4-N4)&lt;=0.02,"OK","REVISAR"))</f>
        <v/>
      </c>
      <c r="P4">
        <f>IF(D4="","",IF(LEN(TRIM(D4))&lt;&gt;9,"REVISAR",IFERROR(IF(OR(ISNUMBER(VALUE(LEFT(UPPER(TRIM(D4)),1))),LEFT(UPPER(TRIM(D4)),1)="X",LEFT(UPPER(TRIM(D4)),1)="Y",LEFT(UPPER(TRIM(D4)),1)="Z"),IF(MID("TRWAGMYFPDXBNJZSQVHLCKE",MOD(VALUE(SUBSTITUTE(SUBSTITUTE(SUBSTITUTE(LEFT(UPPER(TRIM(D4)),8),"X","0"),"Y","1"),"Z","2")),23)+1,1)=RIGHT(UPPER(TRIM(D4)),1),"OK","REVISAR"),IF(OR(RIGHT(UPPER(TRIM(D4)),1)=TEXT(MOD(10-MOD((VALUE(MID(UPPER(TRIM(D4)),3,1))+VALUE(MID(UPPER(TRIM(D4)),5,1))+VALUE(MID(UPPER(TRIM(D4)),7,1)))+(INT(2*VALUE(MID(UPPER(TRIM(D4)),2,1))/10)+MOD(2*VALUE(MID(UPPER(TRIM(D4)),2,1)),10))+(INT(2*VALUE(MID(UPPER(TRIM(D4)),4,1))/10)+MOD(2*VALUE(MID(UPPER(TRIM(D4)),4,1)),10))+(INT(2*VALUE(MID(UPPER(TRIM(D4)),6,1))/10)+MOD(2*VALUE(MID(UPPER(TRIM(D4)),6,1)),10))+(INT(2*VALUE(MID(UPPER(TRIM(D4)),8,1))/10)+MOD(2*VALUE(MID(UPPER(TRIM(D4)),8,1)),10)),10),10),"0"),RIGHT(UPPER(TRIM(D4)),1)=MID("JABCDEFGHI",MOD(10-MOD((VALUE(MID(UPPER(TRIM(D4)),3,1))+VALUE(MID(UPPER(TRIM(D4)),5,1))+VALUE(MID(UPPER(TRIM(D4)),7,1)))+(INT(2*VALUE(MID(UPPER(TRIM(D4)),2,1))/10)+MOD(2*VALUE(MID(UPPER(TRIM(D4)),2,1)),10))+(INT(2*VALUE(MID(UPPER(TRIM(D4)),4,1))/10)+MOD(2*VALUE(MID(UPPER(TRIM(D4)),4,1)),10))+(INT(2*VALUE(MID(UPPER(TRIM(D4)),6,1))/10)+MOD(2*VALUE(MID(UPPER(TRIM(D4)),6,1)),10))+(INT(2*VALUE(MID(UPPER(TRIM(D4)),8,1))/10)+MOD(2*VALUE(MID(UPPER(TRIM(D4)),8,1)),10)),10),10)+1,1)),"OK","REVISAR")),"REVISAR")))</f>
        <v/>
      </c>
      <c r="Q4">
        <f>IF(B4="","",IF(COUNTIFS($B$2:$B$501,B4,$D$2:$D$501,D4)&gt;1,"DUPLICADA",""))</f>
        <v/>
      </c>
      <c r="R4">
        <f>IF(A4="","",ROUNDUP(MONTH(A4)/3,0))</f>
        <v/>
      </c>
      <c r="S4" s="3" t="inlineStr">
        <is>
          <t>705</t>
        </is>
      </c>
    </row>
    <row r="5">
      <c r="A5" s="2" t="n"/>
      <c r="B5" s="3" t="n"/>
      <c r="C5" s="3" t="n"/>
      <c r="D5" s="3" t="n"/>
      <c r="E5" s="4" t="n"/>
      <c r="F5" s="4" t="n"/>
      <c r="G5" s="4" t="n"/>
      <c r="H5" s="4" t="n"/>
      <c r="I5" s="5">
        <f>IF(E5="","",ROUND(E5*0.21,2))</f>
        <v/>
      </c>
      <c r="J5" s="5">
        <f>IF(F5="","",ROUND(F5*0.1,2))</f>
        <v/>
      </c>
      <c r="K5" s="5">
        <f>IF(G5="","",ROUND(G5*0.04,2))</f>
        <v/>
      </c>
      <c r="L5" s="4" t="n"/>
      <c r="M5" s="4" t="n"/>
      <c r="N5" s="5">
        <f>IF(A5="","",SUM(E5:K5)-N(L5))</f>
        <v/>
      </c>
      <c r="O5">
        <f>IF(OR(A5="",M5=""),"",IF(ABS(M5-N5)&lt;=0.02,"OK","REVISAR"))</f>
        <v/>
      </c>
      <c r="P5">
        <f>IF(D5="","",IF(LEN(TRIM(D5))&lt;&gt;9,"REVISAR",IFERROR(IF(OR(ISNUMBER(VALUE(LEFT(UPPER(TRIM(D5)),1))),LEFT(UPPER(TRIM(D5)),1)="X",LEFT(UPPER(TRIM(D5)),1)="Y",LEFT(UPPER(TRIM(D5)),1)="Z"),IF(MID("TRWAGMYFPDXBNJZSQVHLCKE",MOD(VALUE(SUBSTITUTE(SUBSTITUTE(SUBSTITUTE(LEFT(UPPER(TRIM(D5)),8),"X","0"),"Y","1"),"Z","2")),23)+1,1)=RIGHT(UPPER(TRIM(D5)),1),"OK","REVISAR"),IF(OR(RIGHT(UPPER(TRIM(D5)),1)=TEXT(MOD(10-MOD((VALUE(MID(UPPER(TRIM(D5)),3,1))+VALUE(MID(UPPER(TRIM(D5)),5,1))+VALUE(MID(UPPER(TRIM(D5)),7,1)))+(INT(2*VALUE(MID(UPPER(TRIM(D5)),2,1))/10)+MOD(2*VALUE(MID(UPPER(TRIM(D5)),2,1)),10))+(INT(2*VALUE(MID(UPPER(TRIM(D5)),4,1))/10)+MOD(2*VALUE(MID(UPPER(TRIM(D5)),4,1)),10))+(INT(2*VALUE(MID(UPPER(TRIM(D5)),6,1))/10)+MOD(2*VALUE(MID(UPPER(TRIM(D5)),6,1)),10))+(INT(2*VALUE(MID(UPPER(TRIM(D5)),8,1))/10)+MOD(2*VALUE(MID(UPPER(TRIM(D5)),8,1)),10)),10),10),"0"),RIGHT(UPPER(TRIM(D5)),1)=MID("JABCDEFGHI",MOD(10-MOD((VALUE(MID(UPPER(TRIM(D5)),3,1))+VALUE(MID(UPPER(TRIM(D5)),5,1))+VALUE(MID(UPPER(TRIM(D5)),7,1)))+(INT(2*VALUE(MID(UPPER(TRIM(D5)),2,1))/10)+MOD(2*VALUE(MID(UPPER(TRIM(D5)),2,1)),10))+(INT(2*VALUE(MID(UPPER(TRIM(D5)),4,1))/10)+MOD(2*VALUE(MID(UPPER(TRIM(D5)),4,1)),10))+(INT(2*VALUE(MID(UPPER(TRIM(D5)),6,1))/10)+MOD(2*VALUE(MID(UPPER(TRIM(D5)),6,1)),10))+(INT(2*VALUE(MID(UPPER(TRIM(D5)),8,1))/10)+MOD(2*VALUE(MID(UPPER(TRIM(D5)),8,1)),10)),10),10)+1,1)),"OK","REVISAR")),"REVISAR")))</f>
        <v/>
      </c>
      <c r="Q5">
        <f>IF(B5="","",IF(COUNTIFS($B$2:$B$501,B5,$D$2:$D$501,D5)&gt;1,"DUPLICADA",""))</f>
        <v/>
      </c>
      <c r="R5">
        <f>IF(A5="","",ROUNDUP(MONTH(A5)/3,0))</f>
        <v/>
      </c>
      <c r="S5" s="3" t="n"/>
    </row>
    <row r="6">
      <c r="A6" s="2" t="n"/>
      <c r="B6" s="3" t="n"/>
      <c r="C6" s="3" t="n"/>
      <c r="D6" s="3" t="n"/>
      <c r="E6" s="4" t="n"/>
      <c r="F6" s="4" t="n"/>
      <c r="G6" s="4" t="n"/>
      <c r="H6" s="4" t="n"/>
      <c r="I6" s="5">
        <f>IF(E6="","",ROUND(E6*0.21,2))</f>
        <v/>
      </c>
      <c r="J6" s="5">
        <f>IF(F6="","",ROUND(F6*0.1,2))</f>
        <v/>
      </c>
      <c r="K6" s="5">
        <f>IF(G6="","",ROUND(G6*0.04,2))</f>
        <v/>
      </c>
      <c r="L6" s="4" t="n"/>
      <c r="M6" s="4" t="n"/>
      <c r="N6" s="5">
        <f>IF(A6="","",SUM(E6:K6)-N(L6))</f>
        <v/>
      </c>
      <c r="O6">
        <f>IF(OR(A6="",M6=""),"",IF(ABS(M6-N6)&lt;=0.02,"OK","REVISAR"))</f>
        <v/>
      </c>
      <c r="P6">
        <f>IF(D6="","",IF(LEN(TRIM(D6))&lt;&gt;9,"REVISAR",IFERROR(IF(OR(ISNUMBER(VALUE(LEFT(UPPER(TRIM(D6)),1))),LEFT(UPPER(TRIM(D6)),1)="X",LEFT(UPPER(TRIM(D6)),1)="Y",LEFT(UPPER(TRIM(D6)),1)="Z"),IF(MID("TRWAGMYFPDXBNJZSQVHLCKE",MOD(VALUE(SUBSTITUTE(SUBSTITUTE(SUBSTITUTE(LEFT(UPPER(TRIM(D6)),8),"X","0"),"Y","1"),"Z","2")),23)+1,1)=RIGHT(UPPER(TRIM(D6)),1),"OK","REVISAR"),IF(OR(RIGHT(UPPER(TRIM(D6)),1)=TEXT(MOD(10-MOD((VALUE(MID(UPPER(TRIM(D6)),3,1))+VALUE(MID(UPPER(TRIM(D6)),5,1))+VALUE(MID(UPPER(TRIM(D6)),7,1)))+(INT(2*VALUE(MID(UPPER(TRIM(D6)),2,1))/10)+MOD(2*VALUE(MID(UPPER(TRIM(D6)),2,1)),10))+(INT(2*VALUE(MID(UPPER(TRIM(D6)),4,1))/10)+MOD(2*VALUE(MID(UPPER(TRIM(D6)),4,1)),10))+(INT(2*VALUE(MID(UPPER(TRIM(D6)),6,1))/10)+MOD(2*VALUE(MID(UPPER(TRIM(D6)),6,1)),10))+(INT(2*VALUE(MID(UPPER(TRIM(D6)),8,1))/10)+MOD(2*VALUE(MID(UPPER(TRIM(D6)),8,1)),10)),10),10),"0"),RIGHT(UPPER(TRIM(D6)),1)=MID("JABCDEFGHI",MOD(10-MOD((VALUE(MID(UPPER(TRIM(D6)),3,1))+VALUE(MID(UPPER(TRIM(D6)),5,1))+VALUE(MID(UPPER(TRIM(D6)),7,1)))+(INT(2*VALUE(MID(UPPER(TRIM(D6)),2,1))/10)+MOD(2*VALUE(MID(UPPER(TRIM(D6)),2,1)),10))+(INT(2*VALUE(MID(UPPER(TRIM(D6)),4,1))/10)+MOD(2*VALUE(MID(UPPER(TRIM(D6)),4,1)),10))+(INT(2*VALUE(MID(UPPER(TRIM(D6)),6,1))/10)+MOD(2*VALUE(MID(UPPER(TRIM(D6)),6,1)),10))+(INT(2*VALUE(MID(UPPER(TRIM(D6)),8,1))/10)+MOD(2*VALUE(MID(UPPER(TRIM(D6)),8,1)),10)),10),10)+1,1)),"OK","REVISAR")),"REVISAR")))</f>
        <v/>
      </c>
      <c r="Q6">
        <f>IF(B6="","",IF(COUNTIFS($B$2:$B$501,B6,$D$2:$D$501,D6)&gt;1,"DUPLICADA",""))</f>
        <v/>
      </c>
      <c r="R6">
        <f>IF(A6="","",ROUNDUP(MONTH(A6)/3,0))</f>
        <v/>
      </c>
      <c r="S6" s="3" t="n"/>
    </row>
    <row r="7">
      <c r="A7" s="2" t="n"/>
      <c r="B7" s="3" t="n"/>
      <c r="C7" s="3" t="n"/>
      <c r="D7" s="3" t="n"/>
      <c r="E7" s="4" t="n"/>
      <c r="F7" s="4" t="n"/>
      <c r="G7" s="4" t="n"/>
      <c r="H7" s="4" t="n"/>
      <c r="I7" s="5">
        <f>IF(E7="","",ROUND(E7*0.21,2))</f>
        <v/>
      </c>
      <c r="J7" s="5">
        <f>IF(F7="","",ROUND(F7*0.1,2))</f>
        <v/>
      </c>
      <c r="K7" s="5">
        <f>IF(G7="","",ROUND(G7*0.04,2))</f>
        <v/>
      </c>
      <c r="L7" s="4" t="n"/>
      <c r="M7" s="4" t="n"/>
      <c r="N7" s="5">
        <f>IF(A7="","",SUM(E7:K7)-N(L7))</f>
        <v/>
      </c>
      <c r="O7">
        <f>IF(OR(A7="",M7=""),"",IF(ABS(M7-N7)&lt;=0.02,"OK","REVISAR"))</f>
        <v/>
      </c>
      <c r="P7">
        <f>IF(D7="","",IF(LEN(TRIM(D7))&lt;&gt;9,"REVISAR",IFERROR(IF(OR(ISNUMBER(VALUE(LEFT(UPPER(TRIM(D7)),1))),LEFT(UPPER(TRIM(D7)),1)="X",LEFT(UPPER(TRIM(D7)),1)="Y",LEFT(UPPER(TRIM(D7)),1)="Z"),IF(MID("TRWAGMYFPDXBNJZSQVHLCKE",MOD(VALUE(SUBSTITUTE(SUBSTITUTE(SUBSTITUTE(LEFT(UPPER(TRIM(D7)),8),"X","0"),"Y","1"),"Z","2")),23)+1,1)=RIGHT(UPPER(TRIM(D7)),1),"OK","REVISAR"),IF(OR(RIGHT(UPPER(TRIM(D7)),1)=TEXT(MOD(10-MOD((VALUE(MID(UPPER(TRIM(D7)),3,1))+VALUE(MID(UPPER(TRIM(D7)),5,1))+VALUE(MID(UPPER(TRIM(D7)),7,1)))+(INT(2*VALUE(MID(UPPER(TRIM(D7)),2,1))/10)+MOD(2*VALUE(MID(UPPER(TRIM(D7)),2,1)),10))+(INT(2*VALUE(MID(UPPER(TRIM(D7)),4,1))/10)+MOD(2*VALUE(MID(UPPER(TRIM(D7)),4,1)),10))+(INT(2*VALUE(MID(UPPER(TRIM(D7)),6,1))/10)+MOD(2*VALUE(MID(UPPER(TRIM(D7)),6,1)),10))+(INT(2*VALUE(MID(UPPER(TRIM(D7)),8,1))/10)+MOD(2*VALUE(MID(UPPER(TRIM(D7)),8,1)),10)),10),10),"0"),RIGHT(UPPER(TRIM(D7)),1)=MID("JABCDEFGHI",MOD(10-MOD((VALUE(MID(UPPER(TRIM(D7)),3,1))+VALUE(MID(UPPER(TRIM(D7)),5,1))+VALUE(MID(UPPER(TRIM(D7)),7,1)))+(INT(2*VALUE(MID(UPPER(TRIM(D7)),2,1))/10)+MOD(2*VALUE(MID(UPPER(TRIM(D7)),2,1)),10))+(INT(2*VALUE(MID(UPPER(TRIM(D7)),4,1))/10)+MOD(2*VALUE(MID(UPPER(TRIM(D7)),4,1)),10))+(INT(2*VALUE(MID(UPPER(TRIM(D7)),6,1))/10)+MOD(2*VALUE(MID(UPPER(TRIM(D7)),6,1)),10))+(INT(2*VALUE(MID(UPPER(TRIM(D7)),8,1))/10)+MOD(2*VALUE(MID(UPPER(TRIM(D7)),8,1)),10)),10),10)+1,1)),"OK","REVISAR")),"REVISAR")))</f>
        <v/>
      </c>
      <c r="Q7">
        <f>IF(B7="","",IF(COUNTIFS($B$2:$B$501,B7,$D$2:$D$501,D7)&gt;1,"DUPLICADA",""))</f>
        <v/>
      </c>
      <c r="R7">
        <f>IF(A7="","",ROUNDUP(MONTH(A7)/3,0))</f>
        <v/>
      </c>
      <c r="S7" s="3" t="n"/>
    </row>
    <row r="8">
      <c r="A8" s="2" t="n"/>
      <c r="B8" s="3" t="n"/>
      <c r="C8" s="3" t="n"/>
      <c r="D8" s="3" t="n"/>
      <c r="E8" s="4" t="n"/>
      <c r="F8" s="4" t="n"/>
      <c r="G8" s="4" t="n"/>
      <c r="H8" s="4" t="n"/>
      <c r="I8" s="5">
        <f>IF(E8="","",ROUND(E8*0.21,2))</f>
        <v/>
      </c>
      <c r="J8" s="5">
        <f>IF(F8="","",ROUND(F8*0.1,2))</f>
        <v/>
      </c>
      <c r="K8" s="5">
        <f>IF(G8="","",ROUND(G8*0.04,2))</f>
        <v/>
      </c>
      <c r="L8" s="4" t="n"/>
      <c r="M8" s="4" t="n"/>
      <c r="N8" s="5">
        <f>IF(A8="","",SUM(E8:K8)-N(L8))</f>
        <v/>
      </c>
      <c r="O8">
        <f>IF(OR(A8="",M8=""),"",IF(ABS(M8-N8)&lt;=0.02,"OK","REVISAR"))</f>
        <v/>
      </c>
      <c r="P8">
        <f>IF(D8="","",IF(LEN(TRIM(D8))&lt;&gt;9,"REVISAR",IFERROR(IF(OR(ISNUMBER(VALUE(LEFT(UPPER(TRIM(D8)),1))),LEFT(UPPER(TRIM(D8)),1)="X",LEFT(UPPER(TRIM(D8)),1)="Y",LEFT(UPPER(TRIM(D8)),1)="Z"),IF(MID("TRWAGMYFPDXBNJZSQVHLCKE",MOD(VALUE(SUBSTITUTE(SUBSTITUTE(SUBSTITUTE(LEFT(UPPER(TRIM(D8)),8),"X","0"),"Y","1"),"Z","2")),23)+1,1)=RIGHT(UPPER(TRIM(D8)),1),"OK","REVISAR"),IF(OR(RIGHT(UPPER(TRIM(D8)),1)=TEXT(MOD(10-MOD((VALUE(MID(UPPER(TRIM(D8)),3,1))+VALUE(MID(UPPER(TRIM(D8)),5,1))+VALUE(MID(UPPER(TRIM(D8)),7,1)))+(INT(2*VALUE(MID(UPPER(TRIM(D8)),2,1))/10)+MOD(2*VALUE(MID(UPPER(TRIM(D8)),2,1)),10))+(INT(2*VALUE(MID(UPPER(TRIM(D8)),4,1))/10)+MOD(2*VALUE(MID(UPPER(TRIM(D8)),4,1)),10))+(INT(2*VALUE(MID(UPPER(TRIM(D8)),6,1))/10)+MOD(2*VALUE(MID(UPPER(TRIM(D8)),6,1)),10))+(INT(2*VALUE(MID(UPPER(TRIM(D8)),8,1))/10)+MOD(2*VALUE(MID(UPPER(TRIM(D8)),8,1)),10)),10),10),"0"),RIGHT(UPPER(TRIM(D8)),1)=MID("JABCDEFGHI",MOD(10-MOD((VALUE(MID(UPPER(TRIM(D8)),3,1))+VALUE(MID(UPPER(TRIM(D8)),5,1))+VALUE(MID(UPPER(TRIM(D8)),7,1)))+(INT(2*VALUE(MID(UPPER(TRIM(D8)),2,1))/10)+MOD(2*VALUE(MID(UPPER(TRIM(D8)),2,1)),10))+(INT(2*VALUE(MID(UPPER(TRIM(D8)),4,1))/10)+MOD(2*VALUE(MID(UPPER(TRIM(D8)),4,1)),10))+(INT(2*VALUE(MID(UPPER(TRIM(D8)),6,1))/10)+MOD(2*VALUE(MID(UPPER(TRIM(D8)),6,1)),10))+(INT(2*VALUE(MID(UPPER(TRIM(D8)),8,1))/10)+MOD(2*VALUE(MID(UPPER(TRIM(D8)),8,1)),10)),10),10)+1,1)),"OK","REVISAR")),"REVISAR")))</f>
        <v/>
      </c>
      <c r="Q8">
        <f>IF(B8="","",IF(COUNTIFS($B$2:$B$501,B8,$D$2:$D$501,D8)&gt;1,"DUPLICADA",""))</f>
        <v/>
      </c>
      <c r="R8">
        <f>IF(A8="","",ROUNDUP(MONTH(A8)/3,0))</f>
        <v/>
      </c>
      <c r="S8" s="3" t="n"/>
    </row>
    <row r="9">
      <c r="A9" s="2" t="n"/>
      <c r="B9" s="3" t="n"/>
      <c r="C9" s="3" t="n"/>
      <c r="D9" s="3" t="n"/>
      <c r="E9" s="4" t="n"/>
      <c r="F9" s="4" t="n"/>
      <c r="G9" s="4" t="n"/>
      <c r="H9" s="4" t="n"/>
      <c r="I9" s="5">
        <f>IF(E9="","",ROUND(E9*0.21,2))</f>
        <v/>
      </c>
      <c r="J9" s="5">
        <f>IF(F9="","",ROUND(F9*0.1,2))</f>
        <v/>
      </c>
      <c r="K9" s="5">
        <f>IF(G9="","",ROUND(G9*0.04,2))</f>
        <v/>
      </c>
      <c r="L9" s="4" t="n"/>
      <c r="M9" s="4" t="n"/>
      <c r="N9" s="5">
        <f>IF(A9="","",SUM(E9:K9)-N(L9))</f>
        <v/>
      </c>
      <c r="O9">
        <f>IF(OR(A9="",M9=""),"",IF(ABS(M9-N9)&lt;=0.02,"OK","REVISAR"))</f>
        <v/>
      </c>
      <c r="P9">
        <f>IF(D9="","",IF(LEN(TRIM(D9))&lt;&gt;9,"REVISAR",IFERROR(IF(OR(ISNUMBER(VALUE(LEFT(UPPER(TRIM(D9)),1))),LEFT(UPPER(TRIM(D9)),1)="X",LEFT(UPPER(TRIM(D9)),1)="Y",LEFT(UPPER(TRIM(D9)),1)="Z"),IF(MID("TRWAGMYFPDXBNJZSQVHLCKE",MOD(VALUE(SUBSTITUTE(SUBSTITUTE(SUBSTITUTE(LEFT(UPPER(TRIM(D9)),8),"X","0"),"Y","1"),"Z","2")),23)+1,1)=RIGHT(UPPER(TRIM(D9)),1),"OK","REVISAR"),IF(OR(RIGHT(UPPER(TRIM(D9)),1)=TEXT(MOD(10-MOD((VALUE(MID(UPPER(TRIM(D9)),3,1))+VALUE(MID(UPPER(TRIM(D9)),5,1))+VALUE(MID(UPPER(TRIM(D9)),7,1)))+(INT(2*VALUE(MID(UPPER(TRIM(D9)),2,1))/10)+MOD(2*VALUE(MID(UPPER(TRIM(D9)),2,1)),10))+(INT(2*VALUE(MID(UPPER(TRIM(D9)),4,1))/10)+MOD(2*VALUE(MID(UPPER(TRIM(D9)),4,1)),10))+(INT(2*VALUE(MID(UPPER(TRIM(D9)),6,1))/10)+MOD(2*VALUE(MID(UPPER(TRIM(D9)),6,1)),10))+(INT(2*VALUE(MID(UPPER(TRIM(D9)),8,1))/10)+MOD(2*VALUE(MID(UPPER(TRIM(D9)),8,1)),10)),10),10),"0"),RIGHT(UPPER(TRIM(D9)),1)=MID("JABCDEFGHI",MOD(10-MOD((VALUE(MID(UPPER(TRIM(D9)),3,1))+VALUE(MID(UPPER(TRIM(D9)),5,1))+VALUE(MID(UPPER(TRIM(D9)),7,1)))+(INT(2*VALUE(MID(UPPER(TRIM(D9)),2,1))/10)+MOD(2*VALUE(MID(UPPER(TRIM(D9)),2,1)),10))+(INT(2*VALUE(MID(UPPER(TRIM(D9)),4,1))/10)+MOD(2*VALUE(MID(UPPER(TRIM(D9)),4,1)),10))+(INT(2*VALUE(MID(UPPER(TRIM(D9)),6,1))/10)+MOD(2*VALUE(MID(UPPER(TRIM(D9)),6,1)),10))+(INT(2*VALUE(MID(UPPER(TRIM(D9)),8,1))/10)+MOD(2*VALUE(MID(UPPER(TRIM(D9)),8,1)),10)),10),10)+1,1)),"OK","REVISAR")),"REVISAR")))</f>
        <v/>
      </c>
      <c r="Q9">
        <f>IF(B9="","",IF(COUNTIFS($B$2:$B$501,B9,$D$2:$D$501,D9)&gt;1,"DUPLICADA",""))</f>
        <v/>
      </c>
      <c r="R9">
        <f>IF(A9="","",ROUNDUP(MONTH(A9)/3,0))</f>
        <v/>
      </c>
      <c r="S9" s="3" t="n"/>
    </row>
    <row r="10">
      <c r="A10" s="2" t="n"/>
      <c r="B10" s="3" t="n"/>
      <c r="C10" s="3" t="n"/>
      <c r="D10" s="3" t="n"/>
      <c r="E10" s="4" t="n"/>
      <c r="F10" s="4" t="n"/>
      <c r="G10" s="4" t="n"/>
      <c r="H10" s="4" t="n"/>
      <c r="I10" s="5">
        <f>IF(E10="","",ROUND(E10*0.21,2))</f>
        <v/>
      </c>
      <c r="J10" s="5">
        <f>IF(F10="","",ROUND(F10*0.1,2))</f>
        <v/>
      </c>
      <c r="K10" s="5">
        <f>IF(G10="","",ROUND(G10*0.04,2))</f>
        <v/>
      </c>
      <c r="L10" s="4" t="n"/>
      <c r="M10" s="4" t="n"/>
      <c r="N10" s="5">
        <f>IF(A10="","",SUM(E10:K10)-N(L10))</f>
        <v/>
      </c>
      <c r="O10">
        <f>IF(OR(A10="",M10=""),"",IF(ABS(M10-N10)&lt;=0.02,"OK","REVISAR"))</f>
        <v/>
      </c>
      <c r="P10">
        <f>IF(D10="","",IF(LEN(TRIM(D10))&lt;&gt;9,"REVISAR",IFERROR(IF(OR(ISNUMBER(VALUE(LEFT(UPPER(TRIM(D10)),1))),LEFT(UPPER(TRIM(D10)),1)="X",LEFT(UPPER(TRIM(D10)),1)="Y",LEFT(UPPER(TRIM(D10)),1)="Z"),IF(MID("TRWAGMYFPDXBNJZSQVHLCKE",MOD(VALUE(SUBSTITUTE(SUBSTITUTE(SUBSTITUTE(LEFT(UPPER(TRIM(D10)),8),"X","0"),"Y","1"),"Z","2")),23)+1,1)=RIGHT(UPPER(TRIM(D10)),1),"OK","REVISAR"),IF(OR(RIGHT(UPPER(TRIM(D10)),1)=TEXT(MOD(10-MOD((VALUE(MID(UPPER(TRIM(D10)),3,1))+VALUE(MID(UPPER(TRIM(D10)),5,1))+VALUE(MID(UPPER(TRIM(D10)),7,1)))+(INT(2*VALUE(MID(UPPER(TRIM(D10)),2,1))/10)+MOD(2*VALUE(MID(UPPER(TRIM(D10)),2,1)),10))+(INT(2*VALUE(MID(UPPER(TRIM(D10)),4,1))/10)+MOD(2*VALUE(MID(UPPER(TRIM(D10)),4,1)),10))+(INT(2*VALUE(MID(UPPER(TRIM(D10)),6,1))/10)+MOD(2*VALUE(MID(UPPER(TRIM(D10)),6,1)),10))+(INT(2*VALUE(MID(UPPER(TRIM(D10)),8,1))/10)+MOD(2*VALUE(MID(UPPER(TRIM(D10)),8,1)),10)),10),10),"0"),RIGHT(UPPER(TRIM(D10)),1)=MID("JABCDEFGHI",MOD(10-MOD((VALUE(MID(UPPER(TRIM(D10)),3,1))+VALUE(MID(UPPER(TRIM(D10)),5,1))+VALUE(MID(UPPER(TRIM(D10)),7,1)))+(INT(2*VALUE(MID(UPPER(TRIM(D10)),2,1))/10)+MOD(2*VALUE(MID(UPPER(TRIM(D10)),2,1)),10))+(INT(2*VALUE(MID(UPPER(TRIM(D10)),4,1))/10)+MOD(2*VALUE(MID(UPPER(TRIM(D10)),4,1)),10))+(INT(2*VALUE(MID(UPPER(TRIM(D10)),6,1))/10)+MOD(2*VALUE(MID(UPPER(TRIM(D10)),6,1)),10))+(INT(2*VALUE(MID(UPPER(TRIM(D10)),8,1))/10)+MOD(2*VALUE(MID(UPPER(TRIM(D10)),8,1)),10)),10),10)+1,1)),"OK","REVISAR")),"REVISAR")))</f>
        <v/>
      </c>
      <c r="Q10">
        <f>IF(B10="","",IF(COUNTIFS($B$2:$B$501,B10,$D$2:$D$501,D10)&gt;1,"DUPLICADA",""))</f>
        <v/>
      </c>
      <c r="R10">
        <f>IF(A10="","",ROUNDUP(MONTH(A10)/3,0))</f>
        <v/>
      </c>
      <c r="S10" s="3" t="n"/>
    </row>
    <row r="11">
      <c r="A11" s="2" t="n"/>
      <c r="B11" s="3" t="n"/>
      <c r="C11" s="3" t="n"/>
      <c r="D11" s="3" t="n"/>
      <c r="E11" s="4" t="n"/>
      <c r="F11" s="4" t="n"/>
      <c r="G11" s="4" t="n"/>
      <c r="H11" s="4" t="n"/>
      <c r="I11" s="5">
        <f>IF(E11="","",ROUND(E11*0.21,2))</f>
        <v/>
      </c>
      <c r="J11" s="5">
        <f>IF(F11="","",ROUND(F11*0.1,2))</f>
        <v/>
      </c>
      <c r="K11" s="5">
        <f>IF(G11="","",ROUND(G11*0.04,2))</f>
        <v/>
      </c>
      <c r="L11" s="4" t="n"/>
      <c r="M11" s="4" t="n"/>
      <c r="N11" s="5">
        <f>IF(A11="","",SUM(E11:K11)-N(L11))</f>
        <v/>
      </c>
      <c r="O11">
        <f>IF(OR(A11="",M11=""),"",IF(ABS(M11-N11)&lt;=0.02,"OK","REVISAR"))</f>
        <v/>
      </c>
      <c r="P11">
        <f>IF(D11="","",IF(LEN(TRIM(D11))&lt;&gt;9,"REVISAR",IFERROR(IF(OR(ISNUMBER(VALUE(LEFT(UPPER(TRIM(D11)),1))),LEFT(UPPER(TRIM(D11)),1)="X",LEFT(UPPER(TRIM(D11)),1)="Y",LEFT(UPPER(TRIM(D11)),1)="Z"),IF(MID("TRWAGMYFPDXBNJZSQVHLCKE",MOD(VALUE(SUBSTITUTE(SUBSTITUTE(SUBSTITUTE(LEFT(UPPER(TRIM(D11)),8),"X","0"),"Y","1"),"Z","2")),23)+1,1)=RIGHT(UPPER(TRIM(D11)),1),"OK","REVISAR"),IF(OR(RIGHT(UPPER(TRIM(D11)),1)=TEXT(MOD(10-MOD((VALUE(MID(UPPER(TRIM(D11)),3,1))+VALUE(MID(UPPER(TRIM(D11)),5,1))+VALUE(MID(UPPER(TRIM(D11)),7,1)))+(INT(2*VALUE(MID(UPPER(TRIM(D11)),2,1))/10)+MOD(2*VALUE(MID(UPPER(TRIM(D11)),2,1)),10))+(INT(2*VALUE(MID(UPPER(TRIM(D11)),4,1))/10)+MOD(2*VALUE(MID(UPPER(TRIM(D11)),4,1)),10))+(INT(2*VALUE(MID(UPPER(TRIM(D11)),6,1))/10)+MOD(2*VALUE(MID(UPPER(TRIM(D11)),6,1)),10))+(INT(2*VALUE(MID(UPPER(TRIM(D11)),8,1))/10)+MOD(2*VALUE(MID(UPPER(TRIM(D11)),8,1)),10)),10),10),"0"),RIGHT(UPPER(TRIM(D11)),1)=MID("JABCDEFGHI",MOD(10-MOD((VALUE(MID(UPPER(TRIM(D11)),3,1))+VALUE(MID(UPPER(TRIM(D11)),5,1))+VALUE(MID(UPPER(TRIM(D11)),7,1)))+(INT(2*VALUE(MID(UPPER(TRIM(D11)),2,1))/10)+MOD(2*VALUE(MID(UPPER(TRIM(D11)),2,1)),10))+(INT(2*VALUE(MID(UPPER(TRIM(D11)),4,1))/10)+MOD(2*VALUE(MID(UPPER(TRIM(D11)),4,1)),10))+(INT(2*VALUE(MID(UPPER(TRIM(D11)),6,1))/10)+MOD(2*VALUE(MID(UPPER(TRIM(D11)),6,1)),10))+(INT(2*VALUE(MID(UPPER(TRIM(D11)),8,1))/10)+MOD(2*VALUE(MID(UPPER(TRIM(D11)),8,1)),10)),10),10)+1,1)),"OK","REVISAR")),"REVISAR")))</f>
        <v/>
      </c>
      <c r="Q11">
        <f>IF(B11="","",IF(COUNTIFS($B$2:$B$501,B11,$D$2:$D$501,D11)&gt;1,"DUPLICADA",""))</f>
        <v/>
      </c>
      <c r="R11">
        <f>IF(A11="","",ROUNDUP(MONTH(A11)/3,0))</f>
        <v/>
      </c>
      <c r="S11" s="3" t="n"/>
    </row>
    <row r="12">
      <c r="A12" s="2" t="n"/>
      <c r="B12" s="3" t="n"/>
      <c r="C12" s="3" t="n"/>
      <c r="D12" s="3" t="n"/>
      <c r="E12" s="4" t="n"/>
      <c r="F12" s="4" t="n"/>
      <c r="G12" s="4" t="n"/>
      <c r="H12" s="4" t="n"/>
      <c r="I12" s="5">
        <f>IF(E12="","",ROUND(E12*0.21,2))</f>
        <v/>
      </c>
      <c r="J12" s="5">
        <f>IF(F12="","",ROUND(F12*0.1,2))</f>
        <v/>
      </c>
      <c r="K12" s="5">
        <f>IF(G12="","",ROUND(G12*0.04,2))</f>
        <v/>
      </c>
      <c r="L12" s="4" t="n"/>
      <c r="M12" s="4" t="n"/>
      <c r="N12" s="5">
        <f>IF(A12="","",SUM(E12:K12)-N(L12))</f>
        <v/>
      </c>
      <c r="O12">
        <f>IF(OR(A12="",M12=""),"",IF(ABS(M12-N12)&lt;=0.02,"OK","REVISAR"))</f>
        <v/>
      </c>
      <c r="P12">
        <f>IF(D12="","",IF(LEN(TRIM(D12))&lt;&gt;9,"REVISAR",IFERROR(IF(OR(ISNUMBER(VALUE(LEFT(UPPER(TRIM(D12)),1))),LEFT(UPPER(TRIM(D12)),1)="X",LEFT(UPPER(TRIM(D12)),1)="Y",LEFT(UPPER(TRIM(D12)),1)="Z"),IF(MID("TRWAGMYFPDXBNJZSQVHLCKE",MOD(VALUE(SUBSTITUTE(SUBSTITUTE(SUBSTITUTE(LEFT(UPPER(TRIM(D12)),8),"X","0"),"Y","1"),"Z","2")),23)+1,1)=RIGHT(UPPER(TRIM(D12)),1),"OK","REVISAR"),IF(OR(RIGHT(UPPER(TRIM(D12)),1)=TEXT(MOD(10-MOD((VALUE(MID(UPPER(TRIM(D12)),3,1))+VALUE(MID(UPPER(TRIM(D12)),5,1))+VALUE(MID(UPPER(TRIM(D12)),7,1)))+(INT(2*VALUE(MID(UPPER(TRIM(D12)),2,1))/10)+MOD(2*VALUE(MID(UPPER(TRIM(D12)),2,1)),10))+(INT(2*VALUE(MID(UPPER(TRIM(D12)),4,1))/10)+MOD(2*VALUE(MID(UPPER(TRIM(D12)),4,1)),10))+(INT(2*VALUE(MID(UPPER(TRIM(D12)),6,1))/10)+MOD(2*VALUE(MID(UPPER(TRIM(D12)),6,1)),10))+(INT(2*VALUE(MID(UPPER(TRIM(D12)),8,1))/10)+MOD(2*VALUE(MID(UPPER(TRIM(D12)),8,1)),10)),10),10),"0"),RIGHT(UPPER(TRIM(D12)),1)=MID("JABCDEFGHI",MOD(10-MOD((VALUE(MID(UPPER(TRIM(D12)),3,1))+VALUE(MID(UPPER(TRIM(D12)),5,1))+VALUE(MID(UPPER(TRIM(D12)),7,1)))+(INT(2*VALUE(MID(UPPER(TRIM(D12)),2,1))/10)+MOD(2*VALUE(MID(UPPER(TRIM(D12)),2,1)),10))+(INT(2*VALUE(MID(UPPER(TRIM(D12)),4,1))/10)+MOD(2*VALUE(MID(UPPER(TRIM(D12)),4,1)),10))+(INT(2*VALUE(MID(UPPER(TRIM(D12)),6,1))/10)+MOD(2*VALUE(MID(UPPER(TRIM(D12)),6,1)),10))+(INT(2*VALUE(MID(UPPER(TRIM(D12)),8,1))/10)+MOD(2*VALUE(MID(UPPER(TRIM(D12)),8,1)),10)),10),10)+1,1)),"OK","REVISAR")),"REVISAR")))</f>
        <v/>
      </c>
      <c r="Q12">
        <f>IF(B12="","",IF(COUNTIFS($B$2:$B$501,B12,$D$2:$D$501,D12)&gt;1,"DUPLICADA",""))</f>
        <v/>
      </c>
      <c r="R12">
        <f>IF(A12="","",ROUNDUP(MONTH(A12)/3,0))</f>
        <v/>
      </c>
      <c r="S12" s="3" t="n"/>
    </row>
    <row r="13">
      <c r="A13" s="2" t="n"/>
      <c r="B13" s="3" t="n"/>
      <c r="C13" s="3" t="n"/>
      <c r="D13" s="3" t="n"/>
      <c r="E13" s="4" t="n"/>
      <c r="F13" s="4" t="n"/>
      <c r="G13" s="4" t="n"/>
      <c r="H13" s="4" t="n"/>
      <c r="I13" s="5">
        <f>IF(E13="","",ROUND(E13*0.21,2))</f>
        <v/>
      </c>
      <c r="J13" s="5">
        <f>IF(F13="","",ROUND(F13*0.1,2))</f>
        <v/>
      </c>
      <c r="K13" s="5">
        <f>IF(G13="","",ROUND(G13*0.04,2))</f>
        <v/>
      </c>
      <c r="L13" s="4" t="n"/>
      <c r="M13" s="4" t="n"/>
      <c r="N13" s="5">
        <f>IF(A13="","",SUM(E13:K13)-N(L13))</f>
        <v/>
      </c>
      <c r="O13">
        <f>IF(OR(A13="",M13=""),"",IF(ABS(M13-N13)&lt;=0.02,"OK","REVISAR"))</f>
        <v/>
      </c>
      <c r="P13">
        <f>IF(D13="","",IF(LEN(TRIM(D13))&lt;&gt;9,"REVISAR",IFERROR(IF(OR(ISNUMBER(VALUE(LEFT(UPPER(TRIM(D13)),1))),LEFT(UPPER(TRIM(D13)),1)="X",LEFT(UPPER(TRIM(D13)),1)="Y",LEFT(UPPER(TRIM(D13)),1)="Z"),IF(MID("TRWAGMYFPDXBNJZSQVHLCKE",MOD(VALUE(SUBSTITUTE(SUBSTITUTE(SUBSTITUTE(LEFT(UPPER(TRIM(D13)),8),"X","0"),"Y","1"),"Z","2")),23)+1,1)=RIGHT(UPPER(TRIM(D13)),1),"OK","REVISAR"),IF(OR(RIGHT(UPPER(TRIM(D13)),1)=TEXT(MOD(10-MOD((VALUE(MID(UPPER(TRIM(D13)),3,1))+VALUE(MID(UPPER(TRIM(D13)),5,1))+VALUE(MID(UPPER(TRIM(D13)),7,1)))+(INT(2*VALUE(MID(UPPER(TRIM(D13)),2,1))/10)+MOD(2*VALUE(MID(UPPER(TRIM(D13)),2,1)),10))+(INT(2*VALUE(MID(UPPER(TRIM(D13)),4,1))/10)+MOD(2*VALUE(MID(UPPER(TRIM(D13)),4,1)),10))+(INT(2*VALUE(MID(UPPER(TRIM(D13)),6,1))/10)+MOD(2*VALUE(MID(UPPER(TRIM(D13)),6,1)),10))+(INT(2*VALUE(MID(UPPER(TRIM(D13)),8,1))/10)+MOD(2*VALUE(MID(UPPER(TRIM(D13)),8,1)),10)),10),10),"0"),RIGHT(UPPER(TRIM(D13)),1)=MID("JABCDEFGHI",MOD(10-MOD((VALUE(MID(UPPER(TRIM(D13)),3,1))+VALUE(MID(UPPER(TRIM(D13)),5,1))+VALUE(MID(UPPER(TRIM(D13)),7,1)))+(INT(2*VALUE(MID(UPPER(TRIM(D13)),2,1))/10)+MOD(2*VALUE(MID(UPPER(TRIM(D13)),2,1)),10))+(INT(2*VALUE(MID(UPPER(TRIM(D13)),4,1))/10)+MOD(2*VALUE(MID(UPPER(TRIM(D13)),4,1)),10))+(INT(2*VALUE(MID(UPPER(TRIM(D13)),6,1))/10)+MOD(2*VALUE(MID(UPPER(TRIM(D13)),6,1)),10))+(INT(2*VALUE(MID(UPPER(TRIM(D13)),8,1))/10)+MOD(2*VALUE(MID(UPPER(TRIM(D13)),8,1)),10)),10),10)+1,1)),"OK","REVISAR")),"REVISAR")))</f>
        <v/>
      </c>
      <c r="Q13">
        <f>IF(B13="","",IF(COUNTIFS($B$2:$B$501,B13,$D$2:$D$501,D13)&gt;1,"DUPLICADA",""))</f>
        <v/>
      </c>
      <c r="R13">
        <f>IF(A13="","",ROUNDUP(MONTH(A13)/3,0))</f>
        <v/>
      </c>
      <c r="S13" s="3" t="n"/>
    </row>
    <row r="14">
      <c r="A14" s="2" t="n"/>
      <c r="B14" s="3" t="n"/>
      <c r="C14" s="3" t="n"/>
      <c r="D14" s="3" t="n"/>
      <c r="E14" s="4" t="n"/>
      <c r="F14" s="4" t="n"/>
      <c r="G14" s="4" t="n"/>
      <c r="H14" s="4" t="n"/>
      <c r="I14" s="5">
        <f>IF(E14="","",ROUND(E14*0.21,2))</f>
        <v/>
      </c>
      <c r="J14" s="5">
        <f>IF(F14="","",ROUND(F14*0.1,2))</f>
        <v/>
      </c>
      <c r="K14" s="5">
        <f>IF(G14="","",ROUND(G14*0.04,2))</f>
        <v/>
      </c>
      <c r="L14" s="4" t="n"/>
      <c r="M14" s="4" t="n"/>
      <c r="N14" s="5">
        <f>IF(A14="","",SUM(E14:K14)-N(L14))</f>
        <v/>
      </c>
      <c r="O14">
        <f>IF(OR(A14="",M14=""),"",IF(ABS(M14-N14)&lt;=0.02,"OK","REVISAR"))</f>
        <v/>
      </c>
      <c r="P14">
        <f>IF(D14="","",IF(LEN(TRIM(D14))&lt;&gt;9,"REVISAR",IFERROR(IF(OR(ISNUMBER(VALUE(LEFT(UPPER(TRIM(D14)),1))),LEFT(UPPER(TRIM(D14)),1)="X",LEFT(UPPER(TRIM(D14)),1)="Y",LEFT(UPPER(TRIM(D14)),1)="Z"),IF(MID("TRWAGMYFPDXBNJZSQVHLCKE",MOD(VALUE(SUBSTITUTE(SUBSTITUTE(SUBSTITUTE(LEFT(UPPER(TRIM(D14)),8),"X","0"),"Y","1"),"Z","2")),23)+1,1)=RIGHT(UPPER(TRIM(D14)),1),"OK","REVISAR"),IF(OR(RIGHT(UPPER(TRIM(D14)),1)=TEXT(MOD(10-MOD((VALUE(MID(UPPER(TRIM(D14)),3,1))+VALUE(MID(UPPER(TRIM(D14)),5,1))+VALUE(MID(UPPER(TRIM(D14)),7,1)))+(INT(2*VALUE(MID(UPPER(TRIM(D14)),2,1))/10)+MOD(2*VALUE(MID(UPPER(TRIM(D14)),2,1)),10))+(INT(2*VALUE(MID(UPPER(TRIM(D14)),4,1))/10)+MOD(2*VALUE(MID(UPPER(TRIM(D14)),4,1)),10))+(INT(2*VALUE(MID(UPPER(TRIM(D14)),6,1))/10)+MOD(2*VALUE(MID(UPPER(TRIM(D14)),6,1)),10))+(INT(2*VALUE(MID(UPPER(TRIM(D14)),8,1))/10)+MOD(2*VALUE(MID(UPPER(TRIM(D14)),8,1)),10)),10),10),"0"),RIGHT(UPPER(TRIM(D14)),1)=MID("JABCDEFGHI",MOD(10-MOD((VALUE(MID(UPPER(TRIM(D14)),3,1))+VALUE(MID(UPPER(TRIM(D14)),5,1))+VALUE(MID(UPPER(TRIM(D14)),7,1)))+(INT(2*VALUE(MID(UPPER(TRIM(D14)),2,1))/10)+MOD(2*VALUE(MID(UPPER(TRIM(D14)),2,1)),10))+(INT(2*VALUE(MID(UPPER(TRIM(D14)),4,1))/10)+MOD(2*VALUE(MID(UPPER(TRIM(D14)),4,1)),10))+(INT(2*VALUE(MID(UPPER(TRIM(D14)),6,1))/10)+MOD(2*VALUE(MID(UPPER(TRIM(D14)),6,1)),10))+(INT(2*VALUE(MID(UPPER(TRIM(D14)),8,1))/10)+MOD(2*VALUE(MID(UPPER(TRIM(D14)),8,1)),10)),10),10)+1,1)),"OK","REVISAR")),"REVISAR")))</f>
        <v/>
      </c>
      <c r="Q14">
        <f>IF(B14="","",IF(COUNTIFS($B$2:$B$501,B14,$D$2:$D$501,D14)&gt;1,"DUPLICADA",""))</f>
        <v/>
      </c>
      <c r="R14">
        <f>IF(A14="","",ROUNDUP(MONTH(A14)/3,0))</f>
        <v/>
      </c>
      <c r="S14" s="3" t="n"/>
    </row>
    <row r="15">
      <c r="A15" s="2" t="n"/>
      <c r="B15" s="3" t="n"/>
      <c r="C15" s="3" t="n"/>
      <c r="D15" s="3" t="n"/>
      <c r="E15" s="4" t="n"/>
      <c r="F15" s="4" t="n"/>
      <c r="G15" s="4" t="n"/>
      <c r="H15" s="4" t="n"/>
      <c r="I15" s="5">
        <f>IF(E15="","",ROUND(E15*0.21,2))</f>
        <v/>
      </c>
      <c r="J15" s="5">
        <f>IF(F15="","",ROUND(F15*0.1,2))</f>
        <v/>
      </c>
      <c r="K15" s="5">
        <f>IF(G15="","",ROUND(G15*0.04,2))</f>
        <v/>
      </c>
      <c r="L15" s="4" t="n"/>
      <c r="M15" s="4" t="n"/>
      <c r="N15" s="5">
        <f>IF(A15="","",SUM(E15:K15)-N(L15))</f>
        <v/>
      </c>
      <c r="O15">
        <f>IF(OR(A15="",M15=""),"",IF(ABS(M15-N15)&lt;=0.02,"OK","REVISAR"))</f>
        <v/>
      </c>
      <c r="P15">
        <f>IF(D15="","",IF(LEN(TRIM(D15))&lt;&gt;9,"REVISAR",IFERROR(IF(OR(ISNUMBER(VALUE(LEFT(UPPER(TRIM(D15)),1))),LEFT(UPPER(TRIM(D15)),1)="X",LEFT(UPPER(TRIM(D15)),1)="Y",LEFT(UPPER(TRIM(D15)),1)="Z"),IF(MID("TRWAGMYFPDXBNJZSQVHLCKE",MOD(VALUE(SUBSTITUTE(SUBSTITUTE(SUBSTITUTE(LEFT(UPPER(TRIM(D15)),8),"X","0"),"Y","1"),"Z","2")),23)+1,1)=RIGHT(UPPER(TRIM(D15)),1),"OK","REVISAR"),IF(OR(RIGHT(UPPER(TRIM(D15)),1)=TEXT(MOD(10-MOD((VALUE(MID(UPPER(TRIM(D15)),3,1))+VALUE(MID(UPPER(TRIM(D15)),5,1))+VALUE(MID(UPPER(TRIM(D15)),7,1)))+(INT(2*VALUE(MID(UPPER(TRIM(D15)),2,1))/10)+MOD(2*VALUE(MID(UPPER(TRIM(D15)),2,1)),10))+(INT(2*VALUE(MID(UPPER(TRIM(D15)),4,1))/10)+MOD(2*VALUE(MID(UPPER(TRIM(D15)),4,1)),10))+(INT(2*VALUE(MID(UPPER(TRIM(D15)),6,1))/10)+MOD(2*VALUE(MID(UPPER(TRIM(D15)),6,1)),10))+(INT(2*VALUE(MID(UPPER(TRIM(D15)),8,1))/10)+MOD(2*VALUE(MID(UPPER(TRIM(D15)),8,1)),10)),10),10),"0"),RIGHT(UPPER(TRIM(D15)),1)=MID("JABCDEFGHI",MOD(10-MOD((VALUE(MID(UPPER(TRIM(D15)),3,1))+VALUE(MID(UPPER(TRIM(D15)),5,1))+VALUE(MID(UPPER(TRIM(D15)),7,1)))+(INT(2*VALUE(MID(UPPER(TRIM(D15)),2,1))/10)+MOD(2*VALUE(MID(UPPER(TRIM(D15)),2,1)),10))+(INT(2*VALUE(MID(UPPER(TRIM(D15)),4,1))/10)+MOD(2*VALUE(MID(UPPER(TRIM(D15)),4,1)),10))+(INT(2*VALUE(MID(UPPER(TRIM(D15)),6,1))/10)+MOD(2*VALUE(MID(UPPER(TRIM(D15)),6,1)),10))+(INT(2*VALUE(MID(UPPER(TRIM(D15)),8,1))/10)+MOD(2*VALUE(MID(UPPER(TRIM(D15)),8,1)),10)),10),10)+1,1)),"OK","REVISAR")),"REVISAR")))</f>
        <v/>
      </c>
      <c r="Q15">
        <f>IF(B15="","",IF(COUNTIFS($B$2:$B$501,B15,$D$2:$D$501,D15)&gt;1,"DUPLICADA",""))</f>
        <v/>
      </c>
      <c r="R15">
        <f>IF(A15="","",ROUNDUP(MONTH(A15)/3,0))</f>
        <v/>
      </c>
      <c r="S15" s="3" t="n"/>
    </row>
    <row r="16">
      <c r="A16" s="2" t="n"/>
      <c r="B16" s="3" t="n"/>
      <c r="C16" s="3" t="n"/>
      <c r="D16" s="3" t="n"/>
      <c r="E16" s="4" t="n"/>
      <c r="F16" s="4" t="n"/>
      <c r="G16" s="4" t="n"/>
      <c r="H16" s="4" t="n"/>
      <c r="I16" s="5">
        <f>IF(E16="","",ROUND(E16*0.21,2))</f>
        <v/>
      </c>
      <c r="J16" s="5">
        <f>IF(F16="","",ROUND(F16*0.1,2))</f>
        <v/>
      </c>
      <c r="K16" s="5">
        <f>IF(G16="","",ROUND(G16*0.04,2))</f>
        <v/>
      </c>
      <c r="L16" s="4" t="n"/>
      <c r="M16" s="4" t="n"/>
      <c r="N16" s="5">
        <f>IF(A16="","",SUM(E16:K16)-N(L16))</f>
        <v/>
      </c>
      <c r="O16">
        <f>IF(OR(A16="",M16=""),"",IF(ABS(M16-N16)&lt;=0.02,"OK","REVISAR"))</f>
        <v/>
      </c>
      <c r="P16">
        <f>IF(D16="","",IF(LEN(TRIM(D16))&lt;&gt;9,"REVISAR",IFERROR(IF(OR(ISNUMBER(VALUE(LEFT(UPPER(TRIM(D16)),1))),LEFT(UPPER(TRIM(D16)),1)="X",LEFT(UPPER(TRIM(D16)),1)="Y",LEFT(UPPER(TRIM(D16)),1)="Z"),IF(MID("TRWAGMYFPDXBNJZSQVHLCKE",MOD(VALUE(SUBSTITUTE(SUBSTITUTE(SUBSTITUTE(LEFT(UPPER(TRIM(D16)),8),"X","0"),"Y","1"),"Z","2")),23)+1,1)=RIGHT(UPPER(TRIM(D16)),1),"OK","REVISAR"),IF(OR(RIGHT(UPPER(TRIM(D16)),1)=TEXT(MOD(10-MOD((VALUE(MID(UPPER(TRIM(D16)),3,1))+VALUE(MID(UPPER(TRIM(D16)),5,1))+VALUE(MID(UPPER(TRIM(D16)),7,1)))+(INT(2*VALUE(MID(UPPER(TRIM(D16)),2,1))/10)+MOD(2*VALUE(MID(UPPER(TRIM(D16)),2,1)),10))+(INT(2*VALUE(MID(UPPER(TRIM(D16)),4,1))/10)+MOD(2*VALUE(MID(UPPER(TRIM(D16)),4,1)),10))+(INT(2*VALUE(MID(UPPER(TRIM(D16)),6,1))/10)+MOD(2*VALUE(MID(UPPER(TRIM(D16)),6,1)),10))+(INT(2*VALUE(MID(UPPER(TRIM(D16)),8,1))/10)+MOD(2*VALUE(MID(UPPER(TRIM(D16)),8,1)),10)),10),10),"0"),RIGHT(UPPER(TRIM(D16)),1)=MID("JABCDEFGHI",MOD(10-MOD((VALUE(MID(UPPER(TRIM(D16)),3,1))+VALUE(MID(UPPER(TRIM(D16)),5,1))+VALUE(MID(UPPER(TRIM(D16)),7,1)))+(INT(2*VALUE(MID(UPPER(TRIM(D16)),2,1))/10)+MOD(2*VALUE(MID(UPPER(TRIM(D16)),2,1)),10))+(INT(2*VALUE(MID(UPPER(TRIM(D16)),4,1))/10)+MOD(2*VALUE(MID(UPPER(TRIM(D16)),4,1)),10))+(INT(2*VALUE(MID(UPPER(TRIM(D16)),6,1))/10)+MOD(2*VALUE(MID(UPPER(TRIM(D16)),6,1)),10))+(INT(2*VALUE(MID(UPPER(TRIM(D16)),8,1))/10)+MOD(2*VALUE(MID(UPPER(TRIM(D16)),8,1)),10)),10),10)+1,1)),"OK","REVISAR")),"REVISAR")))</f>
        <v/>
      </c>
      <c r="Q16">
        <f>IF(B16="","",IF(COUNTIFS($B$2:$B$501,B16,$D$2:$D$501,D16)&gt;1,"DUPLICADA",""))</f>
        <v/>
      </c>
      <c r="R16">
        <f>IF(A16="","",ROUNDUP(MONTH(A16)/3,0))</f>
        <v/>
      </c>
      <c r="S16" s="3" t="n"/>
    </row>
    <row r="17">
      <c r="A17" s="2" t="n"/>
      <c r="B17" s="3" t="n"/>
      <c r="C17" s="3" t="n"/>
      <c r="D17" s="3" t="n"/>
      <c r="E17" s="4" t="n"/>
      <c r="F17" s="4" t="n"/>
      <c r="G17" s="4" t="n"/>
      <c r="H17" s="4" t="n"/>
      <c r="I17" s="5">
        <f>IF(E17="","",ROUND(E17*0.21,2))</f>
        <v/>
      </c>
      <c r="J17" s="5">
        <f>IF(F17="","",ROUND(F17*0.1,2))</f>
        <v/>
      </c>
      <c r="K17" s="5">
        <f>IF(G17="","",ROUND(G17*0.04,2))</f>
        <v/>
      </c>
      <c r="L17" s="4" t="n"/>
      <c r="M17" s="4" t="n"/>
      <c r="N17" s="5">
        <f>IF(A17="","",SUM(E17:K17)-N(L17))</f>
        <v/>
      </c>
      <c r="O17">
        <f>IF(OR(A17="",M17=""),"",IF(ABS(M17-N17)&lt;=0.02,"OK","REVISAR"))</f>
        <v/>
      </c>
      <c r="P17">
        <f>IF(D17="","",IF(LEN(TRIM(D17))&lt;&gt;9,"REVISAR",IFERROR(IF(OR(ISNUMBER(VALUE(LEFT(UPPER(TRIM(D17)),1))),LEFT(UPPER(TRIM(D17)),1)="X",LEFT(UPPER(TRIM(D17)),1)="Y",LEFT(UPPER(TRIM(D17)),1)="Z"),IF(MID("TRWAGMYFPDXBNJZSQVHLCKE",MOD(VALUE(SUBSTITUTE(SUBSTITUTE(SUBSTITUTE(LEFT(UPPER(TRIM(D17)),8),"X","0"),"Y","1"),"Z","2")),23)+1,1)=RIGHT(UPPER(TRIM(D17)),1),"OK","REVISAR"),IF(OR(RIGHT(UPPER(TRIM(D17)),1)=TEXT(MOD(10-MOD((VALUE(MID(UPPER(TRIM(D17)),3,1))+VALUE(MID(UPPER(TRIM(D17)),5,1))+VALUE(MID(UPPER(TRIM(D17)),7,1)))+(INT(2*VALUE(MID(UPPER(TRIM(D17)),2,1))/10)+MOD(2*VALUE(MID(UPPER(TRIM(D17)),2,1)),10))+(INT(2*VALUE(MID(UPPER(TRIM(D17)),4,1))/10)+MOD(2*VALUE(MID(UPPER(TRIM(D17)),4,1)),10))+(INT(2*VALUE(MID(UPPER(TRIM(D17)),6,1))/10)+MOD(2*VALUE(MID(UPPER(TRIM(D17)),6,1)),10))+(INT(2*VALUE(MID(UPPER(TRIM(D17)),8,1))/10)+MOD(2*VALUE(MID(UPPER(TRIM(D17)),8,1)),10)),10),10),"0"),RIGHT(UPPER(TRIM(D17)),1)=MID("JABCDEFGHI",MOD(10-MOD((VALUE(MID(UPPER(TRIM(D17)),3,1))+VALUE(MID(UPPER(TRIM(D17)),5,1))+VALUE(MID(UPPER(TRIM(D17)),7,1)))+(INT(2*VALUE(MID(UPPER(TRIM(D17)),2,1))/10)+MOD(2*VALUE(MID(UPPER(TRIM(D17)),2,1)),10))+(INT(2*VALUE(MID(UPPER(TRIM(D17)),4,1))/10)+MOD(2*VALUE(MID(UPPER(TRIM(D17)),4,1)),10))+(INT(2*VALUE(MID(UPPER(TRIM(D17)),6,1))/10)+MOD(2*VALUE(MID(UPPER(TRIM(D17)),6,1)),10))+(INT(2*VALUE(MID(UPPER(TRIM(D17)),8,1))/10)+MOD(2*VALUE(MID(UPPER(TRIM(D17)),8,1)),10)),10),10)+1,1)),"OK","REVISAR")),"REVISAR")))</f>
        <v/>
      </c>
      <c r="Q17">
        <f>IF(B17="","",IF(COUNTIFS($B$2:$B$501,B17,$D$2:$D$501,D17)&gt;1,"DUPLICADA",""))</f>
        <v/>
      </c>
      <c r="R17">
        <f>IF(A17="","",ROUNDUP(MONTH(A17)/3,0))</f>
        <v/>
      </c>
      <c r="S17" s="3" t="n"/>
    </row>
    <row r="18">
      <c r="A18" s="2" t="n"/>
      <c r="B18" s="3" t="n"/>
      <c r="C18" s="3" t="n"/>
      <c r="D18" s="3" t="n"/>
      <c r="E18" s="4" t="n"/>
      <c r="F18" s="4" t="n"/>
      <c r="G18" s="4" t="n"/>
      <c r="H18" s="4" t="n"/>
      <c r="I18" s="5">
        <f>IF(E18="","",ROUND(E18*0.21,2))</f>
        <v/>
      </c>
      <c r="J18" s="5">
        <f>IF(F18="","",ROUND(F18*0.1,2))</f>
        <v/>
      </c>
      <c r="K18" s="5">
        <f>IF(G18="","",ROUND(G18*0.04,2))</f>
        <v/>
      </c>
      <c r="L18" s="4" t="n"/>
      <c r="M18" s="4" t="n"/>
      <c r="N18" s="5">
        <f>IF(A18="","",SUM(E18:K18)-N(L18))</f>
        <v/>
      </c>
      <c r="O18">
        <f>IF(OR(A18="",M18=""),"",IF(ABS(M18-N18)&lt;=0.02,"OK","REVISAR"))</f>
        <v/>
      </c>
      <c r="P18">
        <f>IF(D18="","",IF(LEN(TRIM(D18))&lt;&gt;9,"REVISAR",IFERROR(IF(OR(ISNUMBER(VALUE(LEFT(UPPER(TRIM(D18)),1))),LEFT(UPPER(TRIM(D18)),1)="X",LEFT(UPPER(TRIM(D18)),1)="Y",LEFT(UPPER(TRIM(D18)),1)="Z"),IF(MID("TRWAGMYFPDXBNJZSQVHLCKE",MOD(VALUE(SUBSTITUTE(SUBSTITUTE(SUBSTITUTE(LEFT(UPPER(TRIM(D18)),8),"X","0"),"Y","1"),"Z","2")),23)+1,1)=RIGHT(UPPER(TRIM(D18)),1),"OK","REVISAR"),IF(OR(RIGHT(UPPER(TRIM(D18)),1)=TEXT(MOD(10-MOD((VALUE(MID(UPPER(TRIM(D18)),3,1))+VALUE(MID(UPPER(TRIM(D18)),5,1))+VALUE(MID(UPPER(TRIM(D18)),7,1)))+(INT(2*VALUE(MID(UPPER(TRIM(D18)),2,1))/10)+MOD(2*VALUE(MID(UPPER(TRIM(D18)),2,1)),10))+(INT(2*VALUE(MID(UPPER(TRIM(D18)),4,1))/10)+MOD(2*VALUE(MID(UPPER(TRIM(D18)),4,1)),10))+(INT(2*VALUE(MID(UPPER(TRIM(D18)),6,1))/10)+MOD(2*VALUE(MID(UPPER(TRIM(D18)),6,1)),10))+(INT(2*VALUE(MID(UPPER(TRIM(D18)),8,1))/10)+MOD(2*VALUE(MID(UPPER(TRIM(D18)),8,1)),10)),10),10),"0"),RIGHT(UPPER(TRIM(D18)),1)=MID("JABCDEFGHI",MOD(10-MOD((VALUE(MID(UPPER(TRIM(D18)),3,1))+VALUE(MID(UPPER(TRIM(D18)),5,1))+VALUE(MID(UPPER(TRIM(D18)),7,1)))+(INT(2*VALUE(MID(UPPER(TRIM(D18)),2,1))/10)+MOD(2*VALUE(MID(UPPER(TRIM(D18)),2,1)),10))+(INT(2*VALUE(MID(UPPER(TRIM(D18)),4,1))/10)+MOD(2*VALUE(MID(UPPER(TRIM(D18)),4,1)),10))+(INT(2*VALUE(MID(UPPER(TRIM(D18)),6,1))/10)+MOD(2*VALUE(MID(UPPER(TRIM(D18)),6,1)),10))+(INT(2*VALUE(MID(UPPER(TRIM(D18)),8,1))/10)+MOD(2*VALUE(MID(UPPER(TRIM(D18)),8,1)),10)),10),10)+1,1)),"OK","REVISAR")),"REVISAR")))</f>
        <v/>
      </c>
      <c r="Q18">
        <f>IF(B18="","",IF(COUNTIFS($B$2:$B$501,B18,$D$2:$D$501,D18)&gt;1,"DUPLICADA",""))</f>
        <v/>
      </c>
      <c r="R18">
        <f>IF(A18="","",ROUNDUP(MONTH(A18)/3,0))</f>
        <v/>
      </c>
      <c r="S18" s="3" t="n"/>
    </row>
    <row r="19">
      <c r="A19" s="2" t="n"/>
      <c r="B19" s="3" t="n"/>
      <c r="C19" s="3" t="n"/>
      <c r="D19" s="3" t="n"/>
      <c r="E19" s="4" t="n"/>
      <c r="F19" s="4" t="n"/>
      <c r="G19" s="4" t="n"/>
      <c r="H19" s="4" t="n"/>
      <c r="I19" s="5">
        <f>IF(E19="","",ROUND(E19*0.21,2))</f>
        <v/>
      </c>
      <c r="J19" s="5">
        <f>IF(F19="","",ROUND(F19*0.1,2))</f>
        <v/>
      </c>
      <c r="K19" s="5">
        <f>IF(G19="","",ROUND(G19*0.04,2))</f>
        <v/>
      </c>
      <c r="L19" s="4" t="n"/>
      <c r="M19" s="4" t="n"/>
      <c r="N19" s="5">
        <f>IF(A19="","",SUM(E19:K19)-N(L19))</f>
        <v/>
      </c>
      <c r="O19">
        <f>IF(OR(A19="",M19=""),"",IF(ABS(M19-N19)&lt;=0.02,"OK","REVISAR"))</f>
        <v/>
      </c>
      <c r="P19">
        <f>IF(D19="","",IF(LEN(TRIM(D19))&lt;&gt;9,"REVISAR",IFERROR(IF(OR(ISNUMBER(VALUE(LEFT(UPPER(TRIM(D19)),1))),LEFT(UPPER(TRIM(D19)),1)="X",LEFT(UPPER(TRIM(D19)),1)="Y",LEFT(UPPER(TRIM(D19)),1)="Z"),IF(MID("TRWAGMYFPDXBNJZSQVHLCKE",MOD(VALUE(SUBSTITUTE(SUBSTITUTE(SUBSTITUTE(LEFT(UPPER(TRIM(D19)),8),"X","0"),"Y","1"),"Z","2")),23)+1,1)=RIGHT(UPPER(TRIM(D19)),1),"OK","REVISAR"),IF(OR(RIGHT(UPPER(TRIM(D19)),1)=TEXT(MOD(10-MOD((VALUE(MID(UPPER(TRIM(D19)),3,1))+VALUE(MID(UPPER(TRIM(D19)),5,1))+VALUE(MID(UPPER(TRIM(D19)),7,1)))+(INT(2*VALUE(MID(UPPER(TRIM(D19)),2,1))/10)+MOD(2*VALUE(MID(UPPER(TRIM(D19)),2,1)),10))+(INT(2*VALUE(MID(UPPER(TRIM(D19)),4,1))/10)+MOD(2*VALUE(MID(UPPER(TRIM(D19)),4,1)),10))+(INT(2*VALUE(MID(UPPER(TRIM(D19)),6,1))/10)+MOD(2*VALUE(MID(UPPER(TRIM(D19)),6,1)),10))+(INT(2*VALUE(MID(UPPER(TRIM(D19)),8,1))/10)+MOD(2*VALUE(MID(UPPER(TRIM(D19)),8,1)),10)),10),10),"0"),RIGHT(UPPER(TRIM(D19)),1)=MID("JABCDEFGHI",MOD(10-MOD((VALUE(MID(UPPER(TRIM(D19)),3,1))+VALUE(MID(UPPER(TRIM(D19)),5,1))+VALUE(MID(UPPER(TRIM(D19)),7,1)))+(INT(2*VALUE(MID(UPPER(TRIM(D19)),2,1))/10)+MOD(2*VALUE(MID(UPPER(TRIM(D19)),2,1)),10))+(INT(2*VALUE(MID(UPPER(TRIM(D19)),4,1))/10)+MOD(2*VALUE(MID(UPPER(TRIM(D19)),4,1)),10))+(INT(2*VALUE(MID(UPPER(TRIM(D19)),6,1))/10)+MOD(2*VALUE(MID(UPPER(TRIM(D19)),6,1)),10))+(INT(2*VALUE(MID(UPPER(TRIM(D19)),8,1))/10)+MOD(2*VALUE(MID(UPPER(TRIM(D19)),8,1)),10)),10),10)+1,1)),"OK","REVISAR")),"REVISAR")))</f>
        <v/>
      </c>
      <c r="Q19">
        <f>IF(B19="","",IF(COUNTIFS($B$2:$B$501,B19,$D$2:$D$501,D19)&gt;1,"DUPLICADA",""))</f>
        <v/>
      </c>
      <c r="R19">
        <f>IF(A19="","",ROUNDUP(MONTH(A19)/3,0))</f>
        <v/>
      </c>
      <c r="S19" s="3" t="n"/>
    </row>
    <row r="20">
      <c r="A20" s="2" t="n"/>
      <c r="B20" s="3" t="n"/>
      <c r="C20" s="3" t="n"/>
      <c r="D20" s="3" t="n"/>
      <c r="E20" s="4" t="n"/>
      <c r="F20" s="4" t="n"/>
      <c r="G20" s="4" t="n"/>
      <c r="H20" s="4" t="n"/>
      <c r="I20" s="5">
        <f>IF(E20="","",ROUND(E20*0.21,2))</f>
        <v/>
      </c>
      <c r="J20" s="5">
        <f>IF(F20="","",ROUND(F20*0.1,2))</f>
        <v/>
      </c>
      <c r="K20" s="5">
        <f>IF(G20="","",ROUND(G20*0.04,2))</f>
        <v/>
      </c>
      <c r="L20" s="4" t="n"/>
      <c r="M20" s="4" t="n"/>
      <c r="N20" s="5">
        <f>IF(A20="","",SUM(E20:K20)-N(L20))</f>
        <v/>
      </c>
      <c r="O20">
        <f>IF(OR(A20="",M20=""),"",IF(ABS(M20-N20)&lt;=0.02,"OK","REVISAR"))</f>
        <v/>
      </c>
      <c r="P20">
        <f>IF(D20="","",IF(LEN(TRIM(D20))&lt;&gt;9,"REVISAR",IFERROR(IF(OR(ISNUMBER(VALUE(LEFT(UPPER(TRIM(D20)),1))),LEFT(UPPER(TRIM(D20)),1)="X",LEFT(UPPER(TRIM(D20)),1)="Y",LEFT(UPPER(TRIM(D20)),1)="Z"),IF(MID("TRWAGMYFPDXBNJZSQVHLCKE",MOD(VALUE(SUBSTITUTE(SUBSTITUTE(SUBSTITUTE(LEFT(UPPER(TRIM(D20)),8),"X","0"),"Y","1"),"Z","2")),23)+1,1)=RIGHT(UPPER(TRIM(D20)),1),"OK","REVISAR"),IF(OR(RIGHT(UPPER(TRIM(D20)),1)=TEXT(MOD(10-MOD((VALUE(MID(UPPER(TRIM(D20)),3,1))+VALUE(MID(UPPER(TRIM(D20)),5,1))+VALUE(MID(UPPER(TRIM(D20)),7,1)))+(INT(2*VALUE(MID(UPPER(TRIM(D20)),2,1))/10)+MOD(2*VALUE(MID(UPPER(TRIM(D20)),2,1)),10))+(INT(2*VALUE(MID(UPPER(TRIM(D20)),4,1))/10)+MOD(2*VALUE(MID(UPPER(TRIM(D20)),4,1)),10))+(INT(2*VALUE(MID(UPPER(TRIM(D20)),6,1))/10)+MOD(2*VALUE(MID(UPPER(TRIM(D20)),6,1)),10))+(INT(2*VALUE(MID(UPPER(TRIM(D20)),8,1))/10)+MOD(2*VALUE(MID(UPPER(TRIM(D20)),8,1)),10)),10),10),"0"),RIGHT(UPPER(TRIM(D20)),1)=MID("JABCDEFGHI",MOD(10-MOD((VALUE(MID(UPPER(TRIM(D20)),3,1))+VALUE(MID(UPPER(TRIM(D20)),5,1))+VALUE(MID(UPPER(TRIM(D20)),7,1)))+(INT(2*VALUE(MID(UPPER(TRIM(D20)),2,1))/10)+MOD(2*VALUE(MID(UPPER(TRIM(D20)),2,1)),10))+(INT(2*VALUE(MID(UPPER(TRIM(D20)),4,1))/10)+MOD(2*VALUE(MID(UPPER(TRIM(D20)),4,1)),10))+(INT(2*VALUE(MID(UPPER(TRIM(D20)),6,1))/10)+MOD(2*VALUE(MID(UPPER(TRIM(D20)),6,1)),10))+(INT(2*VALUE(MID(UPPER(TRIM(D20)),8,1))/10)+MOD(2*VALUE(MID(UPPER(TRIM(D20)),8,1)),10)),10),10)+1,1)),"OK","REVISAR")),"REVISAR")))</f>
        <v/>
      </c>
      <c r="Q20">
        <f>IF(B20="","",IF(COUNTIFS($B$2:$B$501,B20,$D$2:$D$501,D20)&gt;1,"DUPLICADA",""))</f>
        <v/>
      </c>
      <c r="R20">
        <f>IF(A20="","",ROUNDUP(MONTH(A20)/3,0))</f>
        <v/>
      </c>
      <c r="S20" s="3" t="n"/>
    </row>
    <row r="21">
      <c r="A21" s="2" t="n"/>
      <c r="B21" s="3" t="n"/>
      <c r="C21" s="3" t="n"/>
      <c r="D21" s="3" t="n"/>
      <c r="E21" s="4" t="n"/>
      <c r="F21" s="4" t="n"/>
      <c r="G21" s="4" t="n"/>
      <c r="H21" s="4" t="n"/>
      <c r="I21" s="5">
        <f>IF(E21="","",ROUND(E21*0.21,2))</f>
        <v/>
      </c>
      <c r="J21" s="5">
        <f>IF(F21="","",ROUND(F21*0.1,2))</f>
        <v/>
      </c>
      <c r="K21" s="5">
        <f>IF(G21="","",ROUND(G21*0.04,2))</f>
        <v/>
      </c>
      <c r="L21" s="4" t="n"/>
      <c r="M21" s="4" t="n"/>
      <c r="N21" s="5">
        <f>IF(A21="","",SUM(E21:K21)-N(L21))</f>
        <v/>
      </c>
      <c r="O21">
        <f>IF(OR(A21="",M21=""),"",IF(ABS(M21-N21)&lt;=0.02,"OK","REVISAR"))</f>
        <v/>
      </c>
      <c r="P21">
        <f>IF(D21="","",IF(LEN(TRIM(D21))&lt;&gt;9,"REVISAR",IFERROR(IF(OR(ISNUMBER(VALUE(LEFT(UPPER(TRIM(D21)),1))),LEFT(UPPER(TRIM(D21)),1)="X",LEFT(UPPER(TRIM(D21)),1)="Y",LEFT(UPPER(TRIM(D21)),1)="Z"),IF(MID("TRWAGMYFPDXBNJZSQVHLCKE",MOD(VALUE(SUBSTITUTE(SUBSTITUTE(SUBSTITUTE(LEFT(UPPER(TRIM(D21)),8),"X","0"),"Y","1"),"Z","2")),23)+1,1)=RIGHT(UPPER(TRIM(D21)),1),"OK","REVISAR"),IF(OR(RIGHT(UPPER(TRIM(D21)),1)=TEXT(MOD(10-MOD((VALUE(MID(UPPER(TRIM(D21)),3,1))+VALUE(MID(UPPER(TRIM(D21)),5,1))+VALUE(MID(UPPER(TRIM(D21)),7,1)))+(INT(2*VALUE(MID(UPPER(TRIM(D21)),2,1))/10)+MOD(2*VALUE(MID(UPPER(TRIM(D21)),2,1)),10))+(INT(2*VALUE(MID(UPPER(TRIM(D21)),4,1))/10)+MOD(2*VALUE(MID(UPPER(TRIM(D21)),4,1)),10))+(INT(2*VALUE(MID(UPPER(TRIM(D21)),6,1))/10)+MOD(2*VALUE(MID(UPPER(TRIM(D21)),6,1)),10))+(INT(2*VALUE(MID(UPPER(TRIM(D21)),8,1))/10)+MOD(2*VALUE(MID(UPPER(TRIM(D21)),8,1)),10)),10),10),"0"),RIGHT(UPPER(TRIM(D21)),1)=MID("JABCDEFGHI",MOD(10-MOD((VALUE(MID(UPPER(TRIM(D21)),3,1))+VALUE(MID(UPPER(TRIM(D21)),5,1))+VALUE(MID(UPPER(TRIM(D21)),7,1)))+(INT(2*VALUE(MID(UPPER(TRIM(D21)),2,1))/10)+MOD(2*VALUE(MID(UPPER(TRIM(D21)),2,1)),10))+(INT(2*VALUE(MID(UPPER(TRIM(D21)),4,1))/10)+MOD(2*VALUE(MID(UPPER(TRIM(D21)),4,1)),10))+(INT(2*VALUE(MID(UPPER(TRIM(D21)),6,1))/10)+MOD(2*VALUE(MID(UPPER(TRIM(D21)),6,1)),10))+(INT(2*VALUE(MID(UPPER(TRIM(D21)),8,1))/10)+MOD(2*VALUE(MID(UPPER(TRIM(D21)),8,1)),10)),10),10)+1,1)),"OK","REVISAR")),"REVISAR")))</f>
        <v/>
      </c>
      <c r="Q21">
        <f>IF(B21="","",IF(COUNTIFS($B$2:$B$501,B21,$D$2:$D$501,D21)&gt;1,"DUPLICADA",""))</f>
        <v/>
      </c>
      <c r="R21">
        <f>IF(A21="","",ROUNDUP(MONTH(A21)/3,0))</f>
        <v/>
      </c>
      <c r="S21" s="3" t="n"/>
    </row>
    <row r="22">
      <c r="A22" s="2" t="n"/>
      <c r="B22" s="3" t="n"/>
      <c r="C22" s="3" t="n"/>
      <c r="D22" s="3" t="n"/>
      <c r="E22" s="4" t="n"/>
      <c r="F22" s="4" t="n"/>
      <c r="G22" s="4" t="n"/>
      <c r="H22" s="4" t="n"/>
      <c r="I22" s="5">
        <f>IF(E22="","",ROUND(E22*0.21,2))</f>
        <v/>
      </c>
      <c r="J22" s="5">
        <f>IF(F22="","",ROUND(F22*0.1,2))</f>
        <v/>
      </c>
      <c r="K22" s="5">
        <f>IF(G22="","",ROUND(G22*0.04,2))</f>
        <v/>
      </c>
      <c r="L22" s="4" t="n"/>
      <c r="M22" s="4" t="n"/>
      <c r="N22" s="5">
        <f>IF(A22="","",SUM(E22:K22)-N(L22))</f>
        <v/>
      </c>
      <c r="O22">
        <f>IF(OR(A22="",M22=""),"",IF(ABS(M22-N22)&lt;=0.02,"OK","REVISAR"))</f>
        <v/>
      </c>
      <c r="P22">
        <f>IF(D22="","",IF(LEN(TRIM(D22))&lt;&gt;9,"REVISAR",IFERROR(IF(OR(ISNUMBER(VALUE(LEFT(UPPER(TRIM(D22)),1))),LEFT(UPPER(TRIM(D22)),1)="X",LEFT(UPPER(TRIM(D22)),1)="Y",LEFT(UPPER(TRIM(D22)),1)="Z"),IF(MID("TRWAGMYFPDXBNJZSQVHLCKE",MOD(VALUE(SUBSTITUTE(SUBSTITUTE(SUBSTITUTE(LEFT(UPPER(TRIM(D22)),8),"X","0"),"Y","1"),"Z","2")),23)+1,1)=RIGHT(UPPER(TRIM(D22)),1),"OK","REVISAR"),IF(OR(RIGHT(UPPER(TRIM(D22)),1)=TEXT(MOD(10-MOD((VALUE(MID(UPPER(TRIM(D22)),3,1))+VALUE(MID(UPPER(TRIM(D22)),5,1))+VALUE(MID(UPPER(TRIM(D22)),7,1)))+(INT(2*VALUE(MID(UPPER(TRIM(D22)),2,1))/10)+MOD(2*VALUE(MID(UPPER(TRIM(D22)),2,1)),10))+(INT(2*VALUE(MID(UPPER(TRIM(D22)),4,1))/10)+MOD(2*VALUE(MID(UPPER(TRIM(D22)),4,1)),10))+(INT(2*VALUE(MID(UPPER(TRIM(D22)),6,1))/10)+MOD(2*VALUE(MID(UPPER(TRIM(D22)),6,1)),10))+(INT(2*VALUE(MID(UPPER(TRIM(D22)),8,1))/10)+MOD(2*VALUE(MID(UPPER(TRIM(D22)),8,1)),10)),10),10),"0"),RIGHT(UPPER(TRIM(D22)),1)=MID("JABCDEFGHI",MOD(10-MOD((VALUE(MID(UPPER(TRIM(D22)),3,1))+VALUE(MID(UPPER(TRIM(D22)),5,1))+VALUE(MID(UPPER(TRIM(D22)),7,1)))+(INT(2*VALUE(MID(UPPER(TRIM(D22)),2,1))/10)+MOD(2*VALUE(MID(UPPER(TRIM(D22)),2,1)),10))+(INT(2*VALUE(MID(UPPER(TRIM(D22)),4,1))/10)+MOD(2*VALUE(MID(UPPER(TRIM(D22)),4,1)),10))+(INT(2*VALUE(MID(UPPER(TRIM(D22)),6,1))/10)+MOD(2*VALUE(MID(UPPER(TRIM(D22)),6,1)),10))+(INT(2*VALUE(MID(UPPER(TRIM(D22)),8,1))/10)+MOD(2*VALUE(MID(UPPER(TRIM(D22)),8,1)),10)),10),10)+1,1)),"OK","REVISAR")),"REVISAR")))</f>
        <v/>
      </c>
      <c r="Q22">
        <f>IF(B22="","",IF(COUNTIFS($B$2:$B$501,B22,$D$2:$D$501,D22)&gt;1,"DUPLICADA",""))</f>
        <v/>
      </c>
      <c r="R22">
        <f>IF(A22="","",ROUNDUP(MONTH(A22)/3,0))</f>
        <v/>
      </c>
      <c r="S22" s="3" t="n"/>
    </row>
    <row r="23">
      <c r="A23" s="2" t="n"/>
      <c r="B23" s="3" t="n"/>
      <c r="C23" s="3" t="n"/>
      <c r="D23" s="3" t="n"/>
      <c r="E23" s="4" t="n"/>
      <c r="F23" s="4" t="n"/>
      <c r="G23" s="4" t="n"/>
      <c r="H23" s="4" t="n"/>
      <c r="I23" s="5">
        <f>IF(E23="","",ROUND(E23*0.21,2))</f>
        <v/>
      </c>
      <c r="J23" s="5">
        <f>IF(F23="","",ROUND(F23*0.1,2))</f>
        <v/>
      </c>
      <c r="K23" s="5">
        <f>IF(G23="","",ROUND(G23*0.04,2))</f>
        <v/>
      </c>
      <c r="L23" s="4" t="n"/>
      <c r="M23" s="4" t="n"/>
      <c r="N23" s="5">
        <f>IF(A23="","",SUM(E23:K23)-N(L23))</f>
        <v/>
      </c>
      <c r="O23">
        <f>IF(OR(A23="",M23=""),"",IF(ABS(M23-N23)&lt;=0.02,"OK","REVISAR"))</f>
        <v/>
      </c>
      <c r="P23">
        <f>IF(D23="","",IF(LEN(TRIM(D23))&lt;&gt;9,"REVISAR",IFERROR(IF(OR(ISNUMBER(VALUE(LEFT(UPPER(TRIM(D23)),1))),LEFT(UPPER(TRIM(D23)),1)="X",LEFT(UPPER(TRIM(D23)),1)="Y",LEFT(UPPER(TRIM(D23)),1)="Z"),IF(MID("TRWAGMYFPDXBNJZSQVHLCKE",MOD(VALUE(SUBSTITUTE(SUBSTITUTE(SUBSTITUTE(LEFT(UPPER(TRIM(D23)),8),"X","0"),"Y","1"),"Z","2")),23)+1,1)=RIGHT(UPPER(TRIM(D23)),1),"OK","REVISAR"),IF(OR(RIGHT(UPPER(TRIM(D23)),1)=TEXT(MOD(10-MOD((VALUE(MID(UPPER(TRIM(D23)),3,1))+VALUE(MID(UPPER(TRIM(D23)),5,1))+VALUE(MID(UPPER(TRIM(D23)),7,1)))+(INT(2*VALUE(MID(UPPER(TRIM(D23)),2,1))/10)+MOD(2*VALUE(MID(UPPER(TRIM(D23)),2,1)),10))+(INT(2*VALUE(MID(UPPER(TRIM(D23)),4,1))/10)+MOD(2*VALUE(MID(UPPER(TRIM(D23)),4,1)),10))+(INT(2*VALUE(MID(UPPER(TRIM(D23)),6,1))/10)+MOD(2*VALUE(MID(UPPER(TRIM(D23)),6,1)),10))+(INT(2*VALUE(MID(UPPER(TRIM(D23)),8,1))/10)+MOD(2*VALUE(MID(UPPER(TRIM(D23)),8,1)),10)),10),10),"0"),RIGHT(UPPER(TRIM(D23)),1)=MID("JABCDEFGHI",MOD(10-MOD((VALUE(MID(UPPER(TRIM(D23)),3,1))+VALUE(MID(UPPER(TRIM(D23)),5,1))+VALUE(MID(UPPER(TRIM(D23)),7,1)))+(INT(2*VALUE(MID(UPPER(TRIM(D23)),2,1))/10)+MOD(2*VALUE(MID(UPPER(TRIM(D23)),2,1)),10))+(INT(2*VALUE(MID(UPPER(TRIM(D23)),4,1))/10)+MOD(2*VALUE(MID(UPPER(TRIM(D23)),4,1)),10))+(INT(2*VALUE(MID(UPPER(TRIM(D23)),6,1))/10)+MOD(2*VALUE(MID(UPPER(TRIM(D23)),6,1)),10))+(INT(2*VALUE(MID(UPPER(TRIM(D23)),8,1))/10)+MOD(2*VALUE(MID(UPPER(TRIM(D23)),8,1)),10)),10),10)+1,1)),"OK","REVISAR")),"REVISAR")))</f>
        <v/>
      </c>
      <c r="Q23">
        <f>IF(B23="","",IF(COUNTIFS($B$2:$B$501,B23,$D$2:$D$501,D23)&gt;1,"DUPLICADA",""))</f>
        <v/>
      </c>
      <c r="R23">
        <f>IF(A23="","",ROUNDUP(MONTH(A23)/3,0))</f>
        <v/>
      </c>
      <c r="S23" s="3" t="n"/>
    </row>
    <row r="24">
      <c r="A24" s="2" t="n"/>
      <c r="B24" s="3" t="n"/>
      <c r="C24" s="3" t="n"/>
      <c r="D24" s="3" t="n"/>
      <c r="E24" s="4" t="n"/>
      <c r="F24" s="4" t="n"/>
      <c r="G24" s="4" t="n"/>
      <c r="H24" s="4" t="n"/>
      <c r="I24" s="5">
        <f>IF(E24="","",ROUND(E24*0.21,2))</f>
        <v/>
      </c>
      <c r="J24" s="5">
        <f>IF(F24="","",ROUND(F24*0.1,2))</f>
        <v/>
      </c>
      <c r="K24" s="5">
        <f>IF(G24="","",ROUND(G24*0.04,2))</f>
        <v/>
      </c>
      <c r="L24" s="4" t="n"/>
      <c r="M24" s="4" t="n"/>
      <c r="N24" s="5">
        <f>IF(A24="","",SUM(E24:K24)-N(L24))</f>
        <v/>
      </c>
      <c r="O24">
        <f>IF(OR(A24="",M24=""),"",IF(ABS(M24-N24)&lt;=0.02,"OK","REVISAR"))</f>
        <v/>
      </c>
      <c r="P24">
        <f>IF(D24="","",IF(LEN(TRIM(D24))&lt;&gt;9,"REVISAR",IFERROR(IF(OR(ISNUMBER(VALUE(LEFT(UPPER(TRIM(D24)),1))),LEFT(UPPER(TRIM(D24)),1)="X",LEFT(UPPER(TRIM(D24)),1)="Y",LEFT(UPPER(TRIM(D24)),1)="Z"),IF(MID("TRWAGMYFPDXBNJZSQVHLCKE",MOD(VALUE(SUBSTITUTE(SUBSTITUTE(SUBSTITUTE(LEFT(UPPER(TRIM(D24)),8),"X","0"),"Y","1"),"Z","2")),23)+1,1)=RIGHT(UPPER(TRIM(D24)),1),"OK","REVISAR"),IF(OR(RIGHT(UPPER(TRIM(D24)),1)=TEXT(MOD(10-MOD((VALUE(MID(UPPER(TRIM(D24)),3,1))+VALUE(MID(UPPER(TRIM(D24)),5,1))+VALUE(MID(UPPER(TRIM(D24)),7,1)))+(INT(2*VALUE(MID(UPPER(TRIM(D24)),2,1))/10)+MOD(2*VALUE(MID(UPPER(TRIM(D24)),2,1)),10))+(INT(2*VALUE(MID(UPPER(TRIM(D24)),4,1))/10)+MOD(2*VALUE(MID(UPPER(TRIM(D24)),4,1)),10))+(INT(2*VALUE(MID(UPPER(TRIM(D24)),6,1))/10)+MOD(2*VALUE(MID(UPPER(TRIM(D24)),6,1)),10))+(INT(2*VALUE(MID(UPPER(TRIM(D24)),8,1))/10)+MOD(2*VALUE(MID(UPPER(TRIM(D24)),8,1)),10)),10),10),"0"),RIGHT(UPPER(TRIM(D24)),1)=MID("JABCDEFGHI",MOD(10-MOD((VALUE(MID(UPPER(TRIM(D24)),3,1))+VALUE(MID(UPPER(TRIM(D24)),5,1))+VALUE(MID(UPPER(TRIM(D24)),7,1)))+(INT(2*VALUE(MID(UPPER(TRIM(D24)),2,1))/10)+MOD(2*VALUE(MID(UPPER(TRIM(D24)),2,1)),10))+(INT(2*VALUE(MID(UPPER(TRIM(D24)),4,1))/10)+MOD(2*VALUE(MID(UPPER(TRIM(D24)),4,1)),10))+(INT(2*VALUE(MID(UPPER(TRIM(D24)),6,1))/10)+MOD(2*VALUE(MID(UPPER(TRIM(D24)),6,1)),10))+(INT(2*VALUE(MID(UPPER(TRIM(D24)),8,1))/10)+MOD(2*VALUE(MID(UPPER(TRIM(D24)),8,1)),10)),10),10)+1,1)),"OK","REVISAR")),"REVISAR")))</f>
        <v/>
      </c>
      <c r="Q24">
        <f>IF(B24="","",IF(COUNTIFS($B$2:$B$501,B24,$D$2:$D$501,D24)&gt;1,"DUPLICADA",""))</f>
        <v/>
      </c>
      <c r="R24">
        <f>IF(A24="","",ROUNDUP(MONTH(A24)/3,0))</f>
        <v/>
      </c>
      <c r="S24" s="3" t="n"/>
    </row>
    <row r="25">
      <c r="A25" s="2" t="n"/>
      <c r="B25" s="3" t="n"/>
      <c r="C25" s="3" t="n"/>
      <c r="D25" s="3" t="n"/>
      <c r="E25" s="4" t="n"/>
      <c r="F25" s="4" t="n"/>
      <c r="G25" s="4" t="n"/>
      <c r="H25" s="4" t="n"/>
      <c r="I25" s="5">
        <f>IF(E25="","",ROUND(E25*0.21,2))</f>
        <v/>
      </c>
      <c r="J25" s="5">
        <f>IF(F25="","",ROUND(F25*0.1,2))</f>
        <v/>
      </c>
      <c r="K25" s="5">
        <f>IF(G25="","",ROUND(G25*0.04,2))</f>
        <v/>
      </c>
      <c r="L25" s="4" t="n"/>
      <c r="M25" s="4" t="n"/>
      <c r="N25" s="5">
        <f>IF(A25="","",SUM(E25:K25)-N(L25))</f>
        <v/>
      </c>
      <c r="O25">
        <f>IF(OR(A25="",M25=""),"",IF(ABS(M25-N25)&lt;=0.02,"OK","REVISAR"))</f>
        <v/>
      </c>
      <c r="P25">
        <f>IF(D25="","",IF(LEN(TRIM(D25))&lt;&gt;9,"REVISAR",IFERROR(IF(OR(ISNUMBER(VALUE(LEFT(UPPER(TRIM(D25)),1))),LEFT(UPPER(TRIM(D25)),1)="X",LEFT(UPPER(TRIM(D25)),1)="Y",LEFT(UPPER(TRIM(D25)),1)="Z"),IF(MID("TRWAGMYFPDXBNJZSQVHLCKE",MOD(VALUE(SUBSTITUTE(SUBSTITUTE(SUBSTITUTE(LEFT(UPPER(TRIM(D25)),8),"X","0"),"Y","1"),"Z","2")),23)+1,1)=RIGHT(UPPER(TRIM(D25)),1),"OK","REVISAR"),IF(OR(RIGHT(UPPER(TRIM(D25)),1)=TEXT(MOD(10-MOD((VALUE(MID(UPPER(TRIM(D25)),3,1))+VALUE(MID(UPPER(TRIM(D25)),5,1))+VALUE(MID(UPPER(TRIM(D25)),7,1)))+(INT(2*VALUE(MID(UPPER(TRIM(D25)),2,1))/10)+MOD(2*VALUE(MID(UPPER(TRIM(D25)),2,1)),10))+(INT(2*VALUE(MID(UPPER(TRIM(D25)),4,1))/10)+MOD(2*VALUE(MID(UPPER(TRIM(D25)),4,1)),10))+(INT(2*VALUE(MID(UPPER(TRIM(D25)),6,1))/10)+MOD(2*VALUE(MID(UPPER(TRIM(D25)),6,1)),10))+(INT(2*VALUE(MID(UPPER(TRIM(D25)),8,1))/10)+MOD(2*VALUE(MID(UPPER(TRIM(D25)),8,1)),10)),10),10),"0"),RIGHT(UPPER(TRIM(D25)),1)=MID("JABCDEFGHI",MOD(10-MOD((VALUE(MID(UPPER(TRIM(D25)),3,1))+VALUE(MID(UPPER(TRIM(D25)),5,1))+VALUE(MID(UPPER(TRIM(D25)),7,1)))+(INT(2*VALUE(MID(UPPER(TRIM(D25)),2,1))/10)+MOD(2*VALUE(MID(UPPER(TRIM(D25)),2,1)),10))+(INT(2*VALUE(MID(UPPER(TRIM(D25)),4,1))/10)+MOD(2*VALUE(MID(UPPER(TRIM(D25)),4,1)),10))+(INT(2*VALUE(MID(UPPER(TRIM(D25)),6,1))/10)+MOD(2*VALUE(MID(UPPER(TRIM(D25)),6,1)),10))+(INT(2*VALUE(MID(UPPER(TRIM(D25)),8,1))/10)+MOD(2*VALUE(MID(UPPER(TRIM(D25)),8,1)),10)),10),10)+1,1)),"OK","REVISAR")),"REVISAR")))</f>
        <v/>
      </c>
      <c r="Q25">
        <f>IF(B25="","",IF(COUNTIFS($B$2:$B$501,B25,$D$2:$D$501,D25)&gt;1,"DUPLICADA",""))</f>
        <v/>
      </c>
      <c r="R25">
        <f>IF(A25="","",ROUNDUP(MONTH(A25)/3,0))</f>
        <v/>
      </c>
      <c r="S25" s="3" t="n"/>
    </row>
    <row r="26">
      <c r="A26" s="2" t="n"/>
      <c r="B26" s="3" t="n"/>
      <c r="C26" s="3" t="n"/>
      <c r="D26" s="3" t="n"/>
      <c r="E26" s="4" t="n"/>
      <c r="F26" s="4" t="n"/>
      <c r="G26" s="4" t="n"/>
      <c r="H26" s="4" t="n"/>
      <c r="I26" s="5">
        <f>IF(E26="","",ROUND(E26*0.21,2))</f>
        <v/>
      </c>
      <c r="J26" s="5">
        <f>IF(F26="","",ROUND(F26*0.1,2))</f>
        <v/>
      </c>
      <c r="K26" s="5">
        <f>IF(G26="","",ROUND(G26*0.04,2))</f>
        <v/>
      </c>
      <c r="L26" s="4" t="n"/>
      <c r="M26" s="4" t="n"/>
      <c r="N26" s="5">
        <f>IF(A26="","",SUM(E26:K26)-N(L26))</f>
        <v/>
      </c>
      <c r="O26">
        <f>IF(OR(A26="",M26=""),"",IF(ABS(M26-N26)&lt;=0.02,"OK","REVISAR"))</f>
        <v/>
      </c>
      <c r="P26">
        <f>IF(D26="","",IF(LEN(TRIM(D26))&lt;&gt;9,"REVISAR",IFERROR(IF(OR(ISNUMBER(VALUE(LEFT(UPPER(TRIM(D26)),1))),LEFT(UPPER(TRIM(D26)),1)="X",LEFT(UPPER(TRIM(D26)),1)="Y",LEFT(UPPER(TRIM(D26)),1)="Z"),IF(MID("TRWAGMYFPDXBNJZSQVHLCKE",MOD(VALUE(SUBSTITUTE(SUBSTITUTE(SUBSTITUTE(LEFT(UPPER(TRIM(D26)),8),"X","0"),"Y","1"),"Z","2")),23)+1,1)=RIGHT(UPPER(TRIM(D26)),1),"OK","REVISAR"),IF(OR(RIGHT(UPPER(TRIM(D26)),1)=TEXT(MOD(10-MOD((VALUE(MID(UPPER(TRIM(D26)),3,1))+VALUE(MID(UPPER(TRIM(D26)),5,1))+VALUE(MID(UPPER(TRIM(D26)),7,1)))+(INT(2*VALUE(MID(UPPER(TRIM(D26)),2,1))/10)+MOD(2*VALUE(MID(UPPER(TRIM(D26)),2,1)),10))+(INT(2*VALUE(MID(UPPER(TRIM(D26)),4,1))/10)+MOD(2*VALUE(MID(UPPER(TRIM(D26)),4,1)),10))+(INT(2*VALUE(MID(UPPER(TRIM(D26)),6,1))/10)+MOD(2*VALUE(MID(UPPER(TRIM(D26)),6,1)),10))+(INT(2*VALUE(MID(UPPER(TRIM(D26)),8,1))/10)+MOD(2*VALUE(MID(UPPER(TRIM(D26)),8,1)),10)),10),10),"0"),RIGHT(UPPER(TRIM(D26)),1)=MID("JABCDEFGHI",MOD(10-MOD((VALUE(MID(UPPER(TRIM(D26)),3,1))+VALUE(MID(UPPER(TRIM(D26)),5,1))+VALUE(MID(UPPER(TRIM(D26)),7,1)))+(INT(2*VALUE(MID(UPPER(TRIM(D26)),2,1))/10)+MOD(2*VALUE(MID(UPPER(TRIM(D26)),2,1)),10))+(INT(2*VALUE(MID(UPPER(TRIM(D26)),4,1))/10)+MOD(2*VALUE(MID(UPPER(TRIM(D26)),4,1)),10))+(INT(2*VALUE(MID(UPPER(TRIM(D26)),6,1))/10)+MOD(2*VALUE(MID(UPPER(TRIM(D26)),6,1)),10))+(INT(2*VALUE(MID(UPPER(TRIM(D26)),8,1))/10)+MOD(2*VALUE(MID(UPPER(TRIM(D26)),8,1)),10)),10),10)+1,1)),"OK","REVISAR")),"REVISAR")))</f>
        <v/>
      </c>
      <c r="Q26">
        <f>IF(B26="","",IF(COUNTIFS($B$2:$B$501,B26,$D$2:$D$501,D26)&gt;1,"DUPLICADA",""))</f>
        <v/>
      </c>
      <c r="R26">
        <f>IF(A26="","",ROUNDUP(MONTH(A26)/3,0))</f>
        <v/>
      </c>
      <c r="S26" s="3" t="n"/>
    </row>
    <row r="27">
      <c r="A27" s="2" t="n"/>
      <c r="B27" s="3" t="n"/>
      <c r="C27" s="3" t="n"/>
      <c r="D27" s="3" t="n"/>
      <c r="E27" s="4" t="n"/>
      <c r="F27" s="4" t="n"/>
      <c r="G27" s="4" t="n"/>
      <c r="H27" s="4" t="n"/>
      <c r="I27" s="5">
        <f>IF(E27="","",ROUND(E27*0.21,2))</f>
        <v/>
      </c>
      <c r="J27" s="5">
        <f>IF(F27="","",ROUND(F27*0.1,2))</f>
        <v/>
      </c>
      <c r="K27" s="5">
        <f>IF(G27="","",ROUND(G27*0.04,2))</f>
        <v/>
      </c>
      <c r="L27" s="4" t="n"/>
      <c r="M27" s="4" t="n"/>
      <c r="N27" s="5">
        <f>IF(A27="","",SUM(E27:K27)-N(L27))</f>
        <v/>
      </c>
      <c r="O27">
        <f>IF(OR(A27="",M27=""),"",IF(ABS(M27-N27)&lt;=0.02,"OK","REVISAR"))</f>
        <v/>
      </c>
      <c r="P27">
        <f>IF(D27="","",IF(LEN(TRIM(D27))&lt;&gt;9,"REVISAR",IFERROR(IF(OR(ISNUMBER(VALUE(LEFT(UPPER(TRIM(D27)),1))),LEFT(UPPER(TRIM(D27)),1)="X",LEFT(UPPER(TRIM(D27)),1)="Y",LEFT(UPPER(TRIM(D27)),1)="Z"),IF(MID("TRWAGMYFPDXBNJZSQVHLCKE",MOD(VALUE(SUBSTITUTE(SUBSTITUTE(SUBSTITUTE(LEFT(UPPER(TRIM(D27)),8),"X","0"),"Y","1"),"Z","2")),23)+1,1)=RIGHT(UPPER(TRIM(D27)),1),"OK","REVISAR"),IF(OR(RIGHT(UPPER(TRIM(D27)),1)=TEXT(MOD(10-MOD((VALUE(MID(UPPER(TRIM(D27)),3,1))+VALUE(MID(UPPER(TRIM(D27)),5,1))+VALUE(MID(UPPER(TRIM(D27)),7,1)))+(INT(2*VALUE(MID(UPPER(TRIM(D27)),2,1))/10)+MOD(2*VALUE(MID(UPPER(TRIM(D27)),2,1)),10))+(INT(2*VALUE(MID(UPPER(TRIM(D27)),4,1))/10)+MOD(2*VALUE(MID(UPPER(TRIM(D27)),4,1)),10))+(INT(2*VALUE(MID(UPPER(TRIM(D27)),6,1))/10)+MOD(2*VALUE(MID(UPPER(TRIM(D27)),6,1)),10))+(INT(2*VALUE(MID(UPPER(TRIM(D27)),8,1))/10)+MOD(2*VALUE(MID(UPPER(TRIM(D27)),8,1)),10)),10),10),"0"),RIGHT(UPPER(TRIM(D27)),1)=MID("JABCDEFGHI",MOD(10-MOD((VALUE(MID(UPPER(TRIM(D27)),3,1))+VALUE(MID(UPPER(TRIM(D27)),5,1))+VALUE(MID(UPPER(TRIM(D27)),7,1)))+(INT(2*VALUE(MID(UPPER(TRIM(D27)),2,1))/10)+MOD(2*VALUE(MID(UPPER(TRIM(D27)),2,1)),10))+(INT(2*VALUE(MID(UPPER(TRIM(D27)),4,1))/10)+MOD(2*VALUE(MID(UPPER(TRIM(D27)),4,1)),10))+(INT(2*VALUE(MID(UPPER(TRIM(D27)),6,1))/10)+MOD(2*VALUE(MID(UPPER(TRIM(D27)),6,1)),10))+(INT(2*VALUE(MID(UPPER(TRIM(D27)),8,1))/10)+MOD(2*VALUE(MID(UPPER(TRIM(D27)),8,1)),10)),10),10)+1,1)),"OK","REVISAR")),"REVISAR")))</f>
        <v/>
      </c>
      <c r="Q27">
        <f>IF(B27="","",IF(COUNTIFS($B$2:$B$501,B27,$D$2:$D$501,D27)&gt;1,"DUPLICADA",""))</f>
        <v/>
      </c>
      <c r="R27">
        <f>IF(A27="","",ROUNDUP(MONTH(A27)/3,0))</f>
        <v/>
      </c>
      <c r="S27" s="3" t="n"/>
    </row>
    <row r="28">
      <c r="A28" s="2" t="n"/>
      <c r="B28" s="3" t="n"/>
      <c r="C28" s="3" t="n"/>
      <c r="D28" s="3" t="n"/>
      <c r="E28" s="4" t="n"/>
      <c r="F28" s="4" t="n"/>
      <c r="G28" s="4" t="n"/>
      <c r="H28" s="4" t="n"/>
      <c r="I28" s="5">
        <f>IF(E28="","",ROUND(E28*0.21,2))</f>
        <v/>
      </c>
      <c r="J28" s="5">
        <f>IF(F28="","",ROUND(F28*0.1,2))</f>
        <v/>
      </c>
      <c r="K28" s="5">
        <f>IF(G28="","",ROUND(G28*0.04,2))</f>
        <v/>
      </c>
      <c r="L28" s="4" t="n"/>
      <c r="M28" s="4" t="n"/>
      <c r="N28" s="5">
        <f>IF(A28="","",SUM(E28:K28)-N(L28))</f>
        <v/>
      </c>
      <c r="O28">
        <f>IF(OR(A28="",M28=""),"",IF(ABS(M28-N28)&lt;=0.02,"OK","REVISAR"))</f>
        <v/>
      </c>
      <c r="P28">
        <f>IF(D28="","",IF(LEN(TRIM(D28))&lt;&gt;9,"REVISAR",IFERROR(IF(OR(ISNUMBER(VALUE(LEFT(UPPER(TRIM(D28)),1))),LEFT(UPPER(TRIM(D28)),1)="X",LEFT(UPPER(TRIM(D28)),1)="Y",LEFT(UPPER(TRIM(D28)),1)="Z"),IF(MID("TRWAGMYFPDXBNJZSQVHLCKE",MOD(VALUE(SUBSTITUTE(SUBSTITUTE(SUBSTITUTE(LEFT(UPPER(TRIM(D28)),8),"X","0"),"Y","1"),"Z","2")),23)+1,1)=RIGHT(UPPER(TRIM(D28)),1),"OK","REVISAR"),IF(OR(RIGHT(UPPER(TRIM(D28)),1)=TEXT(MOD(10-MOD((VALUE(MID(UPPER(TRIM(D28)),3,1))+VALUE(MID(UPPER(TRIM(D28)),5,1))+VALUE(MID(UPPER(TRIM(D28)),7,1)))+(INT(2*VALUE(MID(UPPER(TRIM(D28)),2,1))/10)+MOD(2*VALUE(MID(UPPER(TRIM(D28)),2,1)),10))+(INT(2*VALUE(MID(UPPER(TRIM(D28)),4,1))/10)+MOD(2*VALUE(MID(UPPER(TRIM(D28)),4,1)),10))+(INT(2*VALUE(MID(UPPER(TRIM(D28)),6,1))/10)+MOD(2*VALUE(MID(UPPER(TRIM(D28)),6,1)),10))+(INT(2*VALUE(MID(UPPER(TRIM(D28)),8,1))/10)+MOD(2*VALUE(MID(UPPER(TRIM(D28)),8,1)),10)),10),10),"0"),RIGHT(UPPER(TRIM(D28)),1)=MID("JABCDEFGHI",MOD(10-MOD((VALUE(MID(UPPER(TRIM(D28)),3,1))+VALUE(MID(UPPER(TRIM(D28)),5,1))+VALUE(MID(UPPER(TRIM(D28)),7,1)))+(INT(2*VALUE(MID(UPPER(TRIM(D28)),2,1))/10)+MOD(2*VALUE(MID(UPPER(TRIM(D28)),2,1)),10))+(INT(2*VALUE(MID(UPPER(TRIM(D28)),4,1))/10)+MOD(2*VALUE(MID(UPPER(TRIM(D28)),4,1)),10))+(INT(2*VALUE(MID(UPPER(TRIM(D28)),6,1))/10)+MOD(2*VALUE(MID(UPPER(TRIM(D28)),6,1)),10))+(INT(2*VALUE(MID(UPPER(TRIM(D28)),8,1))/10)+MOD(2*VALUE(MID(UPPER(TRIM(D28)),8,1)),10)),10),10)+1,1)),"OK","REVISAR")),"REVISAR")))</f>
        <v/>
      </c>
      <c r="Q28">
        <f>IF(B28="","",IF(COUNTIFS($B$2:$B$501,B28,$D$2:$D$501,D28)&gt;1,"DUPLICADA",""))</f>
        <v/>
      </c>
      <c r="R28">
        <f>IF(A28="","",ROUNDUP(MONTH(A28)/3,0))</f>
        <v/>
      </c>
      <c r="S28" s="3" t="n"/>
    </row>
    <row r="29">
      <c r="A29" s="2" t="n"/>
      <c r="B29" s="3" t="n"/>
      <c r="C29" s="3" t="n"/>
      <c r="D29" s="3" t="n"/>
      <c r="E29" s="4" t="n"/>
      <c r="F29" s="4" t="n"/>
      <c r="G29" s="4" t="n"/>
      <c r="H29" s="4" t="n"/>
      <c r="I29" s="5">
        <f>IF(E29="","",ROUND(E29*0.21,2))</f>
        <v/>
      </c>
      <c r="J29" s="5">
        <f>IF(F29="","",ROUND(F29*0.1,2))</f>
        <v/>
      </c>
      <c r="K29" s="5">
        <f>IF(G29="","",ROUND(G29*0.04,2))</f>
        <v/>
      </c>
      <c r="L29" s="4" t="n"/>
      <c r="M29" s="4" t="n"/>
      <c r="N29" s="5">
        <f>IF(A29="","",SUM(E29:K29)-N(L29))</f>
        <v/>
      </c>
      <c r="O29">
        <f>IF(OR(A29="",M29=""),"",IF(ABS(M29-N29)&lt;=0.02,"OK","REVISAR"))</f>
        <v/>
      </c>
      <c r="P29">
        <f>IF(D29="","",IF(LEN(TRIM(D29))&lt;&gt;9,"REVISAR",IFERROR(IF(OR(ISNUMBER(VALUE(LEFT(UPPER(TRIM(D29)),1))),LEFT(UPPER(TRIM(D29)),1)="X",LEFT(UPPER(TRIM(D29)),1)="Y",LEFT(UPPER(TRIM(D29)),1)="Z"),IF(MID("TRWAGMYFPDXBNJZSQVHLCKE",MOD(VALUE(SUBSTITUTE(SUBSTITUTE(SUBSTITUTE(LEFT(UPPER(TRIM(D29)),8),"X","0"),"Y","1"),"Z","2")),23)+1,1)=RIGHT(UPPER(TRIM(D29)),1),"OK","REVISAR"),IF(OR(RIGHT(UPPER(TRIM(D29)),1)=TEXT(MOD(10-MOD((VALUE(MID(UPPER(TRIM(D29)),3,1))+VALUE(MID(UPPER(TRIM(D29)),5,1))+VALUE(MID(UPPER(TRIM(D29)),7,1)))+(INT(2*VALUE(MID(UPPER(TRIM(D29)),2,1))/10)+MOD(2*VALUE(MID(UPPER(TRIM(D29)),2,1)),10))+(INT(2*VALUE(MID(UPPER(TRIM(D29)),4,1))/10)+MOD(2*VALUE(MID(UPPER(TRIM(D29)),4,1)),10))+(INT(2*VALUE(MID(UPPER(TRIM(D29)),6,1))/10)+MOD(2*VALUE(MID(UPPER(TRIM(D29)),6,1)),10))+(INT(2*VALUE(MID(UPPER(TRIM(D29)),8,1))/10)+MOD(2*VALUE(MID(UPPER(TRIM(D29)),8,1)),10)),10),10),"0"),RIGHT(UPPER(TRIM(D29)),1)=MID("JABCDEFGHI",MOD(10-MOD((VALUE(MID(UPPER(TRIM(D29)),3,1))+VALUE(MID(UPPER(TRIM(D29)),5,1))+VALUE(MID(UPPER(TRIM(D29)),7,1)))+(INT(2*VALUE(MID(UPPER(TRIM(D29)),2,1))/10)+MOD(2*VALUE(MID(UPPER(TRIM(D29)),2,1)),10))+(INT(2*VALUE(MID(UPPER(TRIM(D29)),4,1))/10)+MOD(2*VALUE(MID(UPPER(TRIM(D29)),4,1)),10))+(INT(2*VALUE(MID(UPPER(TRIM(D29)),6,1))/10)+MOD(2*VALUE(MID(UPPER(TRIM(D29)),6,1)),10))+(INT(2*VALUE(MID(UPPER(TRIM(D29)),8,1))/10)+MOD(2*VALUE(MID(UPPER(TRIM(D29)),8,1)),10)),10),10)+1,1)),"OK","REVISAR")),"REVISAR")))</f>
        <v/>
      </c>
      <c r="Q29">
        <f>IF(B29="","",IF(COUNTIFS($B$2:$B$501,B29,$D$2:$D$501,D29)&gt;1,"DUPLICADA",""))</f>
        <v/>
      </c>
      <c r="R29">
        <f>IF(A29="","",ROUNDUP(MONTH(A29)/3,0))</f>
        <v/>
      </c>
      <c r="S29" s="3" t="n"/>
    </row>
    <row r="30">
      <c r="A30" s="2" t="n"/>
      <c r="B30" s="3" t="n"/>
      <c r="C30" s="3" t="n"/>
      <c r="D30" s="3" t="n"/>
      <c r="E30" s="4" t="n"/>
      <c r="F30" s="4" t="n"/>
      <c r="G30" s="4" t="n"/>
      <c r="H30" s="4" t="n"/>
      <c r="I30" s="5">
        <f>IF(E30="","",ROUND(E30*0.21,2))</f>
        <v/>
      </c>
      <c r="J30" s="5">
        <f>IF(F30="","",ROUND(F30*0.1,2))</f>
        <v/>
      </c>
      <c r="K30" s="5">
        <f>IF(G30="","",ROUND(G30*0.04,2))</f>
        <v/>
      </c>
      <c r="L30" s="4" t="n"/>
      <c r="M30" s="4" t="n"/>
      <c r="N30" s="5">
        <f>IF(A30="","",SUM(E30:K30)-N(L30))</f>
        <v/>
      </c>
      <c r="O30">
        <f>IF(OR(A30="",M30=""),"",IF(ABS(M30-N30)&lt;=0.02,"OK","REVISAR"))</f>
        <v/>
      </c>
      <c r="P30">
        <f>IF(D30="","",IF(LEN(TRIM(D30))&lt;&gt;9,"REVISAR",IFERROR(IF(OR(ISNUMBER(VALUE(LEFT(UPPER(TRIM(D30)),1))),LEFT(UPPER(TRIM(D30)),1)="X",LEFT(UPPER(TRIM(D30)),1)="Y",LEFT(UPPER(TRIM(D30)),1)="Z"),IF(MID("TRWAGMYFPDXBNJZSQVHLCKE",MOD(VALUE(SUBSTITUTE(SUBSTITUTE(SUBSTITUTE(LEFT(UPPER(TRIM(D30)),8),"X","0"),"Y","1"),"Z","2")),23)+1,1)=RIGHT(UPPER(TRIM(D30)),1),"OK","REVISAR"),IF(OR(RIGHT(UPPER(TRIM(D30)),1)=TEXT(MOD(10-MOD((VALUE(MID(UPPER(TRIM(D30)),3,1))+VALUE(MID(UPPER(TRIM(D30)),5,1))+VALUE(MID(UPPER(TRIM(D30)),7,1)))+(INT(2*VALUE(MID(UPPER(TRIM(D30)),2,1))/10)+MOD(2*VALUE(MID(UPPER(TRIM(D30)),2,1)),10))+(INT(2*VALUE(MID(UPPER(TRIM(D30)),4,1))/10)+MOD(2*VALUE(MID(UPPER(TRIM(D30)),4,1)),10))+(INT(2*VALUE(MID(UPPER(TRIM(D30)),6,1))/10)+MOD(2*VALUE(MID(UPPER(TRIM(D30)),6,1)),10))+(INT(2*VALUE(MID(UPPER(TRIM(D30)),8,1))/10)+MOD(2*VALUE(MID(UPPER(TRIM(D30)),8,1)),10)),10),10),"0"),RIGHT(UPPER(TRIM(D30)),1)=MID("JABCDEFGHI",MOD(10-MOD((VALUE(MID(UPPER(TRIM(D30)),3,1))+VALUE(MID(UPPER(TRIM(D30)),5,1))+VALUE(MID(UPPER(TRIM(D30)),7,1)))+(INT(2*VALUE(MID(UPPER(TRIM(D30)),2,1))/10)+MOD(2*VALUE(MID(UPPER(TRIM(D30)),2,1)),10))+(INT(2*VALUE(MID(UPPER(TRIM(D30)),4,1))/10)+MOD(2*VALUE(MID(UPPER(TRIM(D30)),4,1)),10))+(INT(2*VALUE(MID(UPPER(TRIM(D30)),6,1))/10)+MOD(2*VALUE(MID(UPPER(TRIM(D30)),6,1)),10))+(INT(2*VALUE(MID(UPPER(TRIM(D30)),8,1))/10)+MOD(2*VALUE(MID(UPPER(TRIM(D30)),8,1)),10)),10),10)+1,1)),"OK","REVISAR")),"REVISAR")))</f>
        <v/>
      </c>
      <c r="Q30">
        <f>IF(B30="","",IF(COUNTIFS($B$2:$B$501,B30,$D$2:$D$501,D30)&gt;1,"DUPLICADA",""))</f>
        <v/>
      </c>
      <c r="R30">
        <f>IF(A30="","",ROUNDUP(MONTH(A30)/3,0))</f>
        <v/>
      </c>
      <c r="S30" s="3" t="n"/>
    </row>
    <row r="31">
      <c r="A31" s="2" t="n"/>
      <c r="B31" s="3" t="n"/>
      <c r="C31" s="3" t="n"/>
      <c r="D31" s="3" t="n"/>
      <c r="E31" s="4" t="n"/>
      <c r="F31" s="4" t="n"/>
      <c r="G31" s="4" t="n"/>
      <c r="H31" s="4" t="n"/>
      <c r="I31" s="5">
        <f>IF(E31="","",ROUND(E31*0.21,2))</f>
        <v/>
      </c>
      <c r="J31" s="5">
        <f>IF(F31="","",ROUND(F31*0.1,2))</f>
        <v/>
      </c>
      <c r="K31" s="5">
        <f>IF(G31="","",ROUND(G31*0.04,2))</f>
        <v/>
      </c>
      <c r="L31" s="4" t="n"/>
      <c r="M31" s="4" t="n"/>
      <c r="N31" s="5">
        <f>IF(A31="","",SUM(E31:K31)-N(L31))</f>
        <v/>
      </c>
      <c r="O31">
        <f>IF(OR(A31="",M31=""),"",IF(ABS(M31-N31)&lt;=0.02,"OK","REVISAR"))</f>
        <v/>
      </c>
      <c r="P31">
        <f>IF(D31="","",IF(LEN(TRIM(D31))&lt;&gt;9,"REVISAR",IFERROR(IF(OR(ISNUMBER(VALUE(LEFT(UPPER(TRIM(D31)),1))),LEFT(UPPER(TRIM(D31)),1)="X",LEFT(UPPER(TRIM(D31)),1)="Y",LEFT(UPPER(TRIM(D31)),1)="Z"),IF(MID("TRWAGMYFPDXBNJZSQVHLCKE",MOD(VALUE(SUBSTITUTE(SUBSTITUTE(SUBSTITUTE(LEFT(UPPER(TRIM(D31)),8),"X","0"),"Y","1"),"Z","2")),23)+1,1)=RIGHT(UPPER(TRIM(D31)),1),"OK","REVISAR"),IF(OR(RIGHT(UPPER(TRIM(D31)),1)=TEXT(MOD(10-MOD((VALUE(MID(UPPER(TRIM(D31)),3,1))+VALUE(MID(UPPER(TRIM(D31)),5,1))+VALUE(MID(UPPER(TRIM(D31)),7,1)))+(INT(2*VALUE(MID(UPPER(TRIM(D31)),2,1))/10)+MOD(2*VALUE(MID(UPPER(TRIM(D31)),2,1)),10))+(INT(2*VALUE(MID(UPPER(TRIM(D31)),4,1))/10)+MOD(2*VALUE(MID(UPPER(TRIM(D31)),4,1)),10))+(INT(2*VALUE(MID(UPPER(TRIM(D31)),6,1))/10)+MOD(2*VALUE(MID(UPPER(TRIM(D31)),6,1)),10))+(INT(2*VALUE(MID(UPPER(TRIM(D31)),8,1))/10)+MOD(2*VALUE(MID(UPPER(TRIM(D31)),8,1)),10)),10),10),"0"),RIGHT(UPPER(TRIM(D31)),1)=MID("JABCDEFGHI",MOD(10-MOD((VALUE(MID(UPPER(TRIM(D31)),3,1))+VALUE(MID(UPPER(TRIM(D31)),5,1))+VALUE(MID(UPPER(TRIM(D31)),7,1)))+(INT(2*VALUE(MID(UPPER(TRIM(D31)),2,1))/10)+MOD(2*VALUE(MID(UPPER(TRIM(D31)),2,1)),10))+(INT(2*VALUE(MID(UPPER(TRIM(D31)),4,1))/10)+MOD(2*VALUE(MID(UPPER(TRIM(D31)),4,1)),10))+(INT(2*VALUE(MID(UPPER(TRIM(D31)),6,1))/10)+MOD(2*VALUE(MID(UPPER(TRIM(D31)),6,1)),10))+(INT(2*VALUE(MID(UPPER(TRIM(D31)),8,1))/10)+MOD(2*VALUE(MID(UPPER(TRIM(D31)),8,1)),10)),10),10)+1,1)),"OK","REVISAR")),"REVISAR")))</f>
        <v/>
      </c>
      <c r="Q31">
        <f>IF(B31="","",IF(COUNTIFS($B$2:$B$501,B31,$D$2:$D$501,D31)&gt;1,"DUPLICADA",""))</f>
        <v/>
      </c>
      <c r="R31">
        <f>IF(A31="","",ROUNDUP(MONTH(A31)/3,0))</f>
        <v/>
      </c>
      <c r="S31" s="3" t="n"/>
    </row>
    <row r="32">
      <c r="A32" s="2" t="n"/>
      <c r="B32" s="3" t="n"/>
      <c r="C32" s="3" t="n"/>
      <c r="D32" s="3" t="n"/>
      <c r="E32" s="4" t="n"/>
      <c r="F32" s="4" t="n"/>
      <c r="G32" s="4" t="n"/>
      <c r="H32" s="4" t="n"/>
      <c r="I32" s="5">
        <f>IF(E32="","",ROUND(E32*0.21,2))</f>
        <v/>
      </c>
      <c r="J32" s="5">
        <f>IF(F32="","",ROUND(F32*0.1,2))</f>
        <v/>
      </c>
      <c r="K32" s="5">
        <f>IF(G32="","",ROUND(G32*0.04,2))</f>
        <v/>
      </c>
      <c r="L32" s="4" t="n"/>
      <c r="M32" s="4" t="n"/>
      <c r="N32" s="5">
        <f>IF(A32="","",SUM(E32:K32)-N(L32))</f>
        <v/>
      </c>
      <c r="O32">
        <f>IF(OR(A32="",M32=""),"",IF(ABS(M32-N32)&lt;=0.02,"OK","REVISAR"))</f>
        <v/>
      </c>
      <c r="P32">
        <f>IF(D32="","",IF(LEN(TRIM(D32))&lt;&gt;9,"REVISAR",IFERROR(IF(OR(ISNUMBER(VALUE(LEFT(UPPER(TRIM(D32)),1))),LEFT(UPPER(TRIM(D32)),1)="X",LEFT(UPPER(TRIM(D32)),1)="Y",LEFT(UPPER(TRIM(D32)),1)="Z"),IF(MID("TRWAGMYFPDXBNJZSQVHLCKE",MOD(VALUE(SUBSTITUTE(SUBSTITUTE(SUBSTITUTE(LEFT(UPPER(TRIM(D32)),8),"X","0"),"Y","1"),"Z","2")),23)+1,1)=RIGHT(UPPER(TRIM(D32)),1),"OK","REVISAR"),IF(OR(RIGHT(UPPER(TRIM(D32)),1)=TEXT(MOD(10-MOD((VALUE(MID(UPPER(TRIM(D32)),3,1))+VALUE(MID(UPPER(TRIM(D32)),5,1))+VALUE(MID(UPPER(TRIM(D32)),7,1)))+(INT(2*VALUE(MID(UPPER(TRIM(D32)),2,1))/10)+MOD(2*VALUE(MID(UPPER(TRIM(D32)),2,1)),10))+(INT(2*VALUE(MID(UPPER(TRIM(D32)),4,1))/10)+MOD(2*VALUE(MID(UPPER(TRIM(D32)),4,1)),10))+(INT(2*VALUE(MID(UPPER(TRIM(D32)),6,1))/10)+MOD(2*VALUE(MID(UPPER(TRIM(D32)),6,1)),10))+(INT(2*VALUE(MID(UPPER(TRIM(D32)),8,1))/10)+MOD(2*VALUE(MID(UPPER(TRIM(D32)),8,1)),10)),10),10),"0"),RIGHT(UPPER(TRIM(D32)),1)=MID("JABCDEFGHI",MOD(10-MOD((VALUE(MID(UPPER(TRIM(D32)),3,1))+VALUE(MID(UPPER(TRIM(D32)),5,1))+VALUE(MID(UPPER(TRIM(D32)),7,1)))+(INT(2*VALUE(MID(UPPER(TRIM(D32)),2,1))/10)+MOD(2*VALUE(MID(UPPER(TRIM(D32)),2,1)),10))+(INT(2*VALUE(MID(UPPER(TRIM(D32)),4,1))/10)+MOD(2*VALUE(MID(UPPER(TRIM(D32)),4,1)),10))+(INT(2*VALUE(MID(UPPER(TRIM(D32)),6,1))/10)+MOD(2*VALUE(MID(UPPER(TRIM(D32)),6,1)),10))+(INT(2*VALUE(MID(UPPER(TRIM(D32)),8,1))/10)+MOD(2*VALUE(MID(UPPER(TRIM(D32)),8,1)),10)),10),10)+1,1)),"OK","REVISAR")),"REVISAR")))</f>
        <v/>
      </c>
      <c r="Q32">
        <f>IF(B32="","",IF(COUNTIFS($B$2:$B$501,B32,$D$2:$D$501,D32)&gt;1,"DUPLICADA",""))</f>
        <v/>
      </c>
      <c r="R32">
        <f>IF(A32="","",ROUNDUP(MONTH(A32)/3,0))</f>
        <v/>
      </c>
      <c r="S32" s="3" t="n"/>
    </row>
    <row r="33">
      <c r="A33" s="2" t="n"/>
      <c r="B33" s="3" t="n"/>
      <c r="C33" s="3" t="n"/>
      <c r="D33" s="3" t="n"/>
      <c r="E33" s="4" t="n"/>
      <c r="F33" s="4" t="n"/>
      <c r="G33" s="4" t="n"/>
      <c r="H33" s="4" t="n"/>
      <c r="I33" s="5">
        <f>IF(E33="","",ROUND(E33*0.21,2))</f>
        <v/>
      </c>
      <c r="J33" s="5">
        <f>IF(F33="","",ROUND(F33*0.1,2))</f>
        <v/>
      </c>
      <c r="K33" s="5">
        <f>IF(G33="","",ROUND(G33*0.04,2))</f>
        <v/>
      </c>
      <c r="L33" s="4" t="n"/>
      <c r="M33" s="4" t="n"/>
      <c r="N33" s="5">
        <f>IF(A33="","",SUM(E33:K33)-N(L33))</f>
        <v/>
      </c>
      <c r="O33">
        <f>IF(OR(A33="",M33=""),"",IF(ABS(M33-N33)&lt;=0.02,"OK","REVISAR"))</f>
        <v/>
      </c>
      <c r="P33">
        <f>IF(D33="","",IF(LEN(TRIM(D33))&lt;&gt;9,"REVISAR",IFERROR(IF(OR(ISNUMBER(VALUE(LEFT(UPPER(TRIM(D33)),1))),LEFT(UPPER(TRIM(D33)),1)="X",LEFT(UPPER(TRIM(D33)),1)="Y",LEFT(UPPER(TRIM(D33)),1)="Z"),IF(MID("TRWAGMYFPDXBNJZSQVHLCKE",MOD(VALUE(SUBSTITUTE(SUBSTITUTE(SUBSTITUTE(LEFT(UPPER(TRIM(D33)),8),"X","0"),"Y","1"),"Z","2")),23)+1,1)=RIGHT(UPPER(TRIM(D33)),1),"OK","REVISAR"),IF(OR(RIGHT(UPPER(TRIM(D33)),1)=TEXT(MOD(10-MOD((VALUE(MID(UPPER(TRIM(D33)),3,1))+VALUE(MID(UPPER(TRIM(D33)),5,1))+VALUE(MID(UPPER(TRIM(D33)),7,1)))+(INT(2*VALUE(MID(UPPER(TRIM(D33)),2,1))/10)+MOD(2*VALUE(MID(UPPER(TRIM(D33)),2,1)),10))+(INT(2*VALUE(MID(UPPER(TRIM(D33)),4,1))/10)+MOD(2*VALUE(MID(UPPER(TRIM(D33)),4,1)),10))+(INT(2*VALUE(MID(UPPER(TRIM(D33)),6,1))/10)+MOD(2*VALUE(MID(UPPER(TRIM(D33)),6,1)),10))+(INT(2*VALUE(MID(UPPER(TRIM(D33)),8,1))/10)+MOD(2*VALUE(MID(UPPER(TRIM(D33)),8,1)),10)),10),10),"0"),RIGHT(UPPER(TRIM(D33)),1)=MID("JABCDEFGHI",MOD(10-MOD((VALUE(MID(UPPER(TRIM(D33)),3,1))+VALUE(MID(UPPER(TRIM(D33)),5,1))+VALUE(MID(UPPER(TRIM(D33)),7,1)))+(INT(2*VALUE(MID(UPPER(TRIM(D33)),2,1))/10)+MOD(2*VALUE(MID(UPPER(TRIM(D33)),2,1)),10))+(INT(2*VALUE(MID(UPPER(TRIM(D33)),4,1))/10)+MOD(2*VALUE(MID(UPPER(TRIM(D33)),4,1)),10))+(INT(2*VALUE(MID(UPPER(TRIM(D33)),6,1))/10)+MOD(2*VALUE(MID(UPPER(TRIM(D33)),6,1)),10))+(INT(2*VALUE(MID(UPPER(TRIM(D33)),8,1))/10)+MOD(2*VALUE(MID(UPPER(TRIM(D33)),8,1)),10)),10),10)+1,1)),"OK","REVISAR")),"REVISAR")))</f>
        <v/>
      </c>
      <c r="Q33">
        <f>IF(B33="","",IF(COUNTIFS($B$2:$B$501,B33,$D$2:$D$501,D33)&gt;1,"DUPLICADA",""))</f>
        <v/>
      </c>
      <c r="R33">
        <f>IF(A33="","",ROUNDUP(MONTH(A33)/3,0))</f>
        <v/>
      </c>
      <c r="S33" s="3" t="n"/>
    </row>
    <row r="34">
      <c r="A34" s="2" t="n"/>
      <c r="B34" s="3" t="n"/>
      <c r="C34" s="3" t="n"/>
      <c r="D34" s="3" t="n"/>
      <c r="E34" s="4" t="n"/>
      <c r="F34" s="4" t="n"/>
      <c r="G34" s="4" t="n"/>
      <c r="H34" s="4" t="n"/>
      <c r="I34" s="5">
        <f>IF(E34="","",ROUND(E34*0.21,2))</f>
        <v/>
      </c>
      <c r="J34" s="5">
        <f>IF(F34="","",ROUND(F34*0.1,2))</f>
        <v/>
      </c>
      <c r="K34" s="5">
        <f>IF(G34="","",ROUND(G34*0.04,2))</f>
        <v/>
      </c>
      <c r="L34" s="4" t="n"/>
      <c r="M34" s="4" t="n"/>
      <c r="N34" s="5">
        <f>IF(A34="","",SUM(E34:K34)-N(L34))</f>
        <v/>
      </c>
      <c r="O34">
        <f>IF(OR(A34="",M34=""),"",IF(ABS(M34-N34)&lt;=0.02,"OK","REVISAR"))</f>
        <v/>
      </c>
      <c r="P34">
        <f>IF(D34="","",IF(LEN(TRIM(D34))&lt;&gt;9,"REVISAR",IFERROR(IF(OR(ISNUMBER(VALUE(LEFT(UPPER(TRIM(D34)),1))),LEFT(UPPER(TRIM(D34)),1)="X",LEFT(UPPER(TRIM(D34)),1)="Y",LEFT(UPPER(TRIM(D34)),1)="Z"),IF(MID("TRWAGMYFPDXBNJZSQVHLCKE",MOD(VALUE(SUBSTITUTE(SUBSTITUTE(SUBSTITUTE(LEFT(UPPER(TRIM(D34)),8),"X","0"),"Y","1"),"Z","2")),23)+1,1)=RIGHT(UPPER(TRIM(D34)),1),"OK","REVISAR"),IF(OR(RIGHT(UPPER(TRIM(D34)),1)=TEXT(MOD(10-MOD((VALUE(MID(UPPER(TRIM(D34)),3,1))+VALUE(MID(UPPER(TRIM(D34)),5,1))+VALUE(MID(UPPER(TRIM(D34)),7,1)))+(INT(2*VALUE(MID(UPPER(TRIM(D34)),2,1))/10)+MOD(2*VALUE(MID(UPPER(TRIM(D34)),2,1)),10))+(INT(2*VALUE(MID(UPPER(TRIM(D34)),4,1))/10)+MOD(2*VALUE(MID(UPPER(TRIM(D34)),4,1)),10))+(INT(2*VALUE(MID(UPPER(TRIM(D34)),6,1))/10)+MOD(2*VALUE(MID(UPPER(TRIM(D34)),6,1)),10))+(INT(2*VALUE(MID(UPPER(TRIM(D34)),8,1))/10)+MOD(2*VALUE(MID(UPPER(TRIM(D34)),8,1)),10)),10),10),"0"),RIGHT(UPPER(TRIM(D34)),1)=MID("JABCDEFGHI",MOD(10-MOD((VALUE(MID(UPPER(TRIM(D34)),3,1))+VALUE(MID(UPPER(TRIM(D34)),5,1))+VALUE(MID(UPPER(TRIM(D34)),7,1)))+(INT(2*VALUE(MID(UPPER(TRIM(D34)),2,1))/10)+MOD(2*VALUE(MID(UPPER(TRIM(D34)),2,1)),10))+(INT(2*VALUE(MID(UPPER(TRIM(D34)),4,1))/10)+MOD(2*VALUE(MID(UPPER(TRIM(D34)),4,1)),10))+(INT(2*VALUE(MID(UPPER(TRIM(D34)),6,1))/10)+MOD(2*VALUE(MID(UPPER(TRIM(D34)),6,1)),10))+(INT(2*VALUE(MID(UPPER(TRIM(D34)),8,1))/10)+MOD(2*VALUE(MID(UPPER(TRIM(D34)),8,1)),10)),10),10)+1,1)),"OK","REVISAR")),"REVISAR")))</f>
        <v/>
      </c>
      <c r="Q34">
        <f>IF(B34="","",IF(COUNTIFS($B$2:$B$501,B34,$D$2:$D$501,D34)&gt;1,"DUPLICADA",""))</f>
        <v/>
      </c>
      <c r="R34">
        <f>IF(A34="","",ROUNDUP(MONTH(A34)/3,0))</f>
        <v/>
      </c>
      <c r="S34" s="3" t="n"/>
    </row>
    <row r="35">
      <c r="A35" s="2" t="n"/>
      <c r="B35" s="3" t="n"/>
      <c r="C35" s="3" t="n"/>
      <c r="D35" s="3" t="n"/>
      <c r="E35" s="4" t="n"/>
      <c r="F35" s="4" t="n"/>
      <c r="G35" s="4" t="n"/>
      <c r="H35" s="4" t="n"/>
      <c r="I35" s="5">
        <f>IF(E35="","",ROUND(E35*0.21,2))</f>
        <v/>
      </c>
      <c r="J35" s="5">
        <f>IF(F35="","",ROUND(F35*0.1,2))</f>
        <v/>
      </c>
      <c r="K35" s="5">
        <f>IF(G35="","",ROUND(G35*0.04,2))</f>
        <v/>
      </c>
      <c r="L35" s="4" t="n"/>
      <c r="M35" s="4" t="n"/>
      <c r="N35" s="5">
        <f>IF(A35="","",SUM(E35:K35)-N(L35))</f>
        <v/>
      </c>
      <c r="O35">
        <f>IF(OR(A35="",M35=""),"",IF(ABS(M35-N35)&lt;=0.02,"OK","REVISAR"))</f>
        <v/>
      </c>
      <c r="P35">
        <f>IF(D35="","",IF(LEN(TRIM(D35))&lt;&gt;9,"REVISAR",IFERROR(IF(OR(ISNUMBER(VALUE(LEFT(UPPER(TRIM(D35)),1))),LEFT(UPPER(TRIM(D35)),1)="X",LEFT(UPPER(TRIM(D35)),1)="Y",LEFT(UPPER(TRIM(D35)),1)="Z"),IF(MID("TRWAGMYFPDXBNJZSQVHLCKE",MOD(VALUE(SUBSTITUTE(SUBSTITUTE(SUBSTITUTE(LEFT(UPPER(TRIM(D35)),8),"X","0"),"Y","1"),"Z","2")),23)+1,1)=RIGHT(UPPER(TRIM(D35)),1),"OK","REVISAR"),IF(OR(RIGHT(UPPER(TRIM(D35)),1)=TEXT(MOD(10-MOD((VALUE(MID(UPPER(TRIM(D35)),3,1))+VALUE(MID(UPPER(TRIM(D35)),5,1))+VALUE(MID(UPPER(TRIM(D35)),7,1)))+(INT(2*VALUE(MID(UPPER(TRIM(D35)),2,1))/10)+MOD(2*VALUE(MID(UPPER(TRIM(D35)),2,1)),10))+(INT(2*VALUE(MID(UPPER(TRIM(D35)),4,1))/10)+MOD(2*VALUE(MID(UPPER(TRIM(D35)),4,1)),10))+(INT(2*VALUE(MID(UPPER(TRIM(D35)),6,1))/10)+MOD(2*VALUE(MID(UPPER(TRIM(D35)),6,1)),10))+(INT(2*VALUE(MID(UPPER(TRIM(D35)),8,1))/10)+MOD(2*VALUE(MID(UPPER(TRIM(D35)),8,1)),10)),10),10),"0"),RIGHT(UPPER(TRIM(D35)),1)=MID("JABCDEFGHI",MOD(10-MOD((VALUE(MID(UPPER(TRIM(D35)),3,1))+VALUE(MID(UPPER(TRIM(D35)),5,1))+VALUE(MID(UPPER(TRIM(D35)),7,1)))+(INT(2*VALUE(MID(UPPER(TRIM(D35)),2,1))/10)+MOD(2*VALUE(MID(UPPER(TRIM(D35)),2,1)),10))+(INT(2*VALUE(MID(UPPER(TRIM(D35)),4,1))/10)+MOD(2*VALUE(MID(UPPER(TRIM(D35)),4,1)),10))+(INT(2*VALUE(MID(UPPER(TRIM(D35)),6,1))/10)+MOD(2*VALUE(MID(UPPER(TRIM(D35)),6,1)),10))+(INT(2*VALUE(MID(UPPER(TRIM(D35)),8,1))/10)+MOD(2*VALUE(MID(UPPER(TRIM(D35)),8,1)),10)),10),10)+1,1)),"OK","REVISAR")),"REVISAR")))</f>
        <v/>
      </c>
      <c r="Q35">
        <f>IF(B35="","",IF(COUNTIFS($B$2:$B$501,B35,$D$2:$D$501,D35)&gt;1,"DUPLICADA",""))</f>
        <v/>
      </c>
      <c r="R35">
        <f>IF(A35="","",ROUNDUP(MONTH(A35)/3,0))</f>
        <v/>
      </c>
      <c r="S35" s="3" t="n"/>
    </row>
    <row r="36">
      <c r="A36" s="2" t="n"/>
      <c r="B36" s="3" t="n"/>
      <c r="C36" s="3" t="n"/>
      <c r="D36" s="3" t="n"/>
      <c r="E36" s="4" t="n"/>
      <c r="F36" s="4" t="n"/>
      <c r="G36" s="4" t="n"/>
      <c r="H36" s="4" t="n"/>
      <c r="I36" s="5">
        <f>IF(E36="","",ROUND(E36*0.21,2))</f>
        <v/>
      </c>
      <c r="J36" s="5">
        <f>IF(F36="","",ROUND(F36*0.1,2))</f>
        <v/>
      </c>
      <c r="K36" s="5">
        <f>IF(G36="","",ROUND(G36*0.04,2))</f>
        <v/>
      </c>
      <c r="L36" s="4" t="n"/>
      <c r="M36" s="4" t="n"/>
      <c r="N36" s="5">
        <f>IF(A36="","",SUM(E36:K36)-N(L36))</f>
        <v/>
      </c>
      <c r="O36">
        <f>IF(OR(A36="",M36=""),"",IF(ABS(M36-N36)&lt;=0.02,"OK","REVISAR"))</f>
        <v/>
      </c>
      <c r="P36">
        <f>IF(D36="","",IF(LEN(TRIM(D36))&lt;&gt;9,"REVISAR",IFERROR(IF(OR(ISNUMBER(VALUE(LEFT(UPPER(TRIM(D36)),1))),LEFT(UPPER(TRIM(D36)),1)="X",LEFT(UPPER(TRIM(D36)),1)="Y",LEFT(UPPER(TRIM(D36)),1)="Z"),IF(MID("TRWAGMYFPDXBNJZSQVHLCKE",MOD(VALUE(SUBSTITUTE(SUBSTITUTE(SUBSTITUTE(LEFT(UPPER(TRIM(D36)),8),"X","0"),"Y","1"),"Z","2")),23)+1,1)=RIGHT(UPPER(TRIM(D36)),1),"OK","REVISAR"),IF(OR(RIGHT(UPPER(TRIM(D36)),1)=TEXT(MOD(10-MOD((VALUE(MID(UPPER(TRIM(D36)),3,1))+VALUE(MID(UPPER(TRIM(D36)),5,1))+VALUE(MID(UPPER(TRIM(D36)),7,1)))+(INT(2*VALUE(MID(UPPER(TRIM(D36)),2,1))/10)+MOD(2*VALUE(MID(UPPER(TRIM(D36)),2,1)),10))+(INT(2*VALUE(MID(UPPER(TRIM(D36)),4,1))/10)+MOD(2*VALUE(MID(UPPER(TRIM(D36)),4,1)),10))+(INT(2*VALUE(MID(UPPER(TRIM(D36)),6,1))/10)+MOD(2*VALUE(MID(UPPER(TRIM(D36)),6,1)),10))+(INT(2*VALUE(MID(UPPER(TRIM(D36)),8,1))/10)+MOD(2*VALUE(MID(UPPER(TRIM(D36)),8,1)),10)),10),10),"0"),RIGHT(UPPER(TRIM(D36)),1)=MID("JABCDEFGHI",MOD(10-MOD((VALUE(MID(UPPER(TRIM(D36)),3,1))+VALUE(MID(UPPER(TRIM(D36)),5,1))+VALUE(MID(UPPER(TRIM(D36)),7,1)))+(INT(2*VALUE(MID(UPPER(TRIM(D36)),2,1))/10)+MOD(2*VALUE(MID(UPPER(TRIM(D36)),2,1)),10))+(INT(2*VALUE(MID(UPPER(TRIM(D36)),4,1))/10)+MOD(2*VALUE(MID(UPPER(TRIM(D36)),4,1)),10))+(INT(2*VALUE(MID(UPPER(TRIM(D36)),6,1))/10)+MOD(2*VALUE(MID(UPPER(TRIM(D36)),6,1)),10))+(INT(2*VALUE(MID(UPPER(TRIM(D36)),8,1))/10)+MOD(2*VALUE(MID(UPPER(TRIM(D36)),8,1)),10)),10),10)+1,1)),"OK","REVISAR")),"REVISAR")))</f>
        <v/>
      </c>
      <c r="Q36">
        <f>IF(B36="","",IF(COUNTIFS($B$2:$B$501,B36,$D$2:$D$501,D36)&gt;1,"DUPLICADA",""))</f>
        <v/>
      </c>
      <c r="R36">
        <f>IF(A36="","",ROUNDUP(MONTH(A36)/3,0))</f>
        <v/>
      </c>
      <c r="S36" s="3" t="n"/>
    </row>
    <row r="37">
      <c r="A37" s="2" t="n"/>
      <c r="B37" s="3" t="n"/>
      <c r="C37" s="3" t="n"/>
      <c r="D37" s="3" t="n"/>
      <c r="E37" s="4" t="n"/>
      <c r="F37" s="4" t="n"/>
      <c r="G37" s="4" t="n"/>
      <c r="H37" s="4" t="n"/>
      <c r="I37" s="5">
        <f>IF(E37="","",ROUND(E37*0.21,2))</f>
        <v/>
      </c>
      <c r="J37" s="5">
        <f>IF(F37="","",ROUND(F37*0.1,2))</f>
        <v/>
      </c>
      <c r="K37" s="5">
        <f>IF(G37="","",ROUND(G37*0.04,2))</f>
        <v/>
      </c>
      <c r="L37" s="4" t="n"/>
      <c r="M37" s="4" t="n"/>
      <c r="N37" s="5">
        <f>IF(A37="","",SUM(E37:K37)-N(L37))</f>
        <v/>
      </c>
      <c r="O37">
        <f>IF(OR(A37="",M37=""),"",IF(ABS(M37-N37)&lt;=0.02,"OK","REVISAR"))</f>
        <v/>
      </c>
      <c r="P37">
        <f>IF(D37="","",IF(LEN(TRIM(D37))&lt;&gt;9,"REVISAR",IFERROR(IF(OR(ISNUMBER(VALUE(LEFT(UPPER(TRIM(D37)),1))),LEFT(UPPER(TRIM(D37)),1)="X",LEFT(UPPER(TRIM(D37)),1)="Y",LEFT(UPPER(TRIM(D37)),1)="Z"),IF(MID("TRWAGMYFPDXBNJZSQVHLCKE",MOD(VALUE(SUBSTITUTE(SUBSTITUTE(SUBSTITUTE(LEFT(UPPER(TRIM(D37)),8),"X","0"),"Y","1"),"Z","2")),23)+1,1)=RIGHT(UPPER(TRIM(D37)),1),"OK","REVISAR"),IF(OR(RIGHT(UPPER(TRIM(D37)),1)=TEXT(MOD(10-MOD((VALUE(MID(UPPER(TRIM(D37)),3,1))+VALUE(MID(UPPER(TRIM(D37)),5,1))+VALUE(MID(UPPER(TRIM(D37)),7,1)))+(INT(2*VALUE(MID(UPPER(TRIM(D37)),2,1))/10)+MOD(2*VALUE(MID(UPPER(TRIM(D37)),2,1)),10))+(INT(2*VALUE(MID(UPPER(TRIM(D37)),4,1))/10)+MOD(2*VALUE(MID(UPPER(TRIM(D37)),4,1)),10))+(INT(2*VALUE(MID(UPPER(TRIM(D37)),6,1))/10)+MOD(2*VALUE(MID(UPPER(TRIM(D37)),6,1)),10))+(INT(2*VALUE(MID(UPPER(TRIM(D37)),8,1))/10)+MOD(2*VALUE(MID(UPPER(TRIM(D37)),8,1)),10)),10),10),"0"),RIGHT(UPPER(TRIM(D37)),1)=MID("JABCDEFGHI",MOD(10-MOD((VALUE(MID(UPPER(TRIM(D37)),3,1))+VALUE(MID(UPPER(TRIM(D37)),5,1))+VALUE(MID(UPPER(TRIM(D37)),7,1)))+(INT(2*VALUE(MID(UPPER(TRIM(D37)),2,1))/10)+MOD(2*VALUE(MID(UPPER(TRIM(D37)),2,1)),10))+(INT(2*VALUE(MID(UPPER(TRIM(D37)),4,1))/10)+MOD(2*VALUE(MID(UPPER(TRIM(D37)),4,1)),10))+(INT(2*VALUE(MID(UPPER(TRIM(D37)),6,1))/10)+MOD(2*VALUE(MID(UPPER(TRIM(D37)),6,1)),10))+(INT(2*VALUE(MID(UPPER(TRIM(D37)),8,1))/10)+MOD(2*VALUE(MID(UPPER(TRIM(D37)),8,1)),10)),10),10)+1,1)),"OK","REVISAR")),"REVISAR")))</f>
        <v/>
      </c>
      <c r="Q37">
        <f>IF(B37="","",IF(COUNTIFS($B$2:$B$501,B37,$D$2:$D$501,D37)&gt;1,"DUPLICADA",""))</f>
        <v/>
      </c>
      <c r="R37">
        <f>IF(A37="","",ROUNDUP(MONTH(A37)/3,0))</f>
        <v/>
      </c>
      <c r="S37" s="3" t="n"/>
    </row>
    <row r="38">
      <c r="A38" s="2" t="n"/>
      <c r="B38" s="3" t="n"/>
      <c r="C38" s="3" t="n"/>
      <c r="D38" s="3" t="n"/>
      <c r="E38" s="4" t="n"/>
      <c r="F38" s="4" t="n"/>
      <c r="G38" s="4" t="n"/>
      <c r="H38" s="4" t="n"/>
      <c r="I38" s="5">
        <f>IF(E38="","",ROUND(E38*0.21,2))</f>
        <v/>
      </c>
      <c r="J38" s="5">
        <f>IF(F38="","",ROUND(F38*0.1,2))</f>
        <v/>
      </c>
      <c r="K38" s="5">
        <f>IF(G38="","",ROUND(G38*0.04,2))</f>
        <v/>
      </c>
      <c r="L38" s="4" t="n"/>
      <c r="M38" s="4" t="n"/>
      <c r="N38" s="5">
        <f>IF(A38="","",SUM(E38:K38)-N(L38))</f>
        <v/>
      </c>
      <c r="O38">
        <f>IF(OR(A38="",M38=""),"",IF(ABS(M38-N38)&lt;=0.02,"OK","REVISAR"))</f>
        <v/>
      </c>
      <c r="P38">
        <f>IF(D38="","",IF(LEN(TRIM(D38))&lt;&gt;9,"REVISAR",IFERROR(IF(OR(ISNUMBER(VALUE(LEFT(UPPER(TRIM(D38)),1))),LEFT(UPPER(TRIM(D38)),1)="X",LEFT(UPPER(TRIM(D38)),1)="Y",LEFT(UPPER(TRIM(D38)),1)="Z"),IF(MID("TRWAGMYFPDXBNJZSQVHLCKE",MOD(VALUE(SUBSTITUTE(SUBSTITUTE(SUBSTITUTE(LEFT(UPPER(TRIM(D38)),8),"X","0"),"Y","1"),"Z","2")),23)+1,1)=RIGHT(UPPER(TRIM(D38)),1),"OK","REVISAR"),IF(OR(RIGHT(UPPER(TRIM(D38)),1)=TEXT(MOD(10-MOD((VALUE(MID(UPPER(TRIM(D38)),3,1))+VALUE(MID(UPPER(TRIM(D38)),5,1))+VALUE(MID(UPPER(TRIM(D38)),7,1)))+(INT(2*VALUE(MID(UPPER(TRIM(D38)),2,1))/10)+MOD(2*VALUE(MID(UPPER(TRIM(D38)),2,1)),10))+(INT(2*VALUE(MID(UPPER(TRIM(D38)),4,1))/10)+MOD(2*VALUE(MID(UPPER(TRIM(D38)),4,1)),10))+(INT(2*VALUE(MID(UPPER(TRIM(D38)),6,1))/10)+MOD(2*VALUE(MID(UPPER(TRIM(D38)),6,1)),10))+(INT(2*VALUE(MID(UPPER(TRIM(D38)),8,1))/10)+MOD(2*VALUE(MID(UPPER(TRIM(D38)),8,1)),10)),10),10),"0"),RIGHT(UPPER(TRIM(D38)),1)=MID("JABCDEFGHI",MOD(10-MOD((VALUE(MID(UPPER(TRIM(D38)),3,1))+VALUE(MID(UPPER(TRIM(D38)),5,1))+VALUE(MID(UPPER(TRIM(D38)),7,1)))+(INT(2*VALUE(MID(UPPER(TRIM(D38)),2,1))/10)+MOD(2*VALUE(MID(UPPER(TRIM(D38)),2,1)),10))+(INT(2*VALUE(MID(UPPER(TRIM(D38)),4,1))/10)+MOD(2*VALUE(MID(UPPER(TRIM(D38)),4,1)),10))+(INT(2*VALUE(MID(UPPER(TRIM(D38)),6,1))/10)+MOD(2*VALUE(MID(UPPER(TRIM(D38)),6,1)),10))+(INT(2*VALUE(MID(UPPER(TRIM(D38)),8,1))/10)+MOD(2*VALUE(MID(UPPER(TRIM(D38)),8,1)),10)),10),10)+1,1)),"OK","REVISAR")),"REVISAR")))</f>
        <v/>
      </c>
      <c r="Q38">
        <f>IF(B38="","",IF(COUNTIFS($B$2:$B$501,B38,$D$2:$D$501,D38)&gt;1,"DUPLICADA",""))</f>
        <v/>
      </c>
      <c r="R38">
        <f>IF(A38="","",ROUNDUP(MONTH(A38)/3,0))</f>
        <v/>
      </c>
      <c r="S38" s="3" t="n"/>
    </row>
    <row r="39">
      <c r="A39" s="2" t="n"/>
      <c r="B39" s="3" t="n"/>
      <c r="C39" s="3" t="n"/>
      <c r="D39" s="3" t="n"/>
      <c r="E39" s="4" t="n"/>
      <c r="F39" s="4" t="n"/>
      <c r="G39" s="4" t="n"/>
      <c r="H39" s="4" t="n"/>
      <c r="I39" s="5">
        <f>IF(E39="","",ROUND(E39*0.21,2))</f>
        <v/>
      </c>
      <c r="J39" s="5">
        <f>IF(F39="","",ROUND(F39*0.1,2))</f>
        <v/>
      </c>
      <c r="K39" s="5">
        <f>IF(G39="","",ROUND(G39*0.04,2))</f>
        <v/>
      </c>
      <c r="L39" s="4" t="n"/>
      <c r="M39" s="4" t="n"/>
      <c r="N39" s="5">
        <f>IF(A39="","",SUM(E39:K39)-N(L39))</f>
        <v/>
      </c>
      <c r="O39">
        <f>IF(OR(A39="",M39=""),"",IF(ABS(M39-N39)&lt;=0.02,"OK","REVISAR"))</f>
        <v/>
      </c>
      <c r="P39">
        <f>IF(D39="","",IF(LEN(TRIM(D39))&lt;&gt;9,"REVISAR",IFERROR(IF(OR(ISNUMBER(VALUE(LEFT(UPPER(TRIM(D39)),1))),LEFT(UPPER(TRIM(D39)),1)="X",LEFT(UPPER(TRIM(D39)),1)="Y",LEFT(UPPER(TRIM(D39)),1)="Z"),IF(MID("TRWAGMYFPDXBNJZSQVHLCKE",MOD(VALUE(SUBSTITUTE(SUBSTITUTE(SUBSTITUTE(LEFT(UPPER(TRIM(D39)),8),"X","0"),"Y","1"),"Z","2")),23)+1,1)=RIGHT(UPPER(TRIM(D39)),1),"OK","REVISAR"),IF(OR(RIGHT(UPPER(TRIM(D39)),1)=TEXT(MOD(10-MOD((VALUE(MID(UPPER(TRIM(D39)),3,1))+VALUE(MID(UPPER(TRIM(D39)),5,1))+VALUE(MID(UPPER(TRIM(D39)),7,1)))+(INT(2*VALUE(MID(UPPER(TRIM(D39)),2,1))/10)+MOD(2*VALUE(MID(UPPER(TRIM(D39)),2,1)),10))+(INT(2*VALUE(MID(UPPER(TRIM(D39)),4,1))/10)+MOD(2*VALUE(MID(UPPER(TRIM(D39)),4,1)),10))+(INT(2*VALUE(MID(UPPER(TRIM(D39)),6,1))/10)+MOD(2*VALUE(MID(UPPER(TRIM(D39)),6,1)),10))+(INT(2*VALUE(MID(UPPER(TRIM(D39)),8,1))/10)+MOD(2*VALUE(MID(UPPER(TRIM(D39)),8,1)),10)),10),10),"0"),RIGHT(UPPER(TRIM(D39)),1)=MID("JABCDEFGHI",MOD(10-MOD((VALUE(MID(UPPER(TRIM(D39)),3,1))+VALUE(MID(UPPER(TRIM(D39)),5,1))+VALUE(MID(UPPER(TRIM(D39)),7,1)))+(INT(2*VALUE(MID(UPPER(TRIM(D39)),2,1))/10)+MOD(2*VALUE(MID(UPPER(TRIM(D39)),2,1)),10))+(INT(2*VALUE(MID(UPPER(TRIM(D39)),4,1))/10)+MOD(2*VALUE(MID(UPPER(TRIM(D39)),4,1)),10))+(INT(2*VALUE(MID(UPPER(TRIM(D39)),6,1))/10)+MOD(2*VALUE(MID(UPPER(TRIM(D39)),6,1)),10))+(INT(2*VALUE(MID(UPPER(TRIM(D39)),8,1))/10)+MOD(2*VALUE(MID(UPPER(TRIM(D39)),8,1)),10)),10),10)+1,1)),"OK","REVISAR")),"REVISAR")))</f>
        <v/>
      </c>
      <c r="Q39">
        <f>IF(B39="","",IF(COUNTIFS($B$2:$B$501,B39,$D$2:$D$501,D39)&gt;1,"DUPLICADA",""))</f>
        <v/>
      </c>
      <c r="R39">
        <f>IF(A39="","",ROUNDUP(MONTH(A39)/3,0))</f>
        <v/>
      </c>
      <c r="S39" s="3" t="n"/>
    </row>
    <row r="40">
      <c r="A40" s="2" t="n"/>
      <c r="B40" s="3" t="n"/>
      <c r="C40" s="3" t="n"/>
      <c r="D40" s="3" t="n"/>
      <c r="E40" s="4" t="n"/>
      <c r="F40" s="4" t="n"/>
      <c r="G40" s="4" t="n"/>
      <c r="H40" s="4" t="n"/>
      <c r="I40" s="5">
        <f>IF(E40="","",ROUND(E40*0.21,2))</f>
        <v/>
      </c>
      <c r="J40" s="5">
        <f>IF(F40="","",ROUND(F40*0.1,2))</f>
        <v/>
      </c>
      <c r="K40" s="5">
        <f>IF(G40="","",ROUND(G40*0.04,2))</f>
        <v/>
      </c>
      <c r="L40" s="4" t="n"/>
      <c r="M40" s="4" t="n"/>
      <c r="N40" s="5">
        <f>IF(A40="","",SUM(E40:K40)-N(L40))</f>
        <v/>
      </c>
      <c r="O40">
        <f>IF(OR(A40="",M40=""),"",IF(ABS(M40-N40)&lt;=0.02,"OK","REVISAR"))</f>
        <v/>
      </c>
      <c r="P40">
        <f>IF(D40="","",IF(LEN(TRIM(D40))&lt;&gt;9,"REVISAR",IFERROR(IF(OR(ISNUMBER(VALUE(LEFT(UPPER(TRIM(D40)),1))),LEFT(UPPER(TRIM(D40)),1)="X",LEFT(UPPER(TRIM(D40)),1)="Y",LEFT(UPPER(TRIM(D40)),1)="Z"),IF(MID("TRWAGMYFPDXBNJZSQVHLCKE",MOD(VALUE(SUBSTITUTE(SUBSTITUTE(SUBSTITUTE(LEFT(UPPER(TRIM(D40)),8),"X","0"),"Y","1"),"Z","2")),23)+1,1)=RIGHT(UPPER(TRIM(D40)),1),"OK","REVISAR"),IF(OR(RIGHT(UPPER(TRIM(D40)),1)=TEXT(MOD(10-MOD((VALUE(MID(UPPER(TRIM(D40)),3,1))+VALUE(MID(UPPER(TRIM(D40)),5,1))+VALUE(MID(UPPER(TRIM(D40)),7,1)))+(INT(2*VALUE(MID(UPPER(TRIM(D40)),2,1))/10)+MOD(2*VALUE(MID(UPPER(TRIM(D40)),2,1)),10))+(INT(2*VALUE(MID(UPPER(TRIM(D40)),4,1))/10)+MOD(2*VALUE(MID(UPPER(TRIM(D40)),4,1)),10))+(INT(2*VALUE(MID(UPPER(TRIM(D40)),6,1))/10)+MOD(2*VALUE(MID(UPPER(TRIM(D40)),6,1)),10))+(INT(2*VALUE(MID(UPPER(TRIM(D40)),8,1))/10)+MOD(2*VALUE(MID(UPPER(TRIM(D40)),8,1)),10)),10),10),"0"),RIGHT(UPPER(TRIM(D40)),1)=MID("JABCDEFGHI",MOD(10-MOD((VALUE(MID(UPPER(TRIM(D40)),3,1))+VALUE(MID(UPPER(TRIM(D40)),5,1))+VALUE(MID(UPPER(TRIM(D40)),7,1)))+(INT(2*VALUE(MID(UPPER(TRIM(D40)),2,1))/10)+MOD(2*VALUE(MID(UPPER(TRIM(D40)),2,1)),10))+(INT(2*VALUE(MID(UPPER(TRIM(D40)),4,1))/10)+MOD(2*VALUE(MID(UPPER(TRIM(D40)),4,1)),10))+(INT(2*VALUE(MID(UPPER(TRIM(D40)),6,1))/10)+MOD(2*VALUE(MID(UPPER(TRIM(D40)),6,1)),10))+(INT(2*VALUE(MID(UPPER(TRIM(D40)),8,1))/10)+MOD(2*VALUE(MID(UPPER(TRIM(D40)),8,1)),10)),10),10)+1,1)),"OK","REVISAR")),"REVISAR")))</f>
        <v/>
      </c>
      <c r="Q40">
        <f>IF(B40="","",IF(COUNTIFS($B$2:$B$501,B40,$D$2:$D$501,D40)&gt;1,"DUPLICADA",""))</f>
        <v/>
      </c>
      <c r="R40">
        <f>IF(A40="","",ROUNDUP(MONTH(A40)/3,0))</f>
        <v/>
      </c>
      <c r="S40" s="3" t="n"/>
    </row>
    <row r="41">
      <c r="A41" s="2" t="n"/>
      <c r="B41" s="3" t="n"/>
      <c r="C41" s="3" t="n"/>
      <c r="D41" s="3" t="n"/>
      <c r="E41" s="4" t="n"/>
      <c r="F41" s="4" t="n"/>
      <c r="G41" s="4" t="n"/>
      <c r="H41" s="4" t="n"/>
      <c r="I41" s="5">
        <f>IF(E41="","",ROUND(E41*0.21,2))</f>
        <v/>
      </c>
      <c r="J41" s="5">
        <f>IF(F41="","",ROUND(F41*0.1,2))</f>
        <v/>
      </c>
      <c r="K41" s="5">
        <f>IF(G41="","",ROUND(G41*0.04,2))</f>
        <v/>
      </c>
      <c r="L41" s="4" t="n"/>
      <c r="M41" s="4" t="n"/>
      <c r="N41" s="5">
        <f>IF(A41="","",SUM(E41:K41)-N(L41))</f>
        <v/>
      </c>
      <c r="O41">
        <f>IF(OR(A41="",M41=""),"",IF(ABS(M41-N41)&lt;=0.02,"OK","REVISAR"))</f>
        <v/>
      </c>
      <c r="P41">
        <f>IF(D41="","",IF(LEN(TRIM(D41))&lt;&gt;9,"REVISAR",IFERROR(IF(OR(ISNUMBER(VALUE(LEFT(UPPER(TRIM(D41)),1))),LEFT(UPPER(TRIM(D41)),1)="X",LEFT(UPPER(TRIM(D41)),1)="Y",LEFT(UPPER(TRIM(D41)),1)="Z"),IF(MID("TRWAGMYFPDXBNJZSQVHLCKE",MOD(VALUE(SUBSTITUTE(SUBSTITUTE(SUBSTITUTE(LEFT(UPPER(TRIM(D41)),8),"X","0"),"Y","1"),"Z","2")),23)+1,1)=RIGHT(UPPER(TRIM(D41)),1),"OK","REVISAR"),IF(OR(RIGHT(UPPER(TRIM(D41)),1)=TEXT(MOD(10-MOD((VALUE(MID(UPPER(TRIM(D41)),3,1))+VALUE(MID(UPPER(TRIM(D41)),5,1))+VALUE(MID(UPPER(TRIM(D41)),7,1)))+(INT(2*VALUE(MID(UPPER(TRIM(D41)),2,1))/10)+MOD(2*VALUE(MID(UPPER(TRIM(D41)),2,1)),10))+(INT(2*VALUE(MID(UPPER(TRIM(D41)),4,1))/10)+MOD(2*VALUE(MID(UPPER(TRIM(D41)),4,1)),10))+(INT(2*VALUE(MID(UPPER(TRIM(D41)),6,1))/10)+MOD(2*VALUE(MID(UPPER(TRIM(D41)),6,1)),10))+(INT(2*VALUE(MID(UPPER(TRIM(D41)),8,1))/10)+MOD(2*VALUE(MID(UPPER(TRIM(D41)),8,1)),10)),10),10),"0"),RIGHT(UPPER(TRIM(D41)),1)=MID("JABCDEFGHI",MOD(10-MOD((VALUE(MID(UPPER(TRIM(D41)),3,1))+VALUE(MID(UPPER(TRIM(D41)),5,1))+VALUE(MID(UPPER(TRIM(D41)),7,1)))+(INT(2*VALUE(MID(UPPER(TRIM(D41)),2,1))/10)+MOD(2*VALUE(MID(UPPER(TRIM(D41)),2,1)),10))+(INT(2*VALUE(MID(UPPER(TRIM(D41)),4,1))/10)+MOD(2*VALUE(MID(UPPER(TRIM(D41)),4,1)),10))+(INT(2*VALUE(MID(UPPER(TRIM(D41)),6,1))/10)+MOD(2*VALUE(MID(UPPER(TRIM(D41)),6,1)),10))+(INT(2*VALUE(MID(UPPER(TRIM(D41)),8,1))/10)+MOD(2*VALUE(MID(UPPER(TRIM(D41)),8,1)),10)),10),10)+1,1)),"OK","REVISAR")),"REVISAR")))</f>
        <v/>
      </c>
      <c r="Q41">
        <f>IF(B41="","",IF(COUNTIFS($B$2:$B$501,B41,$D$2:$D$501,D41)&gt;1,"DUPLICADA",""))</f>
        <v/>
      </c>
      <c r="R41">
        <f>IF(A41="","",ROUNDUP(MONTH(A41)/3,0))</f>
        <v/>
      </c>
      <c r="S41" s="3" t="n"/>
    </row>
    <row r="42">
      <c r="A42" s="2" t="n"/>
      <c r="B42" s="3" t="n"/>
      <c r="C42" s="3" t="n"/>
      <c r="D42" s="3" t="n"/>
      <c r="E42" s="4" t="n"/>
      <c r="F42" s="4" t="n"/>
      <c r="G42" s="4" t="n"/>
      <c r="H42" s="4" t="n"/>
      <c r="I42" s="5">
        <f>IF(E42="","",ROUND(E42*0.21,2))</f>
        <v/>
      </c>
      <c r="J42" s="5">
        <f>IF(F42="","",ROUND(F42*0.1,2))</f>
        <v/>
      </c>
      <c r="K42" s="5">
        <f>IF(G42="","",ROUND(G42*0.04,2))</f>
        <v/>
      </c>
      <c r="L42" s="4" t="n"/>
      <c r="M42" s="4" t="n"/>
      <c r="N42" s="5">
        <f>IF(A42="","",SUM(E42:K42)-N(L42))</f>
        <v/>
      </c>
      <c r="O42">
        <f>IF(OR(A42="",M42=""),"",IF(ABS(M42-N42)&lt;=0.02,"OK","REVISAR"))</f>
        <v/>
      </c>
      <c r="P42">
        <f>IF(D42="","",IF(LEN(TRIM(D42))&lt;&gt;9,"REVISAR",IFERROR(IF(OR(ISNUMBER(VALUE(LEFT(UPPER(TRIM(D42)),1))),LEFT(UPPER(TRIM(D42)),1)="X",LEFT(UPPER(TRIM(D42)),1)="Y",LEFT(UPPER(TRIM(D42)),1)="Z"),IF(MID("TRWAGMYFPDXBNJZSQVHLCKE",MOD(VALUE(SUBSTITUTE(SUBSTITUTE(SUBSTITUTE(LEFT(UPPER(TRIM(D42)),8),"X","0"),"Y","1"),"Z","2")),23)+1,1)=RIGHT(UPPER(TRIM(D42)),1),"OK","REVISAR"),IF(OR(RIGHT(UPPER(TRIM(D42)),1)=TEXT(MOD(10-MOD((VALUE(MID(UPPER(TRIM(D42)),3,1))+VALUE(MID(UPPER(TRIM(D42)),5,1))+VALUE(MID(UPPER(TRIM(D42)),7,1)))+(INT(2*VALUE(MID(UPPER(TRIM(D42)),2,1))/10)+MOD(2*VALUE(MID(UPPER(TRIM(D42)),2,1)),10))+(INT(2*VALUE(MID(UPPER(TRIM(D42)),4,1))/10)+MOD(2*VALUE(MID(UPPER(TRIM(D42)),4,1)),10))+(INT(2*VALUE(MID(UPPER(TRIM(D42)),6,1))/10)+MOD(2*VALUE(MID(UPPER(TRIM(D42)),6,1)),10))+(INT(2*VALUE(MID(UPPER(TRIM(D42)),8,1))/10)+MOD(2*VALUE(MID(UPPER(TRIM(D42)),8,1)),10)),10),10),"0"),RIGHT(UPPER(TRIM(D42)),1)=MID("JABCDEFGHI",MOD(10-MOD((VALUE(MID(UPPER(TRIM(D42)),3,1))+VALUE(MID(UPPER(TRIM(D42)),5,1))+VALUE(MID(UPPER(TRIM(D42)),7,1)))+(INT(2*VALUE(MID(UPPER(TRIM(D42)),2,1))/10)+MOD(2*VALUE(MID(UPPER(TRIM(D42)),2,1)),10))+(INT(2*VALUE(MID(UPPER(TRIM(D42)),4,1))/10)+MOD(2*VALUE(MID(UPPER(TRIM(D42)),4,1)),10))+(INT(2*VALUE(MID(UPPER(TRIM(D42)),6,1))/10)+MOD(2*VALUE(MID(UPPER(TRIM(D42)),6,1)),10))+(INT(2*VALUE(MID(UPPER(TRIM(D42)),8,1))/10)+MOD(2*VALUE(MID(UPPER(TRIM(D42)),8,1)),10)),10),10)+1,1)),"OK","REVISAR")),"REVISAR")))</f>
        <v/>
      </c>
      <c r="Q42">
        <f>IF(B42="","",IF(COUNTIFS($B$2:$B$501,B42,$D$2:$D$501,D42)&gt;1,"DUPLICADA",""))</f>
        <v/>
      </c>
      <c r="R42">
        <f>IF(A42="","",ROUNDUP(MONTH(A42)/3,0))</f>
        <v/>
      </c>
      <c r="S42" s="3" t="n"/>
    </row>
    <row r="43">
      <c r="A43" s="2" t="n"/>
      <c r="B43" s="3" t="n"/>
      <c r="C43" s="3" t="n"/>
      <c r="D43" s="3" t="n"/>
      <c r="E43" s="4" t="n"/>
      <c r="F43" s="4" t="n"/>
      <c r="G43" s="4" t="n"/>
      <c r="H43" s="4" t="n"/>
      <c r="I43" s="5">
        <f>IF(E43="","",ROUND(E43*0.21,2))</f>
        <v/>
      </c>
      <c r="J43" s="5">
        <f>IF(F43="","",ROUND(F43*0.1,2))</f>
        <v/>
      </c>
      <c r="K43" s="5">
        <f>IF(G43="","",ROUND(G43*0.04,2))</f>
        <v/>
      </c>
      <c r="L43" s="4" t="n"/>
      <c r="M43" s="4" t="n"/>
      <c r="N43" s="5">
        <f>IF(A43="","",SUM(E43:K43)-N(L43))</f>
        <v/>
      </c>
      <c r="O43">
        <f>IF(OR(A43="",M43=""),"",IF(ABS(M43-N43)&lt;=0.02,"OK","REVISAR"))</f>
        <v/>
      </c>
      <c r="P43">
        <f>IF(D43="","",IF(LEN(TRIM(D43))&lt;&gt;9,"REVISAR",IFERROR(IF(OR(ISNUMBER(VALUE(LEFT(UPPER(TRIM(D43)),1))),LEFT(UPPER(TRIM(D43)),1)="X",LEFT(UPPER(TRIM(D43)),1)="Y",LEFT(UPPER(TRIM(D43)),1)="Z"),IF(MID("TRWAGMYFPDXBNJZSQVHLCKE",MOD(VALUE(SUBSTITUTE(SUBSTITUTE(SUBSTITUTE(LEFT(UPPER(TRIM(D43)),8),"X","0"),"Y","1"),"Z","2")),23)+1,1)=RIGHT(UPPER(TRIM(D43)),1),"OK","REVISAR"),IF(OR(RIGHT(UPPER(TRIM(D43)),1)=TEXT(MOD(10-MOD((VALUE(MID(UPPER(TRIM(D43)),3,1))+VALUE(MID(UPPER(TRIM(D43)),5,1))+VALUE(MID(UPPER(TRIM(D43)),7,1)))+(INT(2*VALUE(MID(UPPER(TRIM(D43)),2,1))/10)+MOD(2*VALUE(MID(UPPER(TRIM(D43)),2,1)),10))+(INT(2*VALUE(MID(UPPER(TRIM(D43)),4,1))/10)+MOD(2*VALUE(MID(UPPER(TRIM(D43)),4,1)),10))+(INT(2*VALUE(MID(UPPER(TRIM(D43)),6,1))/10)+MOD(2*VALUE(MID(UPPER(TRIM(D43)),6,1)),10))+(INT(2*VALUE(MID(UPPER(TRIM(D43)),8,1))/10)+MOD(2*VALUE(MID(UPPER(TRIM(D43)),8,1)),10)),10),10),"0"),RIGHT(UPPER(TRIM(D43)),1)=MID("JABCDEFGHI",MOD(10-MOD((VALUE(MID(UPPER(TRIM(D43)),3,1))+VALUE(MID(UPPER(TRIM(D43)),5,1))+VALUE(MID(UPPER(TRIM(D43)),7,1)))+(INT(2*VALUE(MID(UPPER(TRIM(D43)),2,1))/10)+MOD(2*VALUE(MID(UPPER(TRIM(D43)),2,1)),10))+(INT(2*VALUE(MID(UPPER(TRIM(D43)),4,1))/10)+MOD(2*VALUE(MID(UPPER(TRIM(D43)),4,1)),10))+(INT(2*VALUE(MID(UPPER(TRIM(D43)),6,1))/10)+MOD(2*VALUE(MID(UPPER(TRIM(D43)),6,1)),10))+(INT(2*VALUE(MID(UPPER(TRIM(D43)),8,1))/10)+MOD(2*VALUE(MID(UPPER(TRIM(D43)),8,1)),10)),10),10)+1,1)),"OK","REVISAR")),"REVISAR")))</f>
        <v/>
      </c>
      <c r="Q43">
        <f>IF(B43="","",IF(COUNTIFS($B$2:$B$501,B43,$D$2:$D$501,D43)&gt;1,"DUPLICADA",""))</f>
        <v/>
      </c>
      <c r="R43">
        <f>IF(A43="","",ROUNDUP(MONTH(A43)/3,0))</f>
        <v/>
      </c>
      <c r="S43" s="3" t="n"/>
    </row>
    <row r="44">
      <c r="A44" s="2" t="n"/>
      <c r="B44" s="3" t="n"/>
      <c r="C44" s="3" t="n"/>
      <c r="D44" s="3" t="n"/>
      <c r="E44" s="4" t="n"/>
      <c r="F44" s="4" t="n"/>
      <c r="G44" s="4" t="n"/>
      <c r="H44" s="4" t="n"/>
      <c r="I44" s="5">
        <f>IF(E44="","",ROUND(E44*0.21,2))</f>
        <v/>
      </c>
      <c r="J44" s="5">
        <f>IF(F44="","",ROUND(F44*0.1,2))</f>
        <v/>
      </c>
      <c r="K44" s="5">
        <f>IF(G44="","",ROUND(G44*0.04,2))</f>
        <v/>
      </c>
      <c r="L44" s="4" t="n"/>
      <c r="M44" s="4" t="n"/>
      <c r="N44" s="5">
        <f>IF(A44="","",SUM(E44:K44)-N(L44))</f>
        <v/>
      </c>
      <c r="O44">
        <f>IF(OR(A44="",M44=""),"",IF(ABS(M44-N44)&lt;=0.02,"OK","REVISAR"))</f>
        <v/>
      </c>
      <c r="P44">
        <f>IF(D44="","",IF(LEN(TRIM(D44))&lt;&gt;9,"REVISAR",IFERROR(IF(OR(ISNUMBER(VALUE(LEFT(UPPER(TRIM(D44)),1))),LEFT(UPPER(TRIM(D44)),1)="X",LEFT(UPPER(TRIM(D44)),1)="Y",LEFT(UPPER(TRIM(D44)),1)="Z"),IF(MID("TRWAGMYFPDXBNJZSQVHLCKE",MOD(VALUE(SUBSTITUTE(SUBSTITUTE(SUBSTITUTE(LEFT(UPPER(TRIM(D44)),8),"X","0"),"Y","1"),"Z","2")),23)+1,1)=RIGHT(UPPER(TRIM(D44)),1),"OK","REVISAR"),IF(OR(RIGHT(UPPER(TRIM(D44)),1)=TEXT(MOD(10-MOD((VALUE(MID(UPPER(TRIM(D44)),3,1))+VALUE(MID(UPPER(TRIM(D44)),5,1))+VALUE(MID(UPPER(TRIM(D44)),7,1)))+(INT(2*VALUE(MID(UPPER(TRIM(D44)),2,1))/10)+MOD(2*VALUE(MID(UPPER(TRIM(D44)),2,1)),10))+(INT(2*VALUE(MID(UPPER(TRIM(D44)),4,1))/10)+MOD(2*VALUE(MID(UPPER(TRIM(D44)),4,1)),10))+(INT(2*VALUE(MID(UPPER(TRIM(D44)),6,1))/10)+MOD(2*VALUE(MID(UPPER(TRIM(D44)),6,1)),10))+(INT(2*VALUE(MID(UPPER(TRIM(D44)),8,1))/10)+MOD(2*VALUE(MID(UPPER(TRIM(D44)),8,1)),10)),10),10),"0"),RIGHT(UPPER(TRIM(D44)),1)=MID("JABCDEFGHI",MOD(10-MOD((VALUE(MID(UPPER(TRIM(D44)),3,1))+VALUE(MID(UPPER(TRIM(D44)),5,1))+VALUE(MID(UPPER(TRIM(D44)),7,1)))+(INT(2*VALUE(MID(UPPER(TRIM(D44)),2,1))/10)+MOD(2*VALUE(MID(UPPER(TRIM(D44)),2,1)),10))+(INT(2*VALUE(MID(UPPER(TRIM(D44)),4,1))/10)+MOD(2*VALUE(MID(UPPER(TRIM(D44)),4,1)),10))+(INT(2*VALUE(MID(UPPER(TRIM(D44)),6,1))/10)+MOD(2*VALUE(MID(UPPER(TRIM(D44)),6,1)),10))+(INT(2*VALUE(MID(UPPER(TRIM(D44)),8,1))/10)+MOD(2*VALUE(MID(UPPER(TRIM(D44)),8,1)),10)),10),10)+1,1)),"OK","REVISAR")),"REVISAR")))</f>
        <v/>
      </c>
      <c r="Q44">
        <f>IF(B44="","",IF(COUNTIFS($B$2:$B$501,B44,$D$2:$D$501,D44)&gt;1,"DUPLICADA",""))</f>
        <v/>
      </c>
      <c r="R44">
        <f>IF(A44="","",ROUNDUP(MONTH(A44)/3,0))</f>
        <v/>
      </c>
      <c r="S44" s="3" t="n"/>
    </row>
    <row r="45">
      <c r="A45" s="2" t="n"/>
      <c r="B45" s="3" t="n"/>
      <c r="C45" s="3" t="n"/>
      <c r="D45" s="3" t="n"/>
      <c r="E45" s="4" t="n"/>
      <c r="F45" s="4" t="n"/>
      <c r="G45" s="4" t="n"/>
      <c r="H45" s="4" t="n"/>
      <c r="I45" s="5">
        <f>IF(E45="","",ROUND(E45*0.21,2))</f>
        <v/>
      </c>
      <c r="J45" s="5">
        <f>IF(F45="","",ROUND(F45*0.1,2))</f>
        <v/>
      </c>
      <c r="K45" s="5">
        <f>IF(G45="","",ROUND(G45*0.04,2))</f>
        <v/>
      </c>
      <c r="L45" s="4" t="n"/>
      <c r="M45" s="4" t="n"/>
      <c r="N45" s="5">
        <f>IF(A45="","",SUM(E45:K45)-N(L45))</f>
        <v/>
      </c>
      <c r="O45">
        <f>IF(OR(A45="",M45=""),"",IF(ABS(M45-N45)&lt;=0.02,"OK","REVISAR"))</f>
        <v/>
      </c>
      <c r="P45">
        <f>IF(D45="","",IF(LEN(TRIM(D45))&lt;&gt;9,"REVISAR",IFERROR(IF(OR(ISNUMBER(VALUE(LEFT(UPPER(TRIM(D45)),1))),LEFT(UPPER(TRIM(D45)),1)="X",LEFT(UPPER(TRIM(D45)),1)="Y",LEFT(UPPER(TRIM(D45)),1)="Z"),IF(MID("TRWAGMYFPDXBNJZSQVHLCKE",MOD(VALUE(SUBSTITUTE(SUBSTITUTE(SUBSTITUTE(LEFT(UPPER(TRIM(D45)),8),"X","0"),"Y","1"),"Z","2")),23)+1,1)=RIGHT(UPPER(TRIM(D45)),1),"OK","REVISAR"),IF(OR(RIGHT(UPPER(TRIM(D45)),1)=TEXT(MOD(10-MOD((VALUE(MID(UPPER(TRIM(D45)),3,1))+VALUE(MID(UPPER(TRIM(D45)),5,1))+VALUE(MID(UPPER(TRIM(D45)),7,1)))+(INT(2*VALUE(MID(UPPER(TRIM(D45)),2,1))/10)+MOD(2*VALUE(MID(UPPER(TRIM(D45)),2,1)),10))+(INT(2*VALUE(MID(UPPER(TRIM(D45)),4,1))/10)+MOD(2*VALUE(MID(UPPER(TRIM(D45)),4,1)),10))+(INT(2*VALUE(MID(UPPER(TRIM(D45)),6,1))/10)+MOD(2*VALUE(MID(UPPER(TRIM(D45)),6,1)),10))+(INT(2*VALUE(MID(UPPER(TRIM(D45)),8,1))/10)+MOD(2*VALUE(MID(UPPER(TRIM(D45)),8,1)),10)),10),10),"0"),RIGHT(UPPER(TRIM(D45)),1)=MID("JABCDEFGHI",MOD(10-MOD((VALUE(MID(UPPER(TRIM(D45)),3,1))+VALUE(MID(UPPER(TRIM(D45)),5,1))+VALUE(MID(UPPER(TRIM(D45)),7,1)))+(INT(2*VALUE(MID(UPPER(TRIM(D45)),2,1))/10)+MOD(2*VALUE(MID(UPPER(TRIM(D45)),2,1)),10))+(INT(2*VALUE(MID(UPPER(TRIM(D45)),4,1))/10)+MOD(2*VALUE(MID(UPPER(TRIM(D45)),4,1)),10))+(INT(2*VALUE(MID(UPPER(TRIM(D45)),6,1))/10)+MOD(2*VALUE(MID(UPPER(TRIM(D45)),6,1)),10))+(INT(2*VALUE(MID(UPPER(TRIM(D45)),8,1))/10)+MOD(2*VALUE(MID(UPPER(TRIM(D45)),8,1)),10)),10),10)+1,1)),"OK","REVISAR")),"REVISAR")))</f>
        <v/>
      </c>
      <c r="Q45">
        <f>IF(B45="","",IF(COUNTIFS($B$2:$B$501,B45,$D$2:$D$501,D45)&gt;1,"DUPLICADA",""))</f>
        <v/>
      </c>
      <c r="R45">
        <f>IF(A45="","",ROUNDUP(MONTH(A45)/3,0))</f>
        <v/>
      </c>
      <c r="S45" s="3" t="n"/>
    </row>
    <row r="46">
      <c r="A46" s="2" t="n"/>
      <c r="B46" s="3" t="n"/>
      <c r="C46" s="3" t="n"/>
      <c r="D46" s="3" t="n"/>
      <c r="E46" s="4" t="n"/>
      <c r="F46" s="4" t="n"/>
      <c r="G46" s="4" t="n"/>
      <c r="H46" s="4" t="n"/>
      <c r="I46" s="5">
        <f>IF(E46="","",ROUND(E46*0.21,2))</f>
        <v/>
      </c>
      <c r="J46" s="5">
        <f>IF(F46="","",ROUND(F46*0.1,2))</f>
        <v/>
      </c>
      <c r="K46" s="5">
        <f>IF(G46="","",ROUND(G46*0.04,2))</f>
        <v/>
      </c>
      <c r="L46" s="4" t="n"/>
      <c r="M46" s="4" t="n"/>
      <c r="N46" s="5">
        <f>IF(A46="","",SUM(E46:K46)-N(L46))</f>
        <v/>
      </c>
      <c r="O46">
        <f>IF(OR(A46="",M46=""),"",IF(ABS(M46-N46)&lt;=0.02,"OK","REVISAR"))</f>
        <v/>
      </c>
      <c r="P46">
        <f>IF(D46="","",IF(LEN(TRIM(D46))&lt;&gt;9,"REVISAR",IFERROR(IF(OR(ISNUMBER(VALUE(LEFT(UPPER(TRIM(D46)),1))),LEFT(UPPER(TRIM(D46)),1)="X",LEFT(UPPER(TRIM(D46)),1)="Y",LEFT(UPPER(TRIM(D46)),1)="Z"),IF(MID("TRWAGMYFPDXBNJZSQVHLCKE",MOD(VALUE(SUBSTITUTE(SUBSTITUTE(SUBSTITUTE(LEFT(UPPER(TRIM(D46)),8),"X","0"),"Y","1"),"Z","2")),23)+1,1)=RIGHT(UPPER(TRIM(D46)),1),"OK","REVISAR"),IF(OR(RIGHT(UPPER(TRIM(D46)),1)=TEXT(MOD(10-MOD((VALUE(MID(UPPER(TRIM(D46)),3,1))+VALUE(MID(UPPER(TRIM(D46)),5,1))+VALUE(MID(UPPER(TRIM(D46)),7,1)))+(INT(2*VALUE(MID(UPPER(TRIM(D46)),2,1))/10)+MOD(2*VALUE(MID(UPPER(TRIM(D46)),2,1)),10))+(INT(2*VALUE(MID(UPPER(TRIM(D46)),4,1))/10)+MOD(2*VALUE(MID(UPPER(TRIM(D46)),4,1)),10))+(INT(2*VALUE(MID(UPPER(TRIM(D46)),6,1))/10)+MOD(2*VALUE(MID(UPPER(TRIM(D46)),6,1)),10))+(INT(2*VALUE(MID(UPPER(TRIM(D46)),8,1))/10)+MOD(2*VALUE(MID(UPPER(TRIM(D46)),8,1)),10)),10),10),"0"),RIGHT(UPPER(TRIM(D46)),1)=MID("JABCDEFGHI",MOD(10-MOD((VALUE(MID(UPPER(TRIM(D46)),3,1))+VALUE(MID(UPPER(TRIM(D46)),5,1))+VALUE(MID(UPPER(TRIM(D46)),7,1)))+(INT(2*VALUE(MID(UPPER(TRIM(D46)),2,1))/10)+MOD(2*VALUE(MID(UPPER(TRIM(D46)),2,1)),10))+(INT(2*VALUE(MID(UPPER(TRIM(D46)),4,1))/10)+MOD(2*VALUE(MID(UPPER(TRIM(D46)),4,1)),10))+(INT(2*VALUE(MID(UPPER(TRIM(D46)),6,1))/10)+MOD(2*VALUE(MID(UPPER(TRIM(D46)),6,1)),10))+(INT(2*VALUE(MID(UPPER(TRIM(D46)),8,1))/10)+MOD(2*VALUE(MID(UPPER(TRIM(D46)),8,1)),10)),10),10)+1,1)),"OK","REVISAR")),"REVISAR")))</f>
        <v/>
      </c>
      <c r="Q46">
        <f>IF(B46="","",IF(COUNTIFS($B$2:$B$501,B46,$D$2:$D$501,D46)&gt;1,"DUPLICADA",""))</f>
        <v/>
      </c>
      <c r="R46">
        <f>IF(A46="","",ROUNDUP(MONTH(A46)/3,0))</f>
        <v/>
      </c>
      <c r="S46" s="3" t="n"/>
    </row>
    <row r="47">
      <c r="A47" s="2" t="n"/>
      <c r="B47" s="3" t="n"/>
      <c r="C47" s="3" t="n"/>
      <c r="D47" s="3" t="n"/>
      <c r="E47" s="4" t="n"/>
      <c r="F47" s="4" t="n"/>
      <c r="G47" s="4" t="n"/>
      <c r="H47" s="4" t="n"/>
      <c r="I47" s="5">
        <f>IF(E47="","",ROUND(E47*0.21,2))</f>
        <v/>
      </c>
      <c r="J47" s="5">
        <f>IF(F47="","",ROUND(F47*0.1,2))</f>
        <v/>
      </c>
      <c r="K47" s="5">
        <f>IF(G47="","",ROUND(G47*0.04,2))</f>
        <v/>
      </c>
      <c r="L47" s="4" t="n"/>
      <c r="M47" s="4" t="n"/>
      <c r="N47" s="5">
        <f>IF(A47="","",SUM(E47:K47)-N(L47))</f>
        <v/>
      </c>
      <c r="O47">
        <f>IF(OR(A47="",M47=""),"",IF(ABS(M47-N47)&lt;=0.02,"OK","REVISAR"))</f>
        <v/>
      </c>
      <c r="P47">
        <f>IF(D47="","",IF(LEN(TRIM(D47))&lt;&gt;9,"REVISAR",IFERROR(IF(OR(ISNUMBER(VALUE(LEFT(UPPER(TRIM(D47)),1))),LEFT(UPPER(TRIM(D47)),1)="X",LEFT(UPPER(TRIM(D47)),1)="Y",LEFT(UPPER(TRIM(D47)),1)="Z"),IF(MID("TRWAGMYFPDXBNJZSQVHLCKE",MOD(VALUE(SUBSTITUTE(SUBSTITUTE(SUBSTITUTE(LEFT(UPPER(TRIM(D47)),8),"X","0"),"Y","1"),"Z","2")),23)+1,1)=RIGHT(UPPER(TRIM(D47)),1),"OK","REVISAR"),IF(OR(RIGHT(UPPER(TRIM(D47)),1)=TEXT(MOD(10-MOD((VALUE(MID(UPPER(TRIM(D47)),3,1))+VALUE(MID(UPPER(TRIM(D47)),5,1))+VALUE(MID(UPPER(TRIM(D47)),7,1)))+(INT(2*VALUE(MID(UPPER(TRIM(D47)),2,1))/10)+MOD(2*VALUE(MID(UPPER(TRIM(D47)),2,1)),10))+(INT(2*VALUE(MID(UPPER(TRIM(D47)),4,1))/10)+MOD(2*VALUE(MID(UPPER(TRIM(D47)),4,1)),10))+(INT(2*VALUE(MID(UPPER(TRIM(D47)),6,1))/10)+MOD(2*VALUE(MID(UPPER(TRIM(D47)),6,1)),10))+(INT(2*VALUE(MID(UPPER(TRIM(D47)),8,1))/10)+MOD(2*VALUE(MID(UPPER(TRIM(D47)),8,1)),10)),10),10),"0"),RIGHT(UPPER(TRIM(D47)),1)=MID("JABCDEFGHI",MOD(10-MOD((VALUE(MID(UPPER(TRIM(D47)),3,1))+VALUE(MID(UPPER(TRIM(D47)),5,1))+VALUE(MID(UPPER(TRIM(D47)),7,1)))+(INT(2*VALUE(MID(UPPER(TRIM(D47)),2,1))/10)+MOD(2*VALUE(MID(UPPER(TRIM(D47)),2,1)),10))+(INT(2*VALUE(MID(UPPER(TRIM(D47)),4,1))/10)+MOD(2*VALUE(MID(UPPER(TRIM(D47)),4,1)),10))+(INT(2*VALUE(MID(UPPER(TRIM(D47)),6,1))/10)+MOD(2*VALUE(MID(UPPER(TRIM(D47)),6,1)),10))+(INT(2*VALUE(MID(UPPER(TRIM(D47)),8,1))/10)+MOD(2*VALUE(MID(UPPER(TRIM(D47)),8,1)),10)),10),10)+1,1)),"OK","REVISAR")),"REVISAR")))</f>
        <v/>
      </c>
      <c r="Q47">
        <f>IF(B47="","",IF(COUNTIFS($B$2:$B$501,B47,$D$2:$D$501,D47)&gt;1,"DUPLICADA",""))</f>
        <v/>
      </c>
      <c r="R47">
        <f>IF(A47="","",ROUNDUP(MONTH(A47)/3,0))</f>
        <v/>
      </c>
      <c r="S47" s="3" t="n"/>
    </row>
    <row r="48">
      <c r="A48" s="2" t="n"/>
      <c r="B48" s="3" t="n"/>
      <c r="C48" s="3" t="n"/>
      <c r="D48" s="3" t="n"/>
      <c r="E48" s="4" t="n"/>
      <c r="F48" s="4" t="n"/>
      <c r="G48" s="4" t="n"/>
      <c r="H48" s="4" t="n"/>
      <c r="I48" s="5">
        <f>IF(E48="","",ROUND(E48*0.21,2))</f>
        <v/>
      </c>
      <c r="J48" s="5">
        <f>IF(F48="","",ROUND(F48*0.1,2))</f>
        <v/>
      </c>
      <c r="K48" s="5">
        <f>IF(G48="","",ROUND(G48*0.04,2))</f>
        <v/>
      </c>
      <c r="L48" s="4" t="n"/>
      <c r="M48" s="4" t="n"/>
      <c r="N48" s="5">
        <f>IF(A48="","",SUM(E48:K48)-N(L48))</f>
        <v/>
      </c>
      <c r="O48">
        <f>IF(OR(A48="",M48=""),"",IF(ABS(M48-N48)&lt;=0.02,"OK","REVISAR"))</f>
        <v/>
      </c>
      <c r="P48">
        <f>IF(D48="","",IF(LEN(TRIM(D48))&lt;&gt;9,"REVISAR",IFERROR(IF(OR(ISNUMBER(VALUE(LEFT(UPPER(TRIM(D48)),1))),LEFT(UPPER(TRIM(D48)),1)="X",LEFT(UPPER(TRIM(D48)),1)="Y",LEFT(UPPER(TRIM(D48)),1)="Z"),IF(MID("TRWAGMYFPDXBNJZSQVHLCKE",MOD(VALUE(SUBSTITUTE(SUBSTITUTE(SUBSTITUTE(LEFT(UPPER(TRIM(D48)),8),"X","0"),"Y","1"),"Z","2")),23)+1,1)=RIGHT(UPPER(TRIM(D48)),1),"OK","REVISAR"),IF(OR(RIGHT(UPPER(TRIM(D48)),1)=TEXT(MOD(10-MOD((VALUE(MID(UPPER(TRIM(D48)),3,1))+VALUE(MID(UPPER(TRIM(D48)),5,1))+VALUE(MID(UPPER(TRIM(D48)),7,1)))+(INT(2*VALUE(MID(UPPER(TRIM(D48)),2,1))/10)+MOD(2*VALUE(MID(UPPER(TRIM(D48)),2,1)),10))+(INT(2*VALUE(MID(UPPER(TRIM(D48)),4,1))/10)+MOD(2*VALUE(MID(UPPER(TRIM(D48)),4,1)),10))+(INT(2*VALUE(MID(UPPER(TRIM(D48)),6,1))/10)+MOD(2*VALUE(MID(UPPER(TRIM(D48)),6,1)),10))+(INT(2*VALUE(MID(UPPER(TRIM(D48)),8,1))/10)+MOD(2*VALUE(MID(UPPER(TRIM(D48)),8,1)),10)),10),10),"0"),RIGHT(UPPER(TRIM(D48)),1)=MID("JABCDEFGHI",MOD(10-MOD((VALUE(MID(UPPER(TRIM(D48)),3,1))+VALUE(MID(UPPER(TRIM(D48)),5,1))+VALUE(MID(UPPER(TRIM(D48)),7,1)))+(INT(2*VALUE(MID(UPPER(TRIM(D48)),2,1))/10)+MOD(2*VALUE(MID(UPPER(TRIM(D48)),2,1)),10))+(INT(2*VALUE(MID(UPPER(TRIM(D48)),4,1))/10)+MOD(2*VALUE(MID(UPPER(TRIM(D48)),4,1)),10))+(INT(2*VALUE(MID(UPPER(TRIM(D48)),6,1))/10)+MOD(2*VALUE(MID(UPPER(TRIM(D48)),6,1)),10))+(INT(2*VALUE(MID(UPPER(TRIM(D48)),8,1))/10)+MOD(2*VALUE(MID(UPPER(TRIM(D48)),8,1)),10)),10),10)+1,1)),"OK","REVISAR")),"REVISAR")))</f>
        <v/>
      </c>
      <c r="Q48">
        <f>IF(B48="","",IF(COUNTIFS($B$2:$B$501,B48,$D$2:$D$501,D48)&gt;1,"DUPLICADA",""))</f>
        <v/>
      </c>
      <c r="R48">
        <f>IF(A48="","",ROUNDUP(MONTH(A48)/3,0))</f>
        <v/>
      </c>
      <c r="S48" s="3" t="n"/>
    </row>
    <row r="49">
      <c r="A49" s="2" t="n"/>
      <c r="B49" s="3" t="n"/>
      <c r="C49" s="3" t="n"/>
      <c r="D49" s="3" t="n"/>
      <c r="E49" s="4" t="n"/>
      <c r="F49" s="4" t="n"/>
      <c r="G49" s="4" t="n"/>
      <c r="H49" s="4" t="n"/>
      <c r="I49" s="5">
        <f>IF(E49="","",ROUND(E49*0.21,2))</f>
        <v/>
      </c>
      <c r="J49" s="5">
        <f>IF(F49="","",ROUND(F49*0.1,2))</f>
        <v/>
      </c>
      <c r="K49" s="5">
        <f>IF(G49="","",ROUND(G49*0.04,2))</f>
        <v/>
      </c>
      <c r="L49" s="4" t="n"/>
      <c r="M49" s="4" t="n"/>
      <c r="N49" s="5">
        <f>IF(A49="","",SUM(E49:K49)-N(L49))</f>
        <v/>
      </c>
      <c r="O49">
        <f>IF(OR(A49="",M49=""),"",IF(ABS(M49-N49)&lt;=0.02,"OK","REVISAR"))</f>
        <v/>
      </c>
      <c r="P49">
        <f>IF(D49="","",IF(LEN(TRIM(D49))&lt;&gt;9,"REVISAR",IFERROR(IF(OR(ISNUMBER(VALUE(LEFT(UPPER(TRIM(D49)),1))),LEFT(UPPER(TRIM(D49)),1)="X",LEFT(UPPER(TRIM(D49)),1)="Y",LEFT(UPPER(TRIM(D49)),1)="Z"),IF(MID("TRWAGMYFPDXBNJZSQVHLCKE",MOD(VALUE(SUBSTITUTE(SUBSTITUTE(SUBSTITUTE(LEFT(UPPER(TRIM(D49)),8),"X","0"),"Y","1"),"Z","2")),23)+1,1)=RIGHT(UPPER(TRIM(D49)),1),"OK","REVISAR"),IF(OR(RIGHT(UPPER(TRIM(D49)),1)=TEXT(MOD(10-MOD((VALUE(MID(UPPER(TRIM(D49)),3,1))+VALUE(MID(UPPER(TRIM(D49)),5,1))+VALUE(MID(UPPER(TRIM(D49)),7,1)))+(INT(2*VALUE(MID(UPPER(TRIM(D49)),2,1))/10)+MOD(2*VALUE(MID(UPPER(TRIM(D49)),2,1)),10))+(INT(2*VALUE(MID(UPPER(TRIM(D49)),4,1))/10)+MOD(2*VALUE(MID(UPPER(TRIM(D49)),4,1)),10))+(INT(2*VALUE(MID(UPPER(TRIM(D49)),6,1))/10)+MOD(2*VALUE(MID(UPPER(TRIM(D49)),6,1)),10))+(INT(2*VALUE(MID(UPPER(TRIM(D49)),8,1))/10)+MOD(2*VALUE(MID(UPPER(TRIM(D49)),8,1)),10)),10),10),"0"),RIGHT(UPPER(TRIM(D49)),1)=MID("JABCDEFGHI",MOD(10-MOD((VALUE(MID(UPPER(TRIM(D49)),3,1))+VALUE(MID(UPPER(TRIM(D49)),5,1))+VALUE(MID(UPPER(TRIM(D49)),7,1)))+(INT(2*VALUE(MID(UPPER(TRIM(D49)),2,1))/10)+MOD(2*VALUE(MID(UPPER(TRIM(D49)),2,1)),10))+(INT(2*VALUE(MID(UPPER(TRIM(D49)),4,1))/10)+MOD(2*VALUE(MID(UPPER(TRIM(D49)),4,1)),10))+(INT(2*VALUE(MID(UPPER(TRIM(D49)),6,1))/10)+MOD(2*VALUE(MID(UPPER(TRIM(D49)),6,1)),10))+(INT(2*VALUE(MID(UPPER(TRIM(D49)),8,1))/10)+MOD(2*VALUE(MID(UPPER(TRIM(D49)),8,1)),10)),10),10)+1,1)),"OK","REVISAR")),"REVISAR")))</f>
        <v/>
      </c>
      <c r="Q49">
        <f>IF(B49="","",IF(COUNTIFS($B$2:$B$501,B49,$D$2:$D$501,D49)&gt;1,"DUPLICADA",""))</f>
        <v/>
      </c>
      <c r="R49">
        <f>IF(A49="","",ROUNDUP(MONTH(A49)/3,0))</f>
        <v/>
      </c>
      <c r="S49" s="3" t="n"/>
    </row>
    <row r="50">
      <c r="A50" s="2" t="n"/>
      <c r="B50" s="3" t="n"/>
      <c r="C50" s="3" t="n"/>
      <c r="D50" s="3" t="n"/>
      <c r="E50" s="4" t="n"/>
      <c r="F50" s="4" t="n"/>
      <c r="G50" s="4" t="n"/>
      <c r="H50" s="4" t="n"/>
      <c r="I50" s="5">
        <f>IF(E50="","",ROUND(E50*0.21,2))</f>
        <v/>
      </c>
      <c r="J50" s="5">
        <f>IF(F50="","",ROUND(F50*0.1,2))</f>
        <v/>
      </c>
      <c r="K50" s="5">
        <f>IF(G50="","",ROUND(G50*0.04,2))</f>
        <v/>
      </c>
      <c r="L50" s="4" t="n"/>
      <c r="M50" s="4" t="n"/>
      <c r="N50" s="5">
        <f>IF(A50="","",SUM(E50:K50)-N(L50))</f>
        <v/>
      </c>
      <c r="O50">
        <f>IF(OR(A50="",M50=""),"",IF(ABS(M50-N50)&lt;=0.02,"OK","REVISAR"))</f>
        <v/>
      </c>
      <c r="P50">
        <f>IF(D50="","",IF(LEN(TRIM(D50))&lt;&gt;9,"REVISAR",IFERROR(IF(OR(ISNUMBER(VALUE(LEFT(UPPER(TRIM(D50)),1))),LEFT(UPPER(TRIM(D50)),1)="X",LEFT(UPPER(TRIM(D50)),1)="Y",LEFT(UPPER(TRIM(D50)),1)="Z"),IF(MID("TRWAGMYFPDXBNJZSQVHLCKE",MOD(VALUE(SUBSTITUTE(SUBSTITUTE(SUBSTITUTE(LEFT(UPPER(TRIM(D50)),8),"X","0"),"Y","1"),"Z","2")),23)+1,1)=RIGHT(UPPER(TRIM(D50)),1),"OK","REVISAR"),IF(OR(RIGHT(UPPER(TRIM(D50)),1)=TEXT(MOD(10-MOD((VALUE(MID(UPPER(TRIM(D50)),3,1))+VALUE(MID(UPPER(TRIM(D50)),5,1))+VALUE(MID(UPPER(TRIM(D50)),7,1)))+(INT(2*VALUE(MID(UPPER(TRIM(D50)),2,1))/10)+MOD(2*VALUE(MID(UPPER(TRIM(D50)),2,1)),10))+(INT(2*VALUE(MID(UPPER(TRIM(D50)),4,1))/10)+MOD(2*VALUE(MID(UPPER(TRIM(D50)),4,1)),10))+(INT(2*VALUE(MID(UPPER(TRIM(D50)),6,1))/10)+MOD(2*VALUE(MID(UPPER(TRIM(D50)),6,1)),10))+(INT(2*VALUE(MID(UPPER(TRIM(D50)),8,1))/10)+MOD(2*VALUE(MID(UPPER(TRIM(D50)),8,1)),10)),10),10),"0"),RIGHT(UPPER(TRIM(D50)),1)=MID("JABCDEFGHI",MOD(10-MOD((VALUE(MID(UPPER(TRIM(D50)),3,1))+VALUE(MID(UPPER(TRIM(D50)),5,1))+VALUE(MID(UPPER(TRIM(D50)),7,1)))+(INT(2*VALUE(MID(UPPER(TRIM(D50)),2,1))/10)+MOD(2*VALUE(MID(UPPER(TRIM(D50)),2,1)),10))+(INT(2*VALUE(MID(UPPER(TRIM(D50)),4,1))/10)+MOD(2*VALUE(MID(UPPER(TRIM(D50)),4,1)),10))+(INT(2*VALUE(MID(UPPER(TRIM(D50)),6,1))/10)+MOD(2*VALUE(MID(UPPER(TRIM(D50)),6,1)),10))+(INT(2*VALUE(MID(UPPER(TRIM(D50)),8,1))/10)+MOD(2*VALUE(MID(UPPER(TRIM(D50)),8,1)),10)),10),10)+1,1)),"OK","REVISAR")),"REVISAR")))</f>
        <v/>
      </c>
      <c r="Q50">
        <f>IF(B50="","",IF(COUNTIFS($B$2:$B$501,B50,$D$2:$D$501,D50)&gt;1,"DUPLICADA",""))</f>
        <v/>
      </c>
      <c r="R50">
        <f>IF(A50="","",ROUNDUP(MONTH(A50)/3,0))</f>
        <v/>
      </c>
      <c r="S50" s="3" t="n"/>
    </row>
    <row r="51">
      <c r="A51" s="2" t="n"/>
      <c r="B51" s="3" t="n"/>
      <c r="C51" s="3" t="n"/>
      <c r="D51" s="3" t="n"/>
      <c r="E51" s="4" t="n"/>
      <c r="F51" s="4" t="n"/>
      <c r="G51" s="4" t="n"/>
      <c r="H51" s="4" t="n"/>
      <c r="I51" s="5">
        <f>IF(E51="","",ROUND(E51*0.21,2))</f>
        <v/>
      </c>
      <c r="J51" s="5">
        <f>IF(F51="","",ROUND(F51*0.1,2))</f>
        <v/>
      </c>
      <c r="K51" s="5">
        <f>IF(G51="","",ROUND(G51*0.04,2))</f>
        <v/>
      </c>
      <c r="L51" s="4" t="n"/>
      <c r="M51" s="4" t="n"/>
      <c r="N51" s="5">
        <f>IF(A51="","",SUM(E51:K51)-N(L51))</f>
        <v/>
      </c>
      <c r="O51">
        <f>IF(OR(A51="",M51=""),"",IF(ABS(M51-N51)&lt;=0.02,"OK","REVISAR"))</f>
        <v/>
      </c>
      <c r="P51">
        <f>IF(D51="","",IF(LEN(TRIM(D51))&lt;&gt;9,"REVISAR",IFERROR(IF(OR(ISNUMBER(VALUE(LEFT(UPPER(TRIM(D51)),1))),LEFT(UPPER(TRIM(D51)),1)="X",LEFT(UPPER(TRIM(D51)),1)="Y",LEFT(UPPER(TRIM(D51)),1)="Z"),IF(MID("TRWAGMYFPDXBNJZSQVHLCKE",MOD(VALUE(SUBSTITUTE(SUBSTITUTE(SUBSTITUTE(LEFT(UPPER(TRIM(D51)),8),"X","0"),"Y","1"),"Z","2")),23)+1,1)=RIGHT(UPPER(TRIM(D51)),1),"OK","REVISAR"),IF(OR(RIGHT(UPPER(TRIM(D51)),1)=TEXT(MOD(10-MOD((VALUE(MID(UPPER(TRIM(D51)),3,1))+VALUE(MID(UPPER(TRIM(D51)),5,1))+VALUE(MID(UPPER(TRIM(D51)),7,1)))+(INT(2*VALUE(MID(UPPER(TRIM(D51)),2,1))/10)+MOD(2*VALUE(MID(UPPER(TRIM(D51)),2,1)),10))+(INT(2*VALUE(MID(UPPER(TRIM(D51)),4,1))/10)+MOD(2*VALUE(MID(UPPER(TRIM(D51)),4,1)),10))+(INT(2*VALUE(MID(UPPER(TRIM(D51)),6,1))/10)+MOD(2*VALUE(MID(UPPER(TRIM(D51)),6,1)),10))+(INT(2*VALUE(MID(UPPER(TRIM(D51)),8,1))/10)+MOD(2*VALUE(MID(UPPER(TRIM(D51)),8,1)),10)),10),10),"0"),RIGHT(UPPER(TRIM(D51)),1)=MID("JABCDEFGHI",MOD(10-MOD((VALUE(MID(UPPER(TRIM(D51)),3,1))+VALUE(MID(UPPER(TRIM(D51)),5,1))+VALUE(MID(UPPER(TRIM(D51)),7,1)))+(INT(2*VALUE(MID(UPPER(TRIM(D51)),2,1))/10)+MOD(2*VALUE(MID(UPPER(TRIM(D51)),2,1)),10))+(INT(2*VALUE(MID(UPPER(TRIM(D51)),4,1))/10)+MOD(2*VALUE(MID(UPPER(TRIM(D51)),4,1)),10))+(INT(2*VALUE(MID(UPPER(TRIM(D51)),6,1))/10)+MOD(2*VALUE(MID(UPPER(TRIM(D51)),6,1)),10))+(INT(2*VALUE(MID(UPPER(TRIM(D51)),8,1))/10)+MOD(2*VALUE(MID(UPPER(TRIM(D51)),8,1)),10)),10),10)+1,1)),"OK","REVISAR")),"REVISAR")))</f>
        <v/>
      </c>
      <c r="Q51">
        <f>IF(B51="","",IF(COUNTIFS($B$2:$B$501,B51,$D$2:$D$501,D51)&gt;1,"DUPLICADA",""))</f>
        <v/>
      </c>
      <c r="R51">
        <f>IF(A51="","",ROUNDUP(MONTH(A51)/3,0))</f>
        <v/>
      </c>
      <c r="S51" s="3" t="n"/>
    </row>
    <row r="52">
      <c r="A52" s="2" t="n"/>
      <c r="B52" s="3" t="n"/>
      <c r="C52" s="3" t="n"/>
      <c r="D52" s="3" t="n"/>
      <c r="E52" s="4" t="n"/>
      <c r="F52" s="4" t="n"/>
      <c r="G52" s="4" t="n"/>
      <c r="H52" s="4" t="n"/>
      <c r="I52" s="5">
        <f>IF(E52="","",ROUND(E52*0.21,2))</f>
        <v/>
      </c>
      <c r="J52" s="5">
        <f>IF(F52="","",ROUND(F52*0.1,2))</f>
        <v/>
      </c>
      <c r="K52" s="5">
        <f>IF(G52="","",ROUND(G52*0.04,2))</f>
        <v/>
      </c>
      <c r="L52" s="4" t="n"/>
      <c r="M52" s="4" t="n"/>
      <c r="N52" s="5">
        <f>IF(A52="","",SUM(E52:K52)-N(L52))</f>
        <v/>
      </c>
      <c r="O52">
        <f>IF(OR(A52="",M52=""),"",IF(ABS(M52-N52)&lt;=0.02,"OK","REVISAR"))</f>
        <v/>
      </c>
      <c r="P52">
        <f>IF(D52="","",IF(LEN(TRIM(D52))&lt;&gt;9,"REVISAR",IFERROR(IF(OR(ISNUMBER(VALUE(LEFT(UPPER(TRIM(D52)),1))),LEFT(UPPER(TRIM(D52)),1)="X",LEFT(UPPER(TRIM(D52)),1)="Y",LEFT(UPPER(TRIM(D52)),1)="Z"),IF(MID("TRWAGMYFPDXBNJZSQVHLCKE",MOD(VALUE(SUBSTITUTE(SUBSTITUTE(SUBSTITUTE(LEFT(UPPER(TRIM(D52)),8),"X","0"),"Y","1"),"Z","2")),23)+1,1)=RIGHT(UPPER(TRIM(D52)),1),"OK","REVISAR"),IF(OR(RIGHT(UPPER(TRIM(D52)),1)=TEXT(MOD(10-MOD((VALUE(MID(UPPER(TRIM(D52)),3,1))+VALUE(MID(UPPER(TRIM(D52)),5,1))+VALUE(MID(UPPER(TRIM(D52)),7,1)))+(INT(2*VALUE(MID(UPPER(TRIM(D52)),2,1))/10)+MOD(2*VALUE(MID(UPPER(TRIM(D52)),2,1)),10))+(INT(2*VALUE(MID(UPPER(TRIM(D52)),4,1))/10)+MOD(2*VALUE(MID(UPPER(TRIM(D52)),4,1)),10))+(INT(2*VALUE(MID(UPPER(TRIM(D52)),6,1))/10)+MOD(2*VALUE(MID(UPPER(TRIM(D52)),6,1)),10))+(INT(2*VALUE(MID(UPPER(TRIM(D52)),8,1))/10)+MOD(2*VALUE(MID(UPPER(TRIM(D52)),8,1)),10)),10),10),"0"),RIGHT(UPPER(TRIM(D52)),1)=MID("JABCDEFGHI",MOD(10-MOD((VALUE(MID(UPPER(TRIM(D52)),3,1))+VALUE(MID(UPPER(TRIM(D52)),5,1))+VALUE(MID(UPPER(TRIM(D52)),7,1)))+(INT(2*VALUE(MID(UPPER(TRIM(D52)),2,1))/10)+MOD(2*VALUE(MID(UPPER(TRIM(D52)),2,1)),10))+(INT(2*VALUE(MID(UPPER(TRIM(D52)),4,1))/10)+MOD(2*VALUE(MID(UPPER(TRIM(D52)),4,1)),10))+(INT(2*VALUE(MID(UPPER(TRIM(D52)),6,1))/10)+MOD(2*VALUE(MID(UPPER(TRIM(D52)),6,1)),10))+(INT(2*VALUE(MID(UPPER(TRIM(D52)),8,1))/10)+MOD(2*VALUE(MID(UPPER(TRIM(D52)),8,1)),10)),10),10)+1,1)),"OK","REVISAR")),"REVISAR")))</f>
        <v/>
      </c>
      <c r="Q52">
        <f>IF(B52="","",IF(COUNTIFS($B$2:$B$501,B52,$D$2:$D$501,D52)&gt;1,"DUPLICADA",""))</f>
        <v/>
      </c>
      <c r="R52">
        <f>IF(A52="","",ROUNDUP(MONTH(A52)/3,0))</f>
        <v/>
      </c>
      <c r="S52" s="3" t="n"/>
    </row>
    <row r="53">
      <c r="A53" s="2" t="n"/>
      <c r="B53" s="3" t="n"/>
      <c r="C53" s="3" t="n"/>
      <c r="D53" s="3" t="n"/>
      <c r="E53" s="4" t="n"/>
      <c r="F53" s="4" t="n"/>
      <c r="G53" s="4" t="n"/>
      <c r="H53" s="4" t="n"/>
      <c r="I53" s="5">
        <f>IF(E53="","",ROUND(E53*0.21,2))</f>
        <v/>
      </c>
      <c r="J53" s="5">
        <f>IF(F53="","",ROUND(F53*0.1,2))</f>
        <v/>
      </c>
      <c r="K53" s="5">
        <f>IF(G53="","",ROUND(G53*0.04,2))</f>
        <v/>
      </c>
      <c r="L53" s="4" t="n"/>
      <c r="M53" s="4" t="n"/>
      <c r="N53" s="5">
        <f>IF(A53="","",SUM(E53:K53)-N(L53))</f>
        <v/>
      </c>
      <c r="O53">
        <f>IF(OR(A53="",M53=""),"",IF(ABS(M53-N53)&lt;=0.02,"OK","REVISAR"))</f>
        <v/>
      </c>
      <c r="P53">
        <f>IF(D53="","",IF(LEN(TRIM(D53))&lt;&gt;9,"REVISAR",IFERROR(IF(OR(ISNUMBER(VALUE(LEFT(UPPER(TRIM(D53)),1))),LEFT(UPPER(TRIM(D53)),1)="X",LEFT(UPPER(TRIM(D53)),1)="Y",LEFT(UPPER(TRIM(D53)),1)="Z"),IF(MID("TRWAGMYFPDXBNJZSQVHLCKE",MOD(VALUE(SUBSTITUTE(SUBSTITUTE(SUBSTITUTE(LEFT(UPPER(TRIM(D53)),8),"X","0"),"Y","1"),"Z","2")),23)+1,1)=RIGHT(UPPER(TRIM(D53)),1),"OK","REVISAR"),IF(OR(RIGHT(UPPER(TRIM(D53)),1)=TEXT(MOD(10-MOD((VALUE(MID(UPPER(TRIM(D53)),3,1))+VALUE(MID(UPPER(TRIM(D53)),5,1))+VALUE(MID(UPPER(TRIM(D53)),7,1)))+(INT(2*VALUE(MID(UPPER(TRIM(D53)),2,1))/10)+MOD(2*VALUE(MID(UPPER(TRIM(D53)),2,1)),10))+(INT(2*VALUE(MID(UPPER(TRIM(D53)),4,1))/10)+MOD(2*VALUE(MID(UPPER(TRIM(D53)),4,1)),10))+(INT(2*VALUE(MID(UPPER(TRIM(D53)),6,1))/10)+MOD(2*VALUE(MID(UPPER(TRIM(D53)),6,1)),10))+(INT(2*VALUE(MID(UPPER(TRIM(D53)),8,1))/10)+MOD(2*VALUE(MID(UPPER(TRIM(D53)),8,1)),10)),10),10),"0"),RIGHT(UPPER(TRIM(D53)),1)=MID("JABCDEFGHI",MOD(10-MOD((VALUE(MID(UPPER(TRIM(D53)),3,1))+VALUE(MID(UPPER(TRIM(D53)),5,1))+VALUE(MID(UPPER(TRIM(D53)),7,1)))+(INT(2*VALUE(MID(UPPER(TRIM(D53)),2,1))/10)+MOD(2*VALUE(MID(UPPER(TRIM(D53)),2,1)),10))+(INT(2*VALUE(MID(UPPER(TRIM(D53)),4,1))/10)+MOD(2*VALUE(MID(UPPER(TRIM(D53)),4,1)),10))+(INT(2*VALUE(MID(UPPER(TRIM(D53)),6,1))/10)+MOD(2*VALUE(MID(UPPER(TRIM(D53)),6,1)),10))+(INT(2*VALUE(MID(UPPER(TRIM(D53)),8,1))/10)+MOD(2*VALUE(MID(UPPER(TRIM(D53)),8,1)),10)),10),10)+1,1)),"OK","REVISAR")),"REVISAR")))</f>
        <v/>
      </c>
      <c r="Q53">
        <f>IF(B53="","",IF(COUNTIFS($B$2:$B$501,B53,$D$2:$D$501,D53)&gt;1,"DUPLICADA",""))</f>
        <v/>
      </c>
      <c r="R53">
        <f>IF(A53="","",ROUNDUP(MONTH(A53)/3,0))</f>
        <v/>
      </c>
      <c r="S53" s="3" t="n"/>
    </row>
    <row r="54">
      <c r="A54" s="2" t="n"/>
      <c r="B54" s="3" t="n"/>
      <c r="C54" s="3" t="n"/>
      <c r="D54" s="3" t="n"/>
      <c r="E54" s="4" t="n"/>
      <c r="F54" s="4" t="n"/>
      <c r="G54" s="4" t="n"/>
      <c r="H54" s="4" t="n"/>
      <c r="I54" s="5">
        <f>IF(E54="","",ROUND(E54*0.21,2))</f>
        <v/>
      </c>
      <c r="J54" s="5">
        <f>IF(F54="","",ROUND(F54*0.1,2))</f>
        <v/>
      </c>
      <c r="K54" s="5">
        <f>IF(G54="","",ROUND(G54*0.04,2))</f>
        <v/>
      </c>
      <c r="L54" s="4" t="n"/>
      <c r="M54" s="4" t="n"/>
      <c r="N54" s="5">
        <f>IF(A54="","",SUM(E54:K54)-N(L54))</f>
        <v/>
      </c>
      <c r="O54">
        <f>IF(OR(A54="",M54=""),"",IF(ABS(M54-N54)&lt;=0.02,"OK","REVISAR"))</f>
        <v/>
      </c>
      <c r="P54">
        <f>IF(D54="","",IF(LEN(TRIM(D54))&lt;&gt;9,"REVISAR",IFERROR(IF(OR(ISNUMBER(VALUE(LEFT(UPPER(TRIM(D54)),1))),LEFT(UPPER(TRIM(D54)),1)="X",LEFT(UPPER(TRIM(D54)),1)="Y",LEFT(UPPER(TRIM(D54)),1)="Z"),IF(MID("TRWAGMYFPDXBNJZSQVHLCKE",MOD(VALUE(SUBSTITUTE(SUBSTITUTE(SUBSTITUTE(LEFT(UPPER(TRIM(D54)),8),"X","0"),"Y","1"),"Z","2")),23)+1,1)=RIGHT(UPPER(TRIM(D54)),1),"OK","REVISAR"),IF(OR(RIGHT(UPPER(TRIM(D54)),1)=TEXT(MOD(10-MOD((VALUE(MID(UPPER(TRIM(D54)),3,1))+VALUE(MID(UPPER(TRIM(D54)),5,1))+VALUE(MID(UPPER(TRIM(D54)),7,1)))+(INT(2*VALUE(MID(UPPER(TRIM(D54)),2,1))/10)+MOD(2*VALUE(MID(UPPER(TRIM(D54)),2,1)),10))+(INT(2*VALUE(MID(UPPER(TRIM(D54)),4,1))/10)+MOD(2*VALUE(MID(UPPER(TRIM(D54)),4,1)),10))+(INT(2*VALUE(MID(UPPER(TRIM(D54)),6,1))/10)+MOD(2*VALUE(MID(UPPER(TRIM(D54)),6,1)),10))+(INT(2*VALUE(MID(UPPER(TRIM(D54)),8,1))/10)+MOD(2*VALUE(MID(UPPER(TRIM(D54)),8,1)),10)),10),10),"0"),RIGHT(UPPER(TRIM(D54)),1)=MID("JABCDEFGHI",MOD(10-MOD((VALUE(MID(UPPER(TRIM(D54)),3,1))+VALUE(MID(UPPER(TRIM(D54)),5,1))+VALUE(MID(UPPER(TRIM(D54)),7,1)))+(INT(2*VALUE(MID(UPPER(TRIM(D54)),2,1))/10)+MOD(2*VALUE(MID(UPPER(TRIM(D54)),2,1)),10))+(INT(2*VALUE(MID(UPPER(TRIM(D54)),4,1))/10)+MOD(2*VALUE(MID(UPPER(TRIM(D54)),4,1)),10))+(INT(2*VALUE(MID(UPPER(TRIM(D54)),6,1))/10)+MOD(2*VALUE(MID(UPPER(TRIM(D54)),6,1)),10))+(INT(2*VALUE(MID(UPPER(TRIM(D54)),8,1))/10)+MOD(2*VALUE(MID(UPPER(TRIM(D54)),8,1)),10)),10),10)+1,1)),"OK","REVISAR")),"REVISAR")))</f>
        <v/>
      </c>
      <c r="Q54">
        <f>IF(B54="","",IF(COUNTIFS($B$2:$B$501,B54,$D$2:$D$501,D54)&gt;1,"DUPLICADA",""))</f>
        <v/>
      </c>
      <c r="R54">
        <f>IF(A54="","",ROUNDUP(MONTH(A54)/3,0))</f>
        <v/>
      </c>
      <c r="S54" s="3" t="n"/>
    </row>
    <row r="55">
      <c r="A55" s="2" t="n"/>
      <c r="B55" s="3" t="n"/>
      <c r="C55" s="3" t="n"/>
      <c r="D55" s="3" t="n"/>
      <c r="E55" s="4" t="n"/>
      <c r="F55" s="4" t="n"/>
      <c r="G55" s="4" t="n"/>
      <c r="H55" s="4" t="n"/>
      <c r="I55" s="5">
        <f>IF(E55="","",ROUND(E55*0.21,2))</f>
        <v/>
      </c>
      <c r="J55" s="5">
        <f>IF(F55="","",ROUND(F55*0.1,2))</f>
        <v/>
      </c>
      <c r="K55" s="5">
        <f>IF(G55="","",ROUND(G55*0.04,2))</f>
        <v/>
      </c>
      <c r="L55" s="4" t="n"/>
      <c r="M55" s="4" t="n"/>
      <c r="N55" s="5">
        <f>IF(A55="","",SUM(E55:K55)-N(L55))</f>
        <v/>
      </c>
      <c r="O55">
        <f>IF(OR(A55="",M55=""),"",IF(ABS(M55-N55)&lt;=0.02,"OK","REVISAR"))</f>
        <v/>
      </c>
      <c r="P55">
        <f>IF(D55="","",IF(LEN(TRIM(D55))&lt;&gt;9,"REVISAR",IFERROR(IF(OR(ISNUMBER(VALUE(LEFT(UPPER(TRIM(D55)),1))),LEFT(UPPER(TRIM(D55)),1)="X",LEFT(UPPER(TRIM(D55)),1)="Y",LEFT(UPPER(TRIM(D55)),1)="Z"),IF(MID("TRWAGMYFPDXBNJZSQVHLCKE",MOD(VALUE(SUBSTITUTE(SUBSTITUTE(SUBSTITUTE(LEFT(UPPER(TRIM(D55)),8),"X","0"),"Y","1"),"Z","2")),23)+1,1)=RIGHT(UPPER(TRIM(D55)),1),"OK","REVISAR"),IF(OR(RIGHT(UPPER(TRIM(D55)),1)=TEXT(MOD(10-MOD((VALUE(MID(UPPER(TRIM(D55)),3,1))+VALUE(MID(UPPER(TRIM(D55)),5,1))+VALUE(MID(UPPER(TRIM(D55)),7,1)))+(INT(2*VALUE(MID(UPPER(TRIM(D55)),2,1))/10)+MOD(2*VALUE(MID(UPPER(TRIM(D55)),2,1)),10))+(INT(2*VALUE(MID(UPPER(TRIM(D55)),4,1))/10)+MOD(2*VALUE(MID(UPPER(TRIM(D55)),4,1)),10))+(INT(2*VALUE(MID(UPPER(TRIM(D55)),6,1))/10)+MOD(2*VALUE(MID(UPPER(TRIM(D55)),6,1)),10))+(INT(2*VALUE(MID(UPPER(TRIM(D55)),8,1))/10)+MOD(2*VALUE(MID(UPPER(TRIM(D55)),8,1)),10)),10),10),"0"),RIGHT(UPPER(TRIM(D55)),1)=MID("JABCDEFGHI",MOD(10-MOD((VALUE(MID(UPPER(TRIM(D55)),3,1))+VALUE(MID(UPPER(TRIM(D55)),5,1))+VALUE(MID(UPPER(TRIM(D55)),7,1)))+(INT(2*VALUE(MID(UPPER(TRIM(D55)),2,1))/10)+MOD(2*VALUE(MID(UPPER(TRIM(D55)),2,1)),10))+(INT(2*VALUE(MID(UPPER(TRIM(D55)),4,1))/10)+MOD(2*VALUE(MID(UPPER(TRIM(D55)),4,1)),10))+(INT(2*VALUE(MID(UPPER(TRIM(D55)),6,1))/10)+MOD(2*VALUE(MID(UPPER(TRIM(D55)),6,1)),10))+(INT(2*VALUE(MID(UPPER(TRIM(D55)),8,1))/10)+MOD(2*VALUE(MID(UPPER(TRIM(D55)),8,1)),10)),10),10)+1,1)),"OK","REVISAR")),"REVISAR")))</f>
        <v/>
      </c>
      <c r="Q55">
        <f>IF(B55="","",IF(COUNTIFS($B$2:$B$501,B55,$D$2:$D$501,D55)&gt;1,"DUPLICADA",""))</f>
        <v/>
      </c>
      <c r="R55">
        <f>IF(A55="","",ROUNDUP(MONTH(A55)/3,0))</f>
        <v/>
      </c>
      <c r="S55" s="3" t="n"/>
    </row>
    <row r="56">
      <c r="A56" s="2" t="n"/>
      <c r="B56" s="3" t="n"/>
      <c r="C56" s="3" t="n"/>
      <c r="D56" s="3" t="n"/>
      <c r="E56" s="4" t="n"/>
      <c r="F56" s="4" t="n"/>
      <c r="G56" s="4" t="n"/>
      <c r="H56" s="4" t="n"/>
      <c r="I56" s="5">
        <f>IF(E56="","",ROUND(E56*0.21,2))</f>
        <v/>
      </c>
      <c r="J56" s="5">
        <f>IF(F56="","",ROUND(F56*0.1,2))</f>
        <v/>
      </c>
      <c r="K56" s="5">
        <f>IF(G56="","",ROUND(G56*0.04,2))</f>
        <v/>
      </c>
      <c r="L56" s="4" t="n"/>
      <c r="M56" s="4" t="n"/>
      <c r="N56" s="5">
        <f>IF(A56="","",SUM(E56:K56)-N(L56))</f>
        <v/>
      </c>
      <c r="O56">
        <f>IF(OR(A56="",M56=""),"",IF(ABS(M56-N56)&lt;=0.02,"OK","REVISAR"))</f>
        <v/>
      </c>
      <c r="P56">
        <f>IF(D56="","",IF(LEN(TRIM(D56))&lt;&gt;9,"REVISAR",IFERROR(IF(OR(ISNUMBER(VALUE(LEFT(UPPER(TRIM(D56)),1))),LEFT(UPPER(TRIM(D56)),1)="X",LEFT(UPPER(TRIM(D56)),1)="Y",LEFT(UPPER(TRIM(D56)),1)="Z"),IF(MID("TRWAGMYFPDXBNJZSQVHLCKE",MOD(VALUE(SUBSTITUTE(SUBSTITUTE(SUBSTITUTE(LEFT(UPPER(TRIM(D56)),8),"X","0"),"Y","1"),"Z","2")),23)+1,1)=RIGHT(UPPER(TRIM(D56)),1),"OK","REVISAR"),IF(OR(RIGHT(UPPER(TRIM(D56)),1)=TEXT(MOD(10-MOD((VALUE(MID(UPPER(TRIM(D56)),3,1))+VALUE(MID(UPPER(TRIM(D56)),5,1))+VALUE(MID(UPPER(TRIM(D56)),7,1)))+(INT(2*VALUE(MID(UPPER(TRIM(D56)),2,1))/10)+MOD(2*VALUE(MID(UPPER(TRIM(D56)),2,1)),10))+(INT(2*VALUE(MID(UPPER(TRIM(D56)),4,1))/10)+MOD(2*VALUE(MID(UPPER(TRIM(D56)),4,1)),10))+(INT(2*VALUE(MID(UPPER(TRIM(D56)),6,1))/10)+MOD(2*VALUE(MID(UPPER(TRIM(D56)),6,1)),10))+(INT(2*VALUE(MID(UPPER(TRIM(D56)),8,1))/10)+MOD(2*VALUE(MID(UPPER(TRIM(D56)),8,1)),10)),10),10),"0"),RIGHT(UPPER(TRIM(D56)),1)=MID("JABCDEFGHI",MOD(10-MOD((VALUE(MID(UPPER(TRIM(D56)),3,1))+VALUE(MID(UPPER(TRIM(D56)),5,1))+VALUE(MID(UPPER(TRIM(D56)),7,1)))+(INT(2*VALUE(MID(UPPER(TRIM(D56)),2,1))/10)+MOD(2*VALUE(MID(UPPER(TRIM(D56)),2,1)),10))+(INT(2*VALUE(MID(UPPER(TRIM(D56)),4,1))/10)+MOD(2*VALUE(MID(UPPER(TRIM(D56)),4,1)),10))+(INT(2*VALUE(MID(UPPER(TRIM(D56)),6,1))/10)+MOD(2*VALUE(MID(UPPER(TRIM(D56)),6,1)),10))+(INT(2*VALUE(MID(UPPER(TRIM(D56)),8,1))/10)+MOD(2*VALUE(MID(UPPER(TRIM(D56)),8,1)),10)),10),10)+1,1)),"OK","REVISAR")),"REVISAR")))</f>
        <v/>
      </c>
      <c r="Q56">
        <f>IF(B56="","",IF(COUNTIFS($B$2:$B$501,B56,$D$2:$D$501,D56)&gt;1,"DUPLICADA",""))</f>
        <v/>
      </c>
      <c r="R56">
        <f>IF(A56="","",ROUNDUP(MONTH(A56)/3,0))</f>
        <v/>
      </c>
      <c r="S56" s="3" t="n"/>
    </row>
    <row r="57">
      <c r="A57" s="2" t="n"/>
      <c r="B57" s="3" t="n"/>
      <c r="C57" s="3" t="n"/>
      <c r="D57" s="3" t="n"/>
      <c r="E57" s="4" t="n"/>
      <c r="F57" s="4" t="n"/>
      <c r="G57" s="4" t="n"/>
      <c r="H57" s="4" t="n"/>
      <c r="I57" s="5">
        <f>IF(E57="","",ROUND(E57*0.21,2))</f>
        <v/>
      </c>
      <c r="J57" s="5">
        <f>IF(F57="","",ROUND(F57*0.1,2))</f>
        <v/>
      </c>
      <c r="K57" s="5">
        <f>IF(G57="","",ROUND(G57*0.04,2))</f>
        <v/>
      </c>
      <c r="L57" s="4" t="n"/>
      <c r="M57" s="4" t="n"/>
      <c r="N57" s="5">
        <f>IF(A57="","",SUM(E57:K57)-N(L57))</f>
        <v/>
      </c>
      <c r="O57">
        <f>IF(OR(A57="",M57=""),"",IF(ABS(M57-N57)&lt;=0.02,"OK","REVISAR"))</f>
        <v/>
      </c>
      <c r="P57">
        <f>IF(D57="","",IF(LEN(TRIM(D57))&lt;&gt;9,"REVISAR",IFERROR(IF(OR(ISNUMBER(VALUE(LEFT(UPPER(TRIM(D57)),1))),LEFT(UPPER(TRIM(D57)),1)="X",LEFT(UPPER(TRIM(D57)),1)="Y",LEFT(UPPER(TRIM(D57)),1)="Z"),IF(MID("TRWAGMYFPDXBNJZSQVHLCKE",MOD(VALUE(SUBSTITUTE(SUBSTITUTE(SUBSTITUTE(LEFT(UPPER(TRIM(D57)),8),"X","0"),"Y","1"),"Z","2")),23)+1,1)=RIGHT(UPPER(TRIM(D57)),1),"OK","REVISAR"),IF(OR(RIGHT(UPPER(TRIM(D57)),1)=TEXT(MOD(10-MOD((VALUE(MID(UPPER(TRIM(D57)),3,1))+VALUE(MID(UPPER(TRIM(D57)),5,1))+VALUE(MID(UPPER(TRIM(D57)),7,1)))+(INT(2*VALUE(MID(UPPER(TRIM(D57)),2,1))/10)+MOD(2*VALUE(MID(UPPER(TRIM(D57)),2,1)),10))+(INT(2*VALUE(MID(UPPER(TRIM(D57)),4,1))/10)+MOD(2*VALUE(MID(UPPER(TRIM(D57)),4,1)),10))+(INT(2*VALUE(MID(UPPER(TRIM(D57)),6,1))/10)+MOD(2*VALUE(MID(UPPER(TRIM(D57)),6,1)),10))+(INT(2*VALUE(MID(UPPER(TRIM(D57)),8,1))/10)+MOD(2*VALUE(MID(UPPER(TRIM(D57)),8,1)),10)),10),10),"0"),RIGHT(UPPER(TRIM(D57)),1)=MID("JABCDEFGHI",MOD(10-MOD((VALUE(MID(UPPER(TRIM(D57)),3,1))+VALUE(MID(UPPER(TRIM(D57)),5,1))+VALUE(MID(UPPER(TRIM(D57)),7,1)))+(INT(2*VALUE(MID(UPPER(TRIM(D57)),2,1))/10)+MOD(2*VALUE(MID(UPPER(TRIM(D57)),2,1)),10))+(INT(2*VALUE(MID(UPPER(TRIM(D57)),4,1))/10)+MOD(2*VALUE(MID(UPPER(TRIM(D57)),4,1)),10))+(INT(2*VALUE(MID(UPPER(TRIM(D57)),6,1))/10)+MOD(2*VALUE(MID(UPPER(TRIM(D57)),6,1)),10))+(INT(2*VALUE(MID(UPPER(TRIM(D57)),8,1))/10)+MOD(2*VALUE(MID(UPPER(TRIM(D57)),8,1)),10)),10),10)+1,1)),"OK","REVISAR")),"REVISAR")))</f>
        <v/>
      </c>
      <c r="Q57">
        <f>IF(B57="","",IF(COUNTIFS($B$2:$B$501,B57,$D$2:$D$501,D57)&gt;1,"DUPLICADA",""))</f>
        <v/>
      </c>
      <c r="R57">
        <f>IF(A57="","",ROUNDUP(MONTH(A57)/3,0))</f>
        <v/>
      </c>
      <c r="S57" s="3" t="n"/>
    </row>
    <row r="58">
      <c r="A58" s="2" t="n"/>
      <c r="B58" s="3" t="n"/>
      <c r="C58" s="3" t="n"/>
      <c r="D58" s="3" t="n"/>
      <c r="E58" s="4" t="n"/>
      <c r="F58" s="4" t="n"/>
      <c r="G58" s="4" t="n"/>
      <c r="H58" s="4" t="n"/>
      <c r="I58" s="5">
        <f>IF(E58="","",ROUND(E58*0.21,2))</f>
        <v/>
      </c>
      <c r="J58" s="5">
        <f>IF(F58="","",ROUND(F58*0.1,2))</f>
        <v/>
      </c>
      <c r="K58" s="5">
        <f>IF(G58="","",ROUND(G58*0.04,2))</f>
        <v/>
      </c>
      <c r="L58" s="4" t="n"/>
      <c r="M58" s="4" t="n"/>
      <c r="N58" s="5">
        <f>IF(A58="","",SUM(E58:K58)-N(L58))</f>
        <v/>
      </c>
      <c r="O58">
        <f>IF(OR(A58="",M58=""),"",IF(ABS(M58-N58)&lt;=0.02,"OK","REVISAR"))</f>
        <v/>
      </c>
      <c r="P58">
        <f>IF(D58="","",IF(LEN(TRIM(D58))&lt;&gt;9,"REVISAR",IFERROR(IF(OR(ISNUMBER(VALUE(LEFT(UPPER(TRIM(D58)),1))),LEFT(UPPER(TRIM(D58)),1)="X",LEFT(UPPER(TRIM(D58)),1)="Y",LEFT(UPPER(TRIM(D58)),1)="Z"),IF(MID("TRWAGMYFPDXBNJZSQVHLCKE",MOD(VALUE(SUBSTITUTE(SUBSTITUTE(SUBSTITUTE(LEFT(UPPER(TRIM(D58)),8),"X","0"),"Y","1"),"Z","2")),23)+1,1)=RIGHT(UPPER(TRIM(D58)),1),"OK","REVISAR"),IF(OR(RIGHT(UPPER(TRIM(D58)),1)=TEXT(MOD(10-MOD((VALUE(MID(UPPER(TRIM(D58)),3,1))+VALUE(MID(UPPER(TRIM(D58)),5,1))+VALUE(MID(UPPER(TRIM(D58)),7,1)))+(INT(2*VALUE(MID(UPPER(TRIM(D58)),2,1))/10)+MOD(2*VALUE(MID(UPPER(TRIM(D58)),2,1)),10))+(INT(2*VALUE(MID(UPPER(TRIM(D58)),4,1))/10)+MOD(2*VALUE(MID(UPPER(TRIM(D58)),4,1)),10))+(INT(2*VALUE(MID(UPPER(TRIM(D58)),6,1))/10)+MOD(2*VALUE(MID(UPPER(TRIM(D58)),6,1)),10))+(INT(2*VALUE(MID(UPPER(TRIM(D58)),8,1))/10)+MOD(2*VALUE(MID(UPPER(TRIM(D58)),8,1)),10)),10),10),"0"),RIGHT(UPPER(TRIM(D58)),1)=MID("JABCDEFGHI",MOD(10-MOD((VALUE(MID(UPPER(TRIM(D58)),3,1))+VALUE(MID(UPPER(TRIM(D58)),5,1))+VALUE(MID(UPPER(TRIM(D58)),7,1)))+(INT(2*VALUE(MID(UPPER(TRIM(D58)),2,1))/10)+MOD(2*VALUE(MID(UPPER(TRIM(D58)),2,1)),10))+(INT(2*VALUE(MID(UPPER(TRIM(D58)),4,1))/10)+MOD(2*VALUE(MID(UPPER(TRIM(D58)),4,1)),10))+(INT(2*VALUE(MID(UPPER(TRIM(D58)),6,1))/10)+MOD(2*VALUE(MID(UPPER(TRIM(D58)),6,1)),10))+(INT(2*VALUE(MID(UPPER(TRIM(D58)),8,1))/10)+MOD(2*VALUE(MID(UPPER(TRIM(D58)),8,1)),10)),10),10)+1,1)),"OK","REVISAR")),"REVISAR")))</f>
        <v/>
      </c>
      <c r="Q58">
        <f>IF(B58="","",IF(COUNTIFS($B$2:$B$501,B58,$D$2:$D$501,D58)&gt;1,"DUPLICADA",""))</f>
        <v/>
      </c>
      <c r="R58">
        <f>IF(A58="","",ROUNDUP(MONTH(A58)/3,0))</f>
        <v/>
      </c>
      <c r="S58" s="3" t="n"/>
    </row>
    <row r="59">
      <c r="A59" s="2" t="n"/>
      <c r="B59" s="3" t="n"/>
      <c r="C59" s="3" t="n"/>
      <c r="D59" s="3" t="n"/>
      <c r="E59" s="4" t="n"/>
      <c r="F59" s="4" t="n"/>
      <c r="G59" s="4" t="n"/>
      <c r="H59" s="4" t="n"/>
      <c r="I59" s="5">
        <f>IF(E59="","",ROUND(E59*0.21,2))</f>
        <v/>
      </c>
      <c r="J59" s="5">
        <f>IF(F59="","",ROUND(F59*0.1,2))</f>
        <v/>
      </c>
      <c r="K59" s="5">
        <f>IF(G59="","",ROUND(G59*0.04,2))</f>
        <v/>
      </c>
      <c r="L59" s="4" t="n"/>
      <c r="M59" s="4" t="n"/>
      <c r="N59" s="5">
        <f>IF(A59="","",SUM(E59:K59)-N(L59))</f>
        <v/>
      </c>
      <c r="O59">
        <f>IF(OR(A59="",M59=""),"",IF(ABS(M59-N59)&lt;=0.02,"OK","REVISAR"))</f>
        <v/>
      </c>
      <c r="P59">
        <f>IF(D59="","",IF(LEN(TRIM(D59))&lt;&gt;9,"REVISAR",IFERROR(IF(OR(ISNUMBER(VALUE(LEFT(UPPER(TRIM(D59)),1))),LEFT(UPPER(TRIM(D59)),1)="X",LEFT(UPPER(TRIM(D59)),1)="Y",LEFT(UPPER(TRIM(D59)),1)="Z"),IF(MID("TRWAGMYFPDXBNJZSQVHLCKE",MOD(VALUE(SUBSTITUTE(SUBSTITUTE(SUBSTITUTE(LEFT(UPPER(TRIM(D59)),8),"X","0"),"Y","1"),"Z","2")),23)+1,1)=RIGHT(UPPER(TRIM(D59)),1),"OK","REVISAR"),IF(OR(RIGHT(UPPER(TRIM(D59)),1)=TEXT(MOD(10-MOD((VALUE(MID(UPPER(TRIM(D59)),3,1))+VALUE(MID(UPPER(TRIM(D59)),5,1))+VALUE(MID(UPPER(TRIM(D59)),7,1)))+(INT(2*VALUE(MID(UPPER(TRIM(D59)),2,1))/10)+MOD(2*VALUE(MID(UPPER(TRIM(D59)),2,1)),10))+(INT(2*VALUE(MID(UPPER(TRIM(D59)),4,1))/10)+MOD(2*VALUE(MID(UPPER(TRIM(D59)),4,1)),10))+(INT(2*VALUE(MID(UPPER(TRIM(D59)),6,1))/10)+MOD(2*VALUE(MID(UPPER(TRIM(D59)),6,1)),10))+(INT(2*VALUE(MID(UPPER(TRIM(D59)),8,1))/10)+MOD(2*VALUE(MID(UPPER(TRIM(D59)),8,1)),10)),10),10),"0"),RIGHT(UPPER(TRIM(D59)),1)=MID("JABCDEFGHI",MOD(10-MOD((VALUE(MID(UPPER(TRIM(D59)),3,1))+VALUE(MID(UPPER(TRIM(D59)),5,1))+VALUE(MID(UPPER(TRIM(D59)),7,1)))+(INT(2*VALUE(MID(UPPER(TRIM(D59)),2,1))/10)+MOD(2*VALUE(MID(UPPER(TRIM(D59)),2,1)),10))+(INT(2*VALUE(MID(UPPER(TRIM(D59)),4,1))/10)+MOD(2*VALUE(MID(UPPER(TRIM(D59)),4,1)),10))+(INT(2*VALUE(MID(UPPER(TRIM(D59)),6,1))/10)+MOD(2*VALUE(MID(UPPER(TRIM(D59)),6,1)),10))+(INT(2*VALUE(MID(UPPER(TRIM(D59)),8,1))/10)+MOD(2*VALUE(MID(UPPER(TRIM(D59)),8,1)),10)),10),10)+1,1)),"OK","REVISAR")),"REVISAR")))</f>
        <v/>
      </c>
      <c r="Q59">
        <f>IF(B59="","",IF(COUNTIFS($B$2:$B$501,B59,$D$2:$D$501,D59)&gt;1,"DUPLICADA",""))</f>
        <v/>
      </c>
      <c r="R59">
        <f>IF(A59="","",ROUNDUP(MONTH(A59)/3,0))</f>
        <v/>
      </c>
      <c r="S59" s="3" t="n"/>
    </row>
    <row r="60">
      <c r="A60" s="2" t="n"/>
      <c r="B60" s="3" t="n"/>
      <c r="C60" s="3" t="n"/>
      <c r="D60" s="3" t="n"/>
      <c r="E60" s="4" t="n"/>
      <c r="F60" s="4" t="n"/>
      <c r="G60" s="4" t="n"/>
      <c r="H60" s="4" t="n"/>
      <c r="I60" s="5">
        <f>IF(E60="","",ROUND(E60*0.21,2))</f>
        <v/>
      </c>
      <c r="J60" s="5">
        <f>IF(F60="","",ROUND(F60*0.1,2))</f>
        <v/>
      </c>
      <c r="K60" s="5">
        <f>IF(G60="","",ROUND(G60*0.04,2))</f>
        <v/>
      </c>
      <c r="L60" s="4" t="n"/>
      <c r="M60" s="4" t="n"/>
      <c r="N60" s="5">
        <f>IF(A60="","",SUM(E60:K60)-N(L60))</f>
        <v/>
      </c>
      <c r="O60">
        <f>IF(OR(A60="",M60=""),"",IF(ABS(M60-N60)&lt;=0.02,"OK","REVISAR"))</f>
        <v/>
      </c>
      <c r="P60">
        <f>IF(D60="","",IF(LEN(TRIM(D60))&lt;&gt;9,"REVISAR",IFERROR(IF(OR(ISNUMBER(VALUE(LEFT(UPPER(TRIM(D60)),1))),LEFT(UPPER(TRIM(D60)),1)="X",LEFT(UPPER(TRIM(D60)),1)="Y",LEFT(UPPER(TRIM(D60)),1)="Z"),IF(MID("TRWAGMYFPDXBNJZSQVHLCKE",MOD(VALUE(SUBSTITUTE(SUBSTITUTE(SUBSTITUTE(LEFT(UPPER(TRIM(D60)),8),"X","0"),"Y","1"),"Z","2")),23)+1,1)=RIGHT(UPPER(TRIM(D60)),1),"OK","REVISAR"),IF(OR(RIGHT(UPPER(TRIM(D60)),1)=TEXT(MOD(10-MOD((VALUE(MID(UPPER(TRIM(D60)),3,1))+VALUE(MID(UPPER(TRIM(D60)),5,1))+VALUE(MID(UPPER(TRIM(D60)),7,1)))+(INT(2*VALUE(MID(UPPER(TRIM(D60)),2,1))/10)+MOD(2*VALUE(MID(UPPER(TRIM(D60)),2,1)),10))+(INT(2*VALUE(MID(UPPER(TRIM(D60)),4,1))/10)+MOD(2*VALUE(MID(UPPER(TRIM(D60)),4,1)),10))+(INT(2*VALUE(MID(UPPER(TRIM(D60)),6,1))/10)+MOD(2*VALUE(MID(UPPER(TRIM(D60)),6,1)),10))+(INT(2*VALUE(MID(UPPER(TRIM(D60)),8,1))/10)+MOD(2*VALUE(MID(UPPER(TRIM(D60)),8,1)),10)),10),10),"0"),RIGHT(UPPER(TRIM(D60)),1)=MID("JABCDEFGHI",MOD(10-MOD((VALUE(MID(UPPER(TRIM(D60)),3,1))+VALUE(MID(UPPER(TRIM(D60)),5,1))+VALUE(MID(UPPER(TRIM(D60)),7,1)))+(INT(2*VALUE(MID(UPPER(TRIM(D60)),2,1))/10)+MOD(2*VALUE(MID(UPPER(TRIM(D60)),2,1)),10))+(INT(2*VALUE(MID(UPPER(TRIM(D60)),4,1))/10)+MOD(2*VALUE(MID(UPPER(TRIM(D60)),4,1)),10))+(INT(2*VALUE(MID(UPPER(TRIM(D60)),6,1))/10)+MOD(2*VALUE(MID(UPPER(TRIM(D60)),6,1)),10))+(INT(2*VALUE(MID(UPPER(TRIM(D60)),8,1))/10)+MOD(2*VALUE(MID(UPPER(TRIM(D60)),8,1)),10)),10),10)+1,1)),"OK","REVISAR")),"REVISAR")))</f>
        <v/>
      </c>
      <c r="Q60">
        <f>IF(B60="","",IF(COUNTIFS($B$2:$B$501,B60,$D$2:$D$501,D60)&gt;1,"DUPLICADA",""))</f>
        <v/>
      </c>
      <c r="R60">
        <f>IF(A60="","",ROUNDUP(MONTH(A60)/3,0))</f>
        <v/>
      </c>
      <c r="S60" s="3" t="n"/>
    </row>
    <row r="61">
      <c r="A61" s="2" t="n"/>
      <c r="B61" s="3" t="n"/>
      <c r="C61" s="3" t="n"/>
      <c r="D61" s="3" t="n"/>
      <c r="E61" s="4" t="n"/>
      <c r="F61" s="4" t="n"/>
      <c r="G61" s="4" t="n"/>
      <c r="H61" s="4" t="n"/>
      <c r="I61" s="5">
        <f>IF(E61="","",ROUND(E61*0.21,2))</f>
        <v/>
      </c>
      <c r="J61" s="5">
        <f>IF(F61="","",ROUND(F61*0.1,2))</f>
        <v/>
      </c>
      <c r="K61" s="5">
        <f>IF(G61="","",ROUND(G61*0.04,2))</f>
        <v/>
      </c>
      <c r="L61" s="4" t="n"/>
      <c r="M61" s="4" t="n"/>
      <c r="N61" s="5">
        <f>IF(A61="","",SUM(E61:K61)-N(L61))</f>
        <v/>
      </c>
      <c r="O61">
        <f>IF(OR(A61="",M61=""),"",IF(ABS(M61-N61)&lt;=0.02,"OK","REVISAR"))</f>
        <v/>
      </c>
      <c r="P61">
        <f>IF(D61="","",IF(LEN(TRIM(D61))&lt;&gt;9,"REVISAR",IFERROR(IF(OR(ISNUMBER(VALUE(LEFT(UPPER(TRIM(D61)),1))),LEFT(UPPER(TRIM(D61)),1)="X",LEFT(UPPER(TRIM(D61)),1)="Y",LEFT(UPPER(TRIM(D61)),1)="Z"),IF(MID("TRWAGMYFPDXBNJZSQVHLCKE",MOD(VALUE(SUBSTITUTE(SUBSTITUTE(SUBSTITUTE(LEFT(UPPER(TRIM(D61)),8),"X","0"),"Y","1"),"Z","2")),23)+1,1)=RIGHT(UPPER(TRIM(D61)),1),"OK","REVISAR"),IF(OR(RIGHT(UPPER(TRIM(D61)),1)=TEXT(MOD(10-MOD((VALUE(MID(UPPER(TRIM(D61)),3,1))+VALUE(MID(UPPER(TRIM(D61)),5,1))+VALUE(MID(UPPER(TRIM(D61)),7,1)))+(INT(2*VALUE(MID(UPPER(TRIM(D61)),2,1))/10)+MOD(2*VALUE(MID(UPPER(TRIM(D61)),2,1)),10))+(INT(2*VALUE(MID(UPPER(TRIM(D61)),4,1))/10)+MOD(2*VALUE(MID(UPPER(TRIM(D61)),4,1)),10))+(INT(2*VALUE(MID(UPPER(TRIM(D61)),6,1))/10)+MOD(2*VALUE(MID(UPPER(TRIM(D61)),6,1)),10))+(INT(2*VALUE(MID(UPPER(TRIM(D61)),8,1))/10)+MOD(2*VALUE(MID(UPPER(TRIM(D61)),8,1)),10)),10),10),"0"),RIGHT(UPPER(TRIM(D61)),1)=MID("JABCDEFGHI",MOD(10-MOD((VALUE(MID(UPPER(TRIM(D61)),3,1))+VALUE(MID(UPPER(TRIM(D61)),5,1))+VALUE(MID(UPPER(TRIM(D61)),7,1)))+(INT(2*VALUE(MID(UPPER(TRIM(D61)),2,1))/10)+MOD(2*VALUE(MID(UPPER(TRIM(D61)),2,1)),10))+(INT(2*VALUE(MID(UPPER(TRIM(D61)),4,1))/10)+MOD(2*VALUE(MID(UPPER(TRIM(D61)),4,1)),10))+(INT(2*VALUE(MID(UPPER(TRIM(D61)),6,1))/10)+MOD(2*VALUE(MID(UPPER(TRIM(D61)),6,1)),10))+(INT(2*VALUE(MID(UPPER(TRIM(D61)),8,1))/10)+MOD(2*VALUE(MID(UPPER(TRIM(D61)),8,1)),10)),10),10)+1,1)),"OK","REVISAR")),"REVISAR")))</f>
        <v/>
      </c>
      <c r="Q61">
        <f>IF(B61="","",IF(COUNTIFS($B$2:$B$501,B61,$D$2:$D$501,D61)&gt;1,"DUPLICADA",""))</f>
        <v/>
      </c>
      <c r="R61">
        <f>IF(A61="","",ROUNDUP(MONTH(A61)/3,0))</f>
        <v/>
      </c>
      <c r="S61" s="3" t="n"/>
    </row>
    <row r="62">
      <c r="A62" s="2" t="n"/>
      <c r="B62" s="3" t="n"/>
      <c r="C62" s="3" t="n"/>
      <c r="D62" s="3" t="n"/>
      <c r="E62" s="4" t="n"/>
      <c r="F62" s="4" t="n"/>
      <c r="G62" s="4" t="n"/>
      <c r="H62" s="4" t="n"/>
      <c r="I62" s="5">
        <f>IF(E62="","",ROUND(E62*0.21,2))</f>
        <v/>
      </c>
      <c r="J62" s="5">
        <f>IF(F62="","",ROUND(F62*0.1,2))</f>
        <v/>
      </c>
      <c r="K62" s="5">
        <f>IF(G62="","",ROUND(G62*0.04,2))</f>
        <v/>
      </c>
      <c r="L62" s="4" t="n"/>
      <c r="M62" s="4" t="n"/>
      <c r="N62" s="5">
        <f>IF(A62="","",SUM(E62:K62)-N(L62))</f>
        <v/>
      </c>
      <c r="O62">
        <f>IF(OR(A62="",M62=""),"",IF(ABS(M62-N62)&lt;=0.02,"OK","REVISAR"))</f>
        <v/>
      </c>
      <c r="P62">
        <f>IF(D62="","",IF(LEN(TRIM(D62))&lt;&gt;9,"REVISAR",IFERROR(IF(OR(ISNUMBER(VALUE(LEFT(UPPER(TRIM(D62)),1))),LEFT(UPPER(TRIM(D62)),1)="X",LEFT(UPPER(TRIM(D62)),1)="Y",LEFT(UPPER(TRIM(D62)),1)="Z"),IF(MID("TRWAGMYFPDXBNJZSQVHLCKE",MOD(VALUE(SUBSTITUTE(SUBSTITUTE(SUBSTITUTE(LEFT(UPPER(TRIM(D62)),8),"X","0"),"Y","1"),"Z","2")),23)+1,1)=RIGHT(UPPER(TRIM(D62)),1),"OK","REVISAR"),IF(OR(RIGHT(UPPER(TRIM(D62)),1)=TEXT(MOD(10-MOD((VALUE(MID(UPPER(TRIM(D62)),3,1))+VALUE(MID(UPPER(TRIM(D62)),5,1))+VALUE(MID(UPPER(TRIM(D62)),7,1)))+(INT(2*VALUE(MID(UPPER(TRIM(D62)),2,1))/10)+MOD(2*VALUE(MID(UPPER(TRIM(D62)),2,1)),10))+(INT(2*VALUE(MID(UPPER(TRIM(D62)),4,1))/10)+MOD(2*VALUE(MID(UPPER(TRIM(D62)),4,1)),10))+(INT(2*VALUE(MID(UPPER(TRIM(D62)),6,1))/10)+MOD(2*VALUE(MID(UPPER(TRIM(D62)),6,1)),10))+(INT(2*VALUE(MID(UPPER(TRIM(D62)),8,1))/10)+MOD(2*VALUE(MID(UPPER(TRIM(D62)),8,1)),10)),10),10),"0"),RIGHT(UPPER(TRIM(D62)),1)=MID("JABCDEFGHI",MOD(10-MOD((VALUE(MID(UPPER(TRIM(D62)),3,1))+VALUE(MID(UPPER(TRIM(D62)),5,1))+VALUE(MID(UPPER(TRIM(D62)),7,1)))+(INT(2*VALUE(MID(UPPER(TRIM(D62)),2,1))/10)+MOD(2*VALUE(MID(UPPER(TRIM(D62)),2,1)),10))+(INT(2*VALUE(MID(UPPER(TRIM(D62)),4,1))/10)+MOD(2*VALUE(MID(UPPER(TRIM(D62)),4,1)),10))+(INT(2*VALUE(MID(UPPER(TRIM(D62)),6,1))/10)+MOD(2*VALUE(MID(UPPER(TRIM(D62)),6,1)),10))+(INT(2*VALUE(MID(UPPER(TRIM(D62)),8,1))/10)+MOD(2*VALUE(MID(UPPER(TRIM(D62)),8,1)),10)),10),10)+1,1)),"OK","REVISAR")),"REVISAR")))</f>
        <v/>
      </c>
      <c r="Q62">
        <f>IF(B62="","",IF(COUNTIFS($B$2:$B$501,B62,$D$2:$D$501,D62)&gt;1,"DUPLICADA",""))</f>
        <v/>
      </c>
      <c r="R62">
        <f>IF(A62="","",ROUNDUP(MONTH(A62)/3,0))</f>
        <v/>
      </c>
      <c r="S62" s="3" t="n"/>
    </row>
    <row r="63">
      <c r="A63" s="2" t="n"/>
      <c r="B63" s="3" t="n"/>
      <c r="C63" s="3" t="n"/>
      <c r="D63" s="3" t="n"/>
      <c r="E63" s="4" t="n"/>
      <c r="F63" s="4" t="n"/>
      <c r="G63" s="4" t="n"/>
      <c r="H63" s="4" t="n"/>
      <c r="I63" s="5">
        <f>IF(E63="","",ROUND(E63*0.21,2))</f>
        <v/>
      </c>
      <c r="J63" s="5">
        <f>IF(F63="","",ROUND(F63*0.1,2))</f>
        <v/>
      </c>
      <c r="K63" s="5">
        <f>IF(G63="","",ROUND(G63*0.04,2))</f>
        <v/>
      </c>
      <c r="L63" s="4" t="n"/>
      <c r="M63" s="4" t="n"/>
      <c r="N63" s="5">
        <f>IF(A63="","",SUM(E63:K63)-N(L63))</f>
        <v/>
      </c>
      <c r="O63">
        <f>IF(OR(A63="",M63=""),"",IF(ABS(M63-N63)&lt;=0.02,"OK","REVISAR"))</f>
        <v/>
      </c>
      <c r="P63">
        <f>IF(D63="","",IF(LEN(TRIM(D63))&lt;&gt;9,"REVISAR",IFERROR(IF(OR(ISNUMBER(VALUE(LEFT(UPPER(TRIM(D63)),1))),LEFT(UPPER(TRIM(D63)),1)="X",LEFT(UPPER(TRIM(D63)),1)="Y",LEFT(UPPER(TRIM(D63)),1)="Z"),IF(MID("TRWAGMYFPDXBNJZSQVHLCKE",MOD(VALUE(SUBSTITUTE(SUBSTITUTE(SUBSTITUTE(LEFT(UPPER(TRIM(D63)),8),"X","0"),"Y","1"),"Z","2")),23)+1,1)=RIGHT(UPPER(TRIM(D63)),1),"OK","REVISAR"),IF(OR(RIGHT(UPPER(TRIM(D63)),1)=TEXT(MOD(10-MOD((VALUE(MID(UPPER(TRIM(D63)),3,1))+VALUE(MID(UPPER(TRIM(D63)),5,1))+VALUE(MID(UPPER(TRIM(D63)),7,1)))+(INT(2*VALUE(MID(UPPER(TRIM(D63)),2,1))/10)+MOD(2*VALUE(MID(UPPER(TRIM(D63)),2,1)),10))+(INT(2*VALUE(MID(UPPER(TRIM(D63)),4,1))/10)+MOD(2*VALUE(MID(UPPER(TRIM(D63)),4,1)),10))+(INT(2*VALUE(MID(UPPER(TRIM(D63)),6,1))/10)+MOD(2*VALUE(MID(UPPER(TRIM(D63)),6,1)),10))+(INT(2*VALUE(MID(UPPER(TRIM(D63)),8,1))/10)+MOD(2*VALUE(MID(UPPER(TRIM(D63)),8,1)),10)),10),10),"0"),RIGHT(UPPER(TRIM(D63)),1)=MID("JABCDEFGHI",MOD(10-MOD((VALUE(MID(UPPER(TRIM(D63)),3,1))+VALUE(MID(UPPER(TRIM(D63)),5,1))+VALUE(MID(UPPER(TRIM(D63)),7,1)))+(INT(2*VALUE(MID(UPPER(TRIM(D63)),2,1))/10)+MOD(2*VALUE(MID(UPPER(TRIM(D63)),2,1)),10))+(INT(2*VALUE(MID(UPPER(TRIM(D63)),4,1))/10)+MOD(2*VALUE(MID(UPPER(TRIM(D63)),4,1)),10))+(INT(2*VALUE(MID(UPPER(TRIM(D63)),6,1))/10)+MOD(2*VALUE(MID(UPPER(TRIM(D63)),6,1)),10))+(INT(2*VALUE(MID(UPPER(TRIM(D63)),8,1))/10)+MOD(2*VALUE(MID(UPPER(TRIM(D63)),8,1)),10)),10),10)+1,1)),"OK","REVISAR")),"REVISAR")))</f>
        <v/>
      </c>
      <c r="Q63">
        <f>IF(B63="","",IF(COUNTIFS($B$2:$B$501,B63,$D$2:$D$501,D63)&gt;1,"DUPLICADA",""))</f>
        <v/>
      </c>
      <c r="R63">
        <f>IF(A63="","",ROUNDUP(MONTH(A63)/3,0))</f>
        <v/>
      </c>
      <c r="S63" s="3" t="n"/>
    </row>
    <row r="64">
      <c r="A64" s="2" t="n"/>
      <c r="B64" s="3" t="n"/>
      <c r="C64" s="3" t="n"/>
      <c r="D64" s="3" t="n"/>
      <c r="E64" s="4" t="n"/>
      <c r="F64" s="4" t="n"/>
      <c r="G64" s="4" t="n"/>
      <c r="H64" s="4" t="n"/>
      <c r="I64" s="5">
        <f>IF(E64="","",ROUND(E64*0.21,2))</f>
        <v/>
      </c>
      <c r="J64" s="5">
        <f>IF(F64="","",ROUND(F64*0.1,2))</f>
        <v/>
      </c>
      <c r="K64" s="5">
        <f>IF(G64="","",ROUND(G64*0.04,2))</f>
        <v/>
      </c>
      <c r="L64" s="4" t="n"/>
      <c r="M64" s="4" t="n"/>
      <c r="N64" s="5">
        <f>IF(A64="","",SUM(E64:K64)-N(L64))</f>
        <v/>
      </c>
      <c r="O64">
        <f>IF(OR(A64="",M64=""),"",IF(ABS(M64-N64)&lt;=0.02,"OK","REVISAR"))</f>
        <v/>
      </c>
      <c r="P64">
        <f>IF(D64="","",IF(LEN(TRIM(D64))&lt;&gt;9,"REVISAR",IFERROR(IF(OR(ISNUMBER(VALUE(LEFT(UPPER(TRIM(D64)),1))),LEFT(UPPER(TRIM(D64)),1)="X",LEFT(UPPER(TRIM(D64)),1)="Y",LEFT(UPPER(TRIM(D64)),1)="Z"),IF(MID("TRWAGMYFPDXBNJZSQVHLCKE",MOD(VALUE(SUBSTITUTE(SUBSTITUTE(SUBSTITUTE(LEFT(UPPER(TRIM(D64)),8),"X","0"),"Y","1"),"Z","2")),23)+1,1)=RIGHT(UPPER(TRIM(D64)),1),"OK","REVISAR"),IF(OR(RIGHT(UPPER(TRIM(D64)),1)=TEXT(MOD(10-MOD((VALUE(MID(UPPER(TRIM(D64)),3,1))+VALUE(MID(UPPER(TRIM(D64)),5,1))+VALUE(MID(UPPER(TRIM(D64)),7,1)))+(INT(2*VALUE(MID(UPPER(TRIM(D64)),2,1))/10)+MOD(2*VALUE(MID(UPPER(TRIM(D64)),2,1)),10))+(INT(2*VALUE(MID(UPPER(TRIM(D64)),4,1))/10)+MOD(2*VALUE(MID(UPPER(TRIM(D64)),4,1)),10))+(INT(2*VALUE(MID(UPPER(TRIM(D64)),6,1))/10)+MOD(2*VALUE(MID(UPPER(TRIM(D64)),6,1)),10))+(INT(2*VALUE(MID(UPPER(TRIM(D64)),8,1))/10)+MOD(2*VALUE(MID(UPPER(TRIM(D64)),8,1)),10)),10),10),"0"),RIGHT(UPPER(TRIM(D64)),1)=MID("JABCDEFGHI",MOD(10-MOD((VALUE(MID(UPPER(TRIM(D64)),3,1))+VALUE(MID(UPPER(TRIM(D64)),5,1))+VALUE(MID(UPPER(TRIM(D64)),7,1)))+(INT(2*VALUE(MID(UPPER(TRIM(D64)),2,1))/10)+MOD(2*VALUE(MID(UPPER(TRIM(D64)),2,1)),10))+(INT(2*VALUE(MID(UPPER(TRIM(D64)),4,1))/10)+MOD(2*VALUE(MID(UPPER(TRIM(D64)),4,1)),10))+(INT(2*VALUE(MID(UPPER(TRIM(D64)),6,1))/10)+MOD(2*VALUE(MID(UPPER(TRIM(D64)),6,1)),10))+(INT(2*VALUE(MID(UPPER(TRIM(D64)),8,1))/10)+MOD(2*VALUE(MID(UPPER(TRIM(D64)),8,1)),10)),10),10)+1,1)),"OK","REVISAR")),"REVISAR")))</f>
        <v/>
      </c>
      <c r="Q64">
        <f>IF(B64="","",IF(COUNTIFS($B$2:$B$501,B64,$D$2:$D$501,D64)&gt;1,"DUPLICADA",""))</f>
        <v/>
      </c>
      <c r="R64">
        <f>IF(A64="","",ROUNDUP(MONTH(A64)/3,0))</f>
        <v/>
      </c>
      <c r="S64" s="3" t="n"/>
    </row>
    <row r="65">
      <c r="A65" s="2" t="n"/>
      <c r="B65" s="3" t="n"/>
      <c r="C65" s="3" t="n"/>
      <c r="D65" s="3" t="n"/>
      <c r="E65" s="4" t="n"/>
      <c r="F65" s="4" t="n"/>
      <c r="G65" s="4" t="n"/>
      <c r="H65" s="4" t="n"/>
      <c r="I65" s="5">
        <f>IF(E65="","",ROUND(E65*0.21,2))</f>
        <v/>
      </c>
      <c r="J65" s="5">
        <f>IF(F65="","",ROUND(F65*0.1,2))</f>
        <v/>
      </c>
      <c r="K65" s="5">
        <f>IF(G65="","",ROUND(G65*0.04,2))</f>
        <v/>
      </c>
      <c r="L65" s="4" t="n"/>
      <c r="M65" s="4" t="n"/>
      <c r="N65" s="5">
        <f>IF(A65="","",SUM(E65:K65)-N(L65))</f>
        <v/>
      </c>
      <c r="O65">
        <f>IF(OR(A65="",M65=""),"",IF(ABS(M65-N65)&lt;=0.02,"OK","REVISAR"))</f>
        <v/>
      </c>
      <c r="P65">
        <f>IF(D65="","",IF(LEN(TRIM(D65))&lt;&gt;9,"REVISAR",IFERROR(IF(OR(ISNUMBER(VALUE(LEFT(UPPER(TRIM(D65)),1))),LEFT(UPPER(TRIM(D65)),1)="X",LEFT(UPPER(TRIM(D65)),1)="Y",LEFT(UPPER(TRIM(D65)),1)="Z"),IF(MID("TRWAGMYFPDXBNJZSQVHLCKE",MOD(VALUE(SUBSTITUTE(SUBSTITUTE(SUBSTITUTE(LEFT(UPPER(TRIM(D65)),8),"X","0"),"Y","1"),"Z","2")),23)+1,1)=RIGHT(UPPER(TRIM(D65)),1),"OK","REVISAR"),IF(OR(RIGHT(UPPER(TRIM(D65)),1)=TEXT(MOD(10-MOD((VALUE(MID(UPPER(TRIM(D65)),3,1))+VALUE(MID(UPPER(TRIM(D65)),5,1))+VALUE(MID(UPPER(TRIM(D65)),7,1)))+(INT(2*VALUE(MID(UPPER(TRIM(D65)),2,1))/10)+MOD(2*VALUE(MID(UPPER(TRIM(D65)),2,1)),10))+(INT(2*VALUE(MID(UPPER(TRIM(D65)),4,1))/10)+MOD(2*VALUE(MID(UPPER(TRIM(D65)),4,1)),10))+(INT(2*VALUE(MID(UPPER(TRIM(D65)),6,1))/10)+MOD(2*VALUE(MID(UPPER(TRIM(D65)),6,1)),10))+(INT(2*VALUE(MID(UPPER(TRIM(D65)),8,1))/10)+MOD(2*VALUE(MID(UPPER(TRIM(D65)),8,1)),10)),10),10),"0"),RIGHT(UPPER(TRIM(D65)),1)=MID("JABCDEFGHI",MOD(10-MOD((VALUE(MID(UPPER(TRIM(D65)),3,1))+VALUE(MID(UPPER(TRIM(D65)),5,1))+VALUE(MID(UPPER(TRIM(D65)),7,1)))+(INT(2*VALUE(MID(UPPER(TRIM(D65)),2,1))/10)+MOD(2*VALUE(MID(UPPER(TRIM(D65)),2,1)),10))+(INT(2*VALUE(MID(UPPER(TRIM(D65)),4,1))/10)+MOD(2*VALUE(MID(UPPER(TRIM(D65)),4,1)),10))+(INT(2*VALUE(MID(UPPER(TRIM(D65)),6,1))/10)+MOD(2*VALUE(MID(UPPER(TRIM(D65)),6,1)),10))+(INT(2*VALUE(MID(UPPER(TRIM(D65)),8,1))/10)+MOD(2*VALUE(MID(UPPER(TRIM(D65)),8,1)),10)),10),10)+1,1)),"OK","REVISAR")),"REVISAR")))</f>
        <v/>
      </c>
      <c r="Q65">
        <f>IF(B65="","",IF(COUNTIFS($B$2:$B$501,B65,$D$2:$D$501,D65)&gt;1,"DUPLICADA",""))</f>
        <v/>
      </c>
      <c r="R65">
        <f>IF(A65="","",ROUNDUP(MONTH(A65)/3,0))</f>
        <v/>
      </c>
      <c r="S65" s="3" t="n"/>
    </row>
    <row r="66">
      <c r="A66" s="2" t="n"/>
      <c r="B66" s="3" t="n"/>
      <c r="C66" s="3" t="n"/>
      <c r="D66" s="3" t="n"/>
      <c r="E66" s="4" t="n"/>
      <c r="F66" s="4" t="n"/>
      <c r="G66" s="4" t="n"/>
      <c r="H66" s="4" t="n"/>
      <c r="I66" s="5">
        <f>IF(E66="","",ROUND(E66*0.21,2))</f>
        <v/>
      </c>
      <c r="J66" s="5">
        <f>IF(F66="","",ROUND(F66*0.1,2))</f>
        <v/>
      </c>
      <c r="K66" s="5">
        <f>IF(G66="","",ROUND(G66*0.04,2))</f>
        <v/>
      </c>
      <c r="L66" s="4" t="n"/>
      <c r="M66" s="4" t="n"/>
      <c r="N66" s="5">
        <f>IF(A66="","",SUM(E66:K66)-N(L66))</f>
        <v/>
      </c>
      <c r="O66">
        <f>IF(OR(A66="",M66=""),"",IF(ABS(M66-N66)&lt;=0.02,"OK","REVISAR"))</f>
        <v/>
      </c>
      <c r="P66">
        <f>IF(D66="","",IF(LEN(TRIM(D66))&lt;&gt;9,"REVISAR",IFERROR(IF(OR(ISNUMBER(VALUE(LEFT(UPPER(TRIM(D66)),1))),LEFT(UPPER(TRIM(D66)),1)="X",LEFT(UPPER(TRIM(D66)),1)="Y",LEFT(UPPER(TRIM(D66)),1)="Z"),IF(MID("TRWAGMYFPDXBNJZSQVHLCKE",MOD(VALUE(SUBSTITUTE(SUBSTITUTE(SUBSTITUTE(LEFT(UPPER(TRIM(D66)),8),"X","0"),"Y","1"),"Z","2")),23)+1,1)=RIGHT(UPPER(TRIM(D66)),1),"OK","REVISAR"),IF(OR(RIGHT(UPPER(TRIM(D66)),1)=TEXT(MOD(10-MOD((VALUE(MID(UPPER(TRIM(D66)),3,1))+VALUE(MID(UPPER(TRIM(D66)),5,1))+VALUE(MID(UPPER(TRIM(D66)),7,1)))+(INT(2*VALUE(MID(UPPER(TRIM(D66)),2,1))/10)+MOD(2*VALUE(MID(UPPER(TRIM(D66)),2,1)),10))+(INT(2*VALUE(MID(UPPER(TRIM(D66)),4,1))/10)+MOD(2*VALUE(MID(UPPER(TRIM(D66)),4,1)),10))+(INT(2*VALUE(MID(UPPER(TRIM(D66)),6,1))/10)+MOD(2*VALUE(MID(UPPER(TRIM(D66)),6,1)),10))+(INT(2*VALUE(MID(UPPER(TRIM(D66)),8,1))/10)+MOD(2*VALUE(MID(UPPER(TRIM(D66)),8,1)),10)),10),10),"0"),RIGHT(UPPER(TRIM(D66)),1)=MID("JABCDEFGHI",MOD(10-MOD((VALUE(MID(UPPER(TRIM(D66)),3,1))+VALUE(MID(UPPER(TRIM(D66)),5,1))+VALUE(MID(UPPER(TRIM(D66)),7,1)))+(INT(2*VALUE(MID(UPPER(TRIM(D66)),2,1))/10)+MOD(2*VALUE(MID(UPPER(TRIM(D66)),2,1)),10))+(INT(2*VALUE(MID(UPPER(TRIM(D66)),4,1))/10)+MOD(2*VALUE(MID(UPPER(TRIM(D66)),4,1)),10))+(INT(2*VALUE(MID(UPPER(TRIM(D66)),6,1))/10)+MOD(2*VALUE(MID(UPPER(TRIM(D66)),6,1)),10))+(INT(2*VALUE(MID(UPPER(TRIM(D66)),8,1))/10)+MOD(2*VALUE(MID(UPPER(TRIM(D66)),8,1)),10)),10),10)+1,1)),"OK","REVISAR")),"REVISAR")))</f>
        <v/>
      </c>
      <c r="Q66">
        <f>IF(B66="","",IF(COUNTIFS($B$2:$B$501,B66,$D$2:$D$501,D66)&gt;1,"DUPLICADA",""))</f>
        <v/>
      </c>
      <c r="R66">
        <f>IF(A66="","",ROUNDUP(MONTH(A66)/3,0))</f>
        <v/>
      </c>
      <c r="S66" s="3" t="n"/>
    </row>
    <row r="67">
      <c r="A67" s="2" t="n"/>
      <c r="B67" s="3" t="n"/>
      <c r="C67" s="3" t="n"/>
      <c r="D67" s="3" t="n"/>
      <c r="E67" s="4" t="n"/>
      <c r="F67" s="4" t="n"/>
      <c r="G67" s="4" t="n"/>
      <c r="H67" s="4" t="n"/>
      <c r="I67" s="5">
        <f>IF(E67="","",ROUND(E67*0.21,2))</f>
        <v/>
      </c>
      <c r="J67" s="5">
        <f>IF(F67="","",ROUND(F67*0.1,2))</f>
        <v/>
      </c>
      <c r="K67" s="5">
        <f>IF(G67="","",ROUND(G67*0.04,2))</f>
        <v/>
      </c>
      <c r="L67" s="4" t="n"/>
      <c r="M67" s="4" t="n"/>
      <c r="N67" s="5">
        <f>IF(A67="","",SUM(E67:K67)-N(L67))</f>
        <v/>
      </c>
      <c r="O67">
        <f>IF(OR(A67="",M67=""),"",IF(ABS(M67-N67)&lt;=0.02,"OK","REVISAR"))</f>
        <v/>
      </c>
      <c r="P67">
        <f>IF(D67="","",IF(LEN(TRIM(D67))&lt;&gt;9,"REVISAR",IFERROR(IF(OR(ISNUMBER(VALUE(LEFT(UPPER(TRIM(D67)),1))),LEFT(UPPER(TRIM(D67)),1)="X",LEFT(UPPER(TRIM(D67)),1)="Y",LEFT(UPPER(TRIM(D67)),1)="Z"),IF(MID("TRWAGMYFPDXBNJZSQVHLCKE",MOD(VALUE(SUBSTITUTE(SUBSTITUTE(SUBSTITUTE(LEFT(UPPER(TRIM(D67)),8),"X","0"),"Y","1"),"Z","2")),23)+1,1)=RIGHT(UPPER(TRIM(D67)),1),"OK","REVISAR"),IF(OR(RIGHT(UPPER(TRIM(D67)),1)=TEXT(MOD(10-MOD((VALUE(MID(UPPER(TRIM(D67)),3,1))+VALUE(MID(UPPER(TRIM(D67)),5,1))+VALUE(MID(UPPER(TRIM(D67)),7,1)))+(INT(2*VALUE(MID(UPPER(TRIM(D67)),2,1))/10)+MOD(2*VALUE(MID(UPPER(TRIM(D67)),2,1)),10))+(INT(2*VALUE(MID(UPPER(TRIM(D67)),4,1))/10)+MOD(2*VALUE(MID(UPPER(TRIM(D67)),4,1)),10))+(INT(2*VALUE(MID(UPPER(TRIM(D67)),6,1))/10)+MOD(2*VALUE(MID(UPPER(TRIM(D67)),6,1)),10))+(INT(2*VALUE(MID(UPPER(TRIM(D67)),8,1))/10)+MOD(2*VALUE(MID(UPPER(TRIM(D67)),8,1)),10)),10),10),"0"),RIGHT(UPPER(TRIM(D67)),1)=MID("JABCDEFGHI",MOD(10-MOD((VALUE(MID(UPPER(TRIM(D67)),3,1))+VALUE(MID(UPPER(TRIM(D67)),5,1))+VALUE(MID(UPPER(TRIM(D67)),7,1)))+(INT(2*VALUE(MID(UPPER(TRIM(D67)),2,1))/10)+MOD(2*VALUE(MID(UPPER(TRIM(D67)),2,1)),10))+(INT(2*VALUE(MID(UPPER(TRIM(D67)),4,1))/10)+MOD(2*VALUE(MID(UPPER(TRIM(D67)),4,1)),10))+(INT(2*VALUE(MID(UPPER(TRIM(D67)),6,1))/10)+MOD(2*VALUE(MID(UPPER(TRIM(D67)),6,1)),10))+(INT(2*VALUE(MID(UPPER(TRIM(D67)),8,1))/10)+MOD(2*VALUE(MID(UPPER(TRIM(D67)),8,1)),10)),10),10)+1,1)),"OK","REVISAR")),"REVISAR")))</f>
        <v/>
      </c>
      <c r="Q67">
        <f>IF(B67="","",IF(COUNTIFS($B$2:$B$501,B67,$D$2:$D$501,D67)&gt;1,"DUPLICADA",""))</f>
        <v/>
      </c>
      <c r="R67">
        <f>IF(A67="","",ROUNDUP(MONTH(A67)/3,0))</f>
        <v/>
      </c>
      <c r="S67" s="3" t="n"/>
    </row>
    <row r="68">
      <c r="A68" s="2" t="n"/>
      <c r="B68" s="3" t="n"/>
      <c r="C68" s="3" t="n"/>
      <c r="D68" s="3" t="n"/>
      <c r="E68" s="4" t="n"/>
      <c r="F68" s="4" t="n"/>
      <c r="G68" s="4" t="n"/>
      <c r="H68" s="4" t="n"/>
      <c r="I68" s="5">
        <f>IF(E68="","",ROUND(E68*0.21,2))</f>
        <v/>
      </c>
      <c r="J68" s="5">
        <f>IF(F68="","",ROUND(F68*0.1,2))</f>
        <v/>
      </c>
      <c r="K68" s="5">
        <f>IF(G68="","",ROUND(G68*0.04,2))</f>
        <v/>
      </c>
      <c r="L68" s="4" t="n"/>
      <c r="M68" s="4" t="n"/>
      <c r="N68" s="5">
        <f>IF(A68="","",SUM(E68:K68)-N(L68))</f>
        <v/>
      </c>
      <c r="O68">
        <f>IF(OR(A68="",M68=""),"",IF(ABS(M68-N68)&lt;=0.02,"OK","REVISAR"))</f>
        <v/>
      </c>
      <c r="P68">
        <f>IF(D68="","",IF(LEN(TRIM(D68))&lt;&gt;9,"REVISAR",IFERROR(IF(OR(ISNUMBER(VALUE(LEFT(UPPER(TRIM(D68)),1))),LEFT(UPPER(TRIM(D68)),1)="X",LEFT(UPPER(TRIM(D68)),1)="Y",LEFT(UPPER(TRIM(D68)),1)="Z"),IF(MID("TRWAGMYFPDXBNJZSQVHLCKE",MOD(VALUE(SUBSTITUTE(SUBSTITUTE(SUBSTITUTE(LEFT(UPPER(TRIM(D68)),8),"X","0"),"Y","1"),"Z","2")),23)+1,1)=RIGHT(UPPER(TRIM(D68)),1),"OK","REVISAR"),IF(OR(RIGHT(UPPER(TRIM(D68)),1)=TEXT(MOD(10-MOD((VALUE(MID(UPPER(TRIM(D68)),3,1))+VALUE(MID(UPPER(TRIM(D68)),5,1))+VALUE(MID(UPPER(TRIM(D68)),7,1)))+(INT(2*VALUE(MID(UPPER(TRIM(D68)),2,1))/10)+MOD(2*VALUE(MID(UPPER(TRIM(D68)),2,1)),10))+(INT(2*VALUE(MID(UPPER(TRIM(D68)),4,1))/10)+MOD(2*VALUE(MID(UPPER(TRIM(D68)),4,1)),10))+(INT(2*VALUE(MID(UPPER(TRIM(D68)),6,1))/10)+MOD(2*VALUE(MID(UPPER(TRIM(D68)),6,1)),10))+(INT(2*VALUE(MID(UPPER(TRIM(D68)),8,1))/10)+MOD(2*VALUE(MID(UPPER(TRIM(D68)),8,1)),10)),10),10),"0"),RIGHT(UPPER(TRIM(D68)),1)=MID("JABCDEFGHI",MOD(10-MOD((VALUE(MID(UPPER(TRIM(D68)),3,1))+VALUE(MID(UPPER(TRIM(D68)),5,1))+VALUE(MID(UPPER(TRIM(D68)),7,1)))+(INT(2*VALUE(MID(UPPER(TRIM(D68)),2,1))/10)+MOD(2*VALUE(MID(UPPER(TRIM(D68)),2,1)),10))+(INT(2*VALUE(MID(UPPER(TRIM(D68)),4,1))/10)+MOD(2*VALUE(MID(UPPER(TRIM(D68)),4,1)),10))+(INT(2*VALUE(MID(UPPER(TRIM(D68)),6,1))/10)+MOD(2*VALUE(MID(UPPER(TRIM(D68)),6,1)),10))+(INT(2*VALUE(MID(UPPER(TRIM(D68)),8,1))/10)+MOD(2*VALUE(MID(UPPER(TRIM(D68)),8,1)),10)),10),10)+1,1)),"OK","REVISAR")),"REVISAR")))</f>
        <v/>
      </c>
      <c r="Q68">
        <f>IF(B68="","",IF(COUNTIFS($B$2:$B$501,B68,$D$2:$D$501,D68)&gt;1,"DUPLICADA",""))</f>
        <v/>
      </c>
      <c r="R68">
        <f>IF(A68="","",ROUNDUP(MONTH(A68)/3,0))</f>
        <v/>
      </c>
      <c r="S68" s="3" t="n"/>
    </row>
    <row r="69">
      <c r="A69" s="2" t="n"/>
      <c r="B69" s="3" t="n"/>
      <c r="C69" s="3" t="n"/>
      <c r="D69" s="3" t="n"/>
      <c r="E69" s="4" t="n"/>
      <c r="F69" s="4" t="n"/>
      <c r="G69" s="4" t="n"/>
      <c r="H69" s="4" t="n"/>
      <c r="I69" s="5">
        <f>IF(E69="","",ROUND(E69*0.21,2))</f>
        <v/>
      </c>
      <c r="J69" s="5">
        <f>IF(F69="","",ROUND(F69*0.1,2))</f>
        <v/>
      </c>
      <c r="K69" s="5">
        <f>IF(G69="","",ROUND(G69*0.04,2))</f>
        <v/>
      </c>
      <c r="L69" s="4" t="n"/>
      <c r="M69" s="4" t="n"/>
      <c r="N69" s="5">
        <f>IF(A69="","",SUM(E69:K69)-N(L69))</f>
        <v/>
      </c>
      <c r="O69">
        <f>IF(OR(A69="",M69=""),"",IF(ABS(M69-N69)&lt;=0.02,"OK","REVISAR"))</f>
        <v/>
      </c>
      <c r="P69">
        <f>IF(D69="","",IF(LEN(TRIM(D69))&lt;&gt;9,"REVISAR",IFERROR(IF(OR(ISNUMBER(VALUE(LEFT(UPPER(TRIM(D69)),1))),LEFT(UPPER(TRIM(D69)),1)="X",LEFT(UPPER(TRIM(D69)),1)="Y",LEFT(UPPER(TRIM(D69)),1)="Z"),IF(MID("TRWAGMYFPDXBNJZSQVHLCKE",MOD(VALUE(SUBSTITUTE(SUBSTITUTE(SUBSTITUTE(LEFT(UPPER(TRIM(D69)),8),"X","0"),"Y","1"),"Z","2")),23)+1,1)=RIGHT(UPPER(TRIM(D69)),1),"OK","REVISAR"),IF(OR(RIGHT(UPPER(TRIM(D69)),1)=TEXT(MOD(10-MOD((VALUE(MID(UPPER(TRIM(D69)),3,1))+VALUE(MID(UPPER(TRIM(D69)),5,1))+VALUE(MID(UPPER(TRIM(D69)),7,1)))+(INT(2*VALUE(MID(UPPER(TRIM(D69)),2,1))/10)+MOD(2*VALUE(MID(UPPER(TRIM(D69)),2,1)),10))+(INT(2*VALUE(MID(UPPER(TRIM(D69)),4,1))/10)+MOD(2*VALUE(MID(UPPER(TRIM(D69)),4,1)),10))+(INT(2*VALUE(MID(UPPER(TRIM(D69)),6,1))/10)+MOD(2*VALUE(MID(UPPER(TRIM(D69)),6,1)),10))+(INT(2*VALUE(MID(UPPER(TRIM(D69)),8,1))/10)+MOD(2*VALUE(MID(UPPER(TRIM(D69)),8,1)),10)),10),10),"0"),RIGHT(UPPER(TRIM(D69)),1)=MID("JABCDEFGHI",MOD(10-MOD((VALUE(MID(UPPER(TRIM(D69)),3,1))+VALUE(MID(UPPER(TRIM(D69)),5,1))+VALUE(MID(UPPER(TRIM(D69)),7,1)))+(INT(2*VALUE(MID(UPPER(TRIM(D69)),2,1))/10)+MOD(2*VALUE(MID(UPPER(TRIM(D69)),2,1)),10))+(INT(2*VALUE(MID(UPPER(TRIM(D69)),4,1))/10)+MOD(2*VALUE(MID(UPPER(TRIM(D69)),4,1)),10))+(INT(2*VALUE(MID(UPPER(TRIM(D69)),6,1))/10)+MOD(2*VALUE(MID(UPPER(TRIM(D69)),6,1)),10))+(INT(2*VALUE(MID(UPPER(TRIM(D69)),8,1))/10)+MOD(2*VALUE(MID(UPPER(TRIM(D69)),8,1)),10)),10),10)+1,1)),"OK","REVISAR")),"REVISAR")))</f>
        <v/>
      </c>
      <c r="Q69">
        <f>IF(B69="","",IF(COUNTIFS($B$2:$B$501,B69,$D$2:$D$501,D69)&gt;1,"DUPLICADA",""))</f>
        <v/>
      </c>
      <c r="R69">
        <f>IF(A69="","",ROUNDUP(MONTH(A69)/3,0))</f>
        <v/>
      </c>
      <c r="S69" s="3" t="n"/>
    </row>
    <row r="70">
      <c r="A70" s="2" t="n"/>
      <c r="B70" s="3" t="n"/>
      <c r="C70" s="3" t="n"/>
      <c r="D70" s="3" t="n"/>
      <c r="E70" s="4" t="n"/>
      <c r="F70" s="4" t="n"/>
      <c r="G70" s="4" t="n"/>
      <c r="H70" s="4" t="n"/>
      <c r="I70" s="5">
        <f>IF(E70="","",ROUND(E70*0.21,2))</f>
        <v/>
      </c>
      <c r="J70" s="5">
        <f>IF(F70="","",ROUND(F70*0.1,2))</f>
        <v/>
      </c>
      <c r="K70" s="5">
        <f>IF(G70="","",ROUND(G70*0.04,2))</f>
        <v/>
      </c>
      <c r="L70" s="4" t="n"/>
      <c r="M70" s="4" t="n"/>
      <c r="N70" s="5">
        <f>IF(A70="","",SUM(E70:K70)-N(L70))</f>
        <v/>
      </c>
      <c r="O70">
        <f>IF(OR(A70="",M70=""),"",IF(ABS(M70-N70)&lt;=0.02,"OK","REVISAR"))</f>
        <v/>
      </c>
      <c r="P70">
        <f>IF(D70="","",IF(LEN(TRIM(D70))&lt;&gt;9,"REVISAR",IFERROR(IF(OR(ISNUMBER(VALUE(LEFT(UPPER(TRIM(D70)),1))),LEFT(UPPER(TRIM(D70)),1)="X",LEFT(UPPER(TRIM(D70)),1)="Y",LEFT(UPPER(TRIM(D70)),1)="Z"),IF(MID("TRWAGMYFPDXBNJZSQVHLCKE",MOD(VALUE(SUBSTITUTE(SUBSTITUTE(SUBSTITUTE(LEFT(UPPER(TRIM(D70)),8),"X","0"),"Y","1"),"Z","2")),23)+1,1)=RIGHT(UPPER(TRIM(D70)),1),"OK","REVISAR"),IF(OR(RIGHT(UPPER(TRIM(D70)),1)=TEXT(MOD(10-MOD((VALUE(MID(UPPER(TRIM(D70)),3,1))+VALUE(MID(UPPER(TRIM(D70)),5,1))+VALUE(MID(UPPER(TRIM(D70)),7,1)))+(INT(2*VALUE(MID(UPPER(TRIM(D70)),2,1))/10)+MOD(2*VALUE(MID(UPPER(TRIM(D70)),2,1)),10))+(INT(2*VALUE(MID(UPPER(TRIM(D70)),4,1))/10)+MOD(2*VALUE(MID(UPPER(TRIM(D70)),4,1)),10))+(INT(2*VALUE(MID(UPPER(TRIM(D70)),6,1))/10)+MOD(2*VALUE(MID(UPPER(TRIM(D70)),6,1)),10))+(INT(2*VALUE(MID(UPPER(TRIM(D70)),8,1))/10)+MOD(2*VALUE(MID(UPPER(TRIM(D70)),8,1)),10)),10),10),"0"),RIGHT(UPPER(TRIM(D70)),1)=MID("JABCDEFGHI",MOD(10-MOD((VALUE(MID(UPPER(TRIM(D70)),3,1))+VALUE(MID(UPPER(TRIM(D70)),5,1))+VALUE(MID(UPPER(TRIM(D70)),7,1)))+(INT(2*VALUE(MID(UPPER(TRIM(D70)),2,1))/10)+MOD(2*VALUE(MID(UPPER(TRIM(D70)),2,1)),10))+(INT(2*VALUE(MID(UPPER(TRIM(D70)),4,1))/10)+MOD(2*VALUE(MID(UPPER(TRIM(D70)),4,1)),10))+(INT(2*VALUE(MID(UPPER(TRIM(D70)),6,1))/10)+MOD(2*VALUE(MID(UPPER(TRIM(D70)),6,1)),10))+(INT(2*VALUE(MID(UPPER(TRIM(D70)),8,1))/10)+MOD(2*VALUE(MID(UPPER(TRIM(D70)),8,1)),10)),10),10)+1,1)),"OK","REVISAR")),"REVISAR")))</f>
        <v/>
      </c>
      <c r="Q70">
        <f>IF(B70="","",IF(COUNTIFS($B$2:$B$501,B70,$D$2:$D$501,D70)&gt;1,"DUPLICADA",""))</f>
        <v/>
      </c>
      <c r="R70">
        <f>IF(A70="","",ROUNDUP(MONTH(A70)/3,0))</f>
        <v/>
      </c>
      <c r="S70" s="3" t="n"/>
    </row>
    <row r="71">
      <c r="A71" s="2" t="n"/>
      <c r="B71" s="3" t="n"/>
      <c r="C71" s="3" t="n"/>
      <c r="D71" s="3" t="n"/>
      <c r="E71" s="4" t="n"/>
      <c r="F71" s="4" t="n"/>
      <c r="G71" s="4" t="n"/>
      <c r="H71" s="4" t="n"/>
      <c r="I71" s="5">
        <f>IF(E71="","",ROUND(E71*0.21,2))</f>
        <v/>
      </c>
      <c r="J71" s="5">
        <f>IF(F71="","",ROUND(F71*0.1,2))</f>
        <v/>
      </c>
      <c r="K71" s="5">
        <f>IF(G71="","",ROUND(G71*0.04,2))</f>
        <v/>
      </c>
      <c r="L71" s="4" t="n"/>
      <c r="M71" s="4" t="n"/>
      <c r="N71" s="5">
        <f>IF(A71="","",SUM(E71:K71)-N(L71))</f>
        <v/>
      </c>
      <c r="O71">
        <f>IF(OR(A71="",M71=""),"",IF(ABS(M71-N71)&lt;=0.02,"OK","REVISAR"))</f>
        <v/>
      </c>
      <c r="P71">
        <f>IF(D71="","",IF(LEN(TRIM(D71))&lt;&gt;9,"REVISAR",IFERROR(IF(OR(ISNUMBER(VALUE(LEFT(UPPER(TRIM(D71)),1))),LEFT(UPPER(TRIM(D71)),1)="X",LEFT(UPPER(TRIM(D71)),1)="Y",LEFT(UPPER(TRIM(D71)),1)="Z"),IF(MID("TRWAGMYFPDXBNJZSQVHLCKE",MOD(VALUE(SUBSTITUTE(SUBSTITUTE(SUBSTITUTE(LEFT(UPPER(TRIM(D71)),8),"X","0"),"Y","1"),"Z","2")),23)+1,1)=RIGHT(UPPER(TRIM(D71)),1),"OK","REVISAR"),IF(OR(RIGHT(UPPER(TRIM(D71)),1)=TEXT(MOD(10-MOD((VALUE(MID(UPPER(TRIM(D71)),3,1))+VALUE(MID(UPPER(TRIM(D71)),5,1))+VALUE(MID(UPPER(TRIM(D71)),7,1)))+(INT(2*VALUE(MID(UPPER(TRIM(D71)),2,1))/10)+MOD(2*VALUE(MID(UPPER(TRIM(D71)),2,1)),10))+(INT(2*VALUE(MID(UPPER(TRIM(D71)),4,1))/10)+MOD(2*VALUE(MID(UPPER(TRIM(D71)),4,1)),10))+(INT(2*VALUE(MID(UPPER(TRIM(D71)),6,1))/10)+MOD(2*VALUE(MID(UPPER(TRIM(D71)),6,1)),10))+(INT(2*VALUE(MID(UPPER(TRIM(D71)),8,1))/10)+MOD(2*VALUE(MID(UPPER(TRIM(D71)),8,1)),10)),10),10),"0"),RIGHT(UPPER(TRIM(D71)),1)=MID("JABCDEFGHI",MOD(10-MOD((VALUE(MID(UPPER(TRIM(D71)),3,1))+VALUE(MID(UPPER(TRIM(D71)),5,1))+VALUE(MID(UPPER(TRIM(D71)),7,1)))+(INT(2*VALUE(MID(UPPER(TRIM(D71)),2,1))/10)+MOD(2*VALUE(MID(UPPER(TRIM(D71)),2,1)),10))+(INT(2*VALUE(MID(UPPER(TRIM(D71)),4,1))/10)+MOD(2*VALUE(MID(UPPER(TRIM(D71)),4,1)),10))+(INT(2*VALUE(MID(UPPER(TRIM(D71)),6,1))/10)+MOD(2*VALUE(MID(UPPER(TRIM(D71)),6,1)),10))+(INT(2*VALUE(MID(UPPER(TRIM(D71)),8,1))/10)+MOD(2*VALUE(MID(UPPER(TRIM(D71)),8,1)),10)),10),10)+1,1)),"OK","REVISAR")),"REVISAR")))</f>
        <v/>
      </c>
      <c r="Q71">
        <f>IF(B71="","",IF(COUNTIFS($B$2:$B$501,B71,$D$2:$D$501,D71)&gt;1,"DUPLICADA",""))</f>
        <v/>
      </c>
      <c r="R71">
        <f>IF(A71="","",ROUNDUP(MONTH(A71)/3,0))</f>
        <v/>
      </c>
      <c r="S71" s="3" t="n"/>
    </row>
    <row r="72">
      <c r="A72" s="2" t="n"/>
      <c r="B72" s="3" t="n"/>
      <c r="C72" s="3" t="n"/>
      <c r="D72" s="3" t="n"/>
      <c r="E72" s="4" t="n"/>
      <c r="F72" s="4" t="n"/>
      <c r="G72" s="4" t="n"/>
      <c r="H72" s="4" t="n"/>
      <c r="I72" s="5">
        <f>IF(E72="","",ROUND(E72*0.21,2))</f>
        <v/>
      </c>
      <c r="J72" s="5">
        <f>IF(F72="","",ROUND(F72*0.1,2))</f>
        <v/>
      </c>
      <c r="K72" s="5">
        <f>IF(G72="","",ROUND(G72*0.04,2))</f>
        <v/>
      </c>
      <c r="L72" s="4" t="n"/>
      <c r="M72" s="4" t="n"/>
      <c r="N72" s="5">
        <f>IF(A72="","",SUM(E72:K72)-N(L72))</f>
        <v/>
      </c>
      <c r="O72">
        <f>IF(OR(A72="",M72=""),"",IF(ABS(M72-N72)&lt;=0.02,"OK","REVISAR"))</f>
        <v/>
      </c>
      <c r="P72">
        <f>IF(D72="","",IF(LEN(TRIM(D72))&lt;&gt;9,"REVISAR",IFERROR(IF(OR(ISNUMBER(VALUE(LEFT(UPPER(TRIM(D72)),1))),LEFT(UPPER(TRIM(D72)),1)="X",LEFT(UPPER(TRIM(D72)),1)="Y",LEFT(UPPER(TRIM(D72)),1)="Z"),IF(MID("TRWAGMYFPDXBNJZSQVHLCKE",MOD(VALUE(SUBSTITUTE(SUBSTITUTE(SUBSTITUTE(LEFT(UPPER(TRIM(D72)),8),"X","0"),"Y","1"),"Z","2")),23)+1,1)=RIGHT(UPPER(TRIM(D72)),1),"OK","REVISAR"),IF(OR(RIGHT(UPPER(TRIM(D72)),1)=TEXT(MOD(10-MOD((VALUE(MID(UPPER(TRIM(D72)),3,1))+VALUE(MID(UPPER(TRIM(D72)),5,1))+VALUE(MID(UPPER(TRIM(D72)),7,1)))+(INT(2*VALUE(MID(UPPER(TRIM(D72)),2,1))/10)+MOD(2*VALUE(MID(UPPER(TRIM(D72)),2,1)),10))+(INT(2*VALUE(MID(UPPER(TRIM(D72)),4,1))/10)+MOD(2*VALUE(MID(UPPER(TRIM(D72)),4,1)),10))+(INT(2*VALUE(MID(UPPER(TRIM(D72)),6,1))/10)+MOD(2*VALUE(MID(UPPER(TRIM(D72)),6,1)),10))+(INT(2*VALUE(MID(UPPER(TRIM(D72)),8,1))/10)+MOD(2*VALUE(MID(UPPER(TRIM(D72)),8,1)),10)),10),10),"0"),RIGHT(UPPER(TRIM(D72)),1)=MID("JABCDEFGHI",MOD(10-MOD((VALUE(MID(UPPER(TRIM(D72)),3,1))+VALUE(MID(UPPER(TRIM(D72)),5,1))+VALUE(MID(UPPER(TRIM(D72)),7,1)))+(INT(2*VALUE(MID(UPPER(TRIM(D72)),2,1))/10)+MOD(2*VALUE(MID(UPPER(TRIM(D72)),2,1)),10))+(INT(2*VALUE(MID(UPPER(TRIM(D72)),4,1))/10)+MOD(2*VALUE(MID(UPPER(TRIM(D72)),4,1)),10))+(INT(2*VALUE(MID(UPPER(TRIM(D72)),6,1))/10)+MOD(2*VALUE(MID(UPPER(TRIM(D72)),6,1)),10))+(INT(2*VALUE(MID(UPPER(TRIM(D72)),8,1))/10)+MOD(2*VALUE(MID(UPPER(TRIM(D72)),8,1)),10)),10),10)+1,1)),"OK","REVISAR")),"REVISAR")))</f>
        <v/>
      </c>
      <c r="Q72">
        <f>IF(B72="","",IF(COUNTIFS($B$2:$B$501,B72,$D$2:$D$501,D72)&gt;1,"DUPLICADA",""))</f>
        <v/>
      </c>
      <c r="R72">
        <f>IF(A72="","",ROUNDUP(MONTH(A72)/3,0))</f>
        <v/>
      </c>
      <c r="S72" s="3" t="n"/>
    </row>
    <row r="73">
      <c r="A73" s="2" t="n"/>
      <c r="B73" s="3" t="n"/>
      <c r="C73" s="3" t="n"/>
      <c r="D73" s="3" t="n"/>
      <c r="E73" s="4" t="n"/>
      <c r="F73" s="4" t="n"/>
      <c r="G73" s="4" t="n"/>
      <c r="H73" s="4" t="n"/>
      <c r="I73" s="5">
        <f>IF(E73="","",ROUND(E73*0.21,2))</f>
        <v/>
      </c>
      <c r="J73" s="5">
        <f>IF(F73="","",ROUND(F73*0.1,2))</f>
        <v/>
      </c>
      <c r="K73" s="5">
        <f>IF(G73="","",ROUND(G73*0.04,2))</f>
        <v/>
      </c>
      <c r="L73" s="4" t="n"/>
      <c r="M73" s="4" t="n"/>
      <c r="N73" s="5">
        <f>IF(A73="","",SUM(E73:K73)-N(L73))</f>
        <v/>
      </c>
      <c r="O73">
        <f>IF(OR(A73="",M73=""),"",IF(ABS(M73-N73)&lt;=0.02,"OK","REVISAR"))</f>
        <v/>
      </c>
      <c r="P73">
        <f>IF(D73="","",IF(LEN(TRIM(D73))&lt;&gt;9,"REVISAR",IFERROR(IF(OR(ISNUMBER(VALUE(LEFT(UPPER(TRIM(D73)),1))),LEFT(UPPER(TRIM(D73)),1)="X",LEFT(UPPER(TRIM(D73)),1)="Y",LEFT(UPPER(TRIM(D73)),1)="Z"),IF(MID("TRWAGMYFPDXBNJZSQVHLCKE",MOD(VALUE(SUBSTITUTE(SUBSTITUTE(SUBSTITUTE(LEFT(UPPER(TRIM(D73)),8),"X","0"),"Y","1"),"Z","2")),23)+1,1)=RIGHT(UPPER(TRIM(D73)),1),"OK","REVISAR"),IF(OR(RIGHT(UPPER(TRIM(D73)),1)=TEXT(MOD(10-MOD((VALUE(MID(UPPER(TRIM(D73)),3,1))+VALUE(MID(UPPER(TRIM(D73)),5,1))+VALUE(MID(UPPER(TRIM(D73)),7,1)))+(INT(2*VALUE(MID(UPPER(TRIM(D73)),2,1))/10)+MOD(2*VALUE(MID(UPPER(TRIM(D73)),2,1)),10))+(INT(2*VALUE(MID(UPPER(TRIM(D73)),4,1))/10)+MOD(2*VALUE(MID(UPPER(TRIM(D73)),4,1)),10))+(INT(2*VALUE(MID(UPPER(TRIM(D73)),6,1))/10)+MOD(2*VALUE(MID(UPPER(TRIM(D73)),6,1)),10))+(INT(2*VALUE(MID(UPPER(TRIM(D73)),8,1))/10)+MOD(2*VALUE(MID(UPPER(TRIM(D73)),8,1)),10)),10),10),"0"),RIGHT(UPPER(TRIM(D73)),1)=MID("JABCDEFGHI",MOD(10-MOD((VALUE(MID(UPPER(TRIM(D73)),3,1))+VALUE(MID(UPPER(TRIM(D73)),5,1))+VALUE(MID(UPPER(TRIM(D73)),7,1)))+(INT(2*VALUE(MID(UPPER(TRIM(D73)),2,1))/10)+MOD(2*VALUE(MID(UPPER(TRIM(D73)),2,1)),10))+(INT(2*VALUE(MID(UPPER(TRIM(D73)),4,1))/10)+MOD(2*VALUE(MID(UPPER(TRIM(D73)),4,1)),10))+(INT(2*VALUE(MID(UPPER(TRIM(D73)),6,1))/10)+MOD(2*VALUE(MID(UPPER(TRIM(D73)),6,1)),10))+(INT(2*VALUE(MID(UPPER(TRIM(D73)),8,1))/10)+MOD(2*VALUE(MID(UPPER(TRIM(D73)),8,1)),10)),10),10)+1,1)),"OK","REVISAR")),"REVISAR")))</f>
        <v/>
      </c>
      <c r="Q73">
        <f>IF(B73="","",IF(COUNTIFS($B$2:$B$501,B73,$D$2:$D$501,D73)&gt;1,"DUPLICADA",""))</f>
        <v/>
      </c>
      <c r="R73">
        <f>IF(A73="","",ROUNDUP(MONTH(A73)/3,0))</f>
        <v/>
      </c>
      <c r="S73" s="3" t="n"/>
    </row>
    <row r="74">
      <c r="A74" s="2" t="n"/>
      <c r="B74" s="3" t="n"/>
      <c r="C74" s="3" t="n"/>
      <c r="D74" s="3" t="n"/>
      <c r="E74" s="4" t="n"/>
      <c r="F74" s="4" t="n"/>
      <c r="G74" s="4" t="n"/>
      <c r="H74" s="4" t="n"/>
      <c r="I74" s="5">
        <f>IF(E74="","",ROUND(E74*0.21,2))</f>
        <v/>
      </c>
      <c r="J74" s="5">
        <f>IF(F74="","",ROUND(F74*0.1,2))</f>
        <v/>
      </c>
      <c r="K74" s="5">
        <f>IF(G74="","",ROUND(G74*0.04,2))</f>
        <v/>
      </c>
      <c r="L74" s="4" t="n"/>
      <c r="M74" s="4" t="n"/>
      <c r="N74" s="5">
        <f>IF(A74="","",SUM(E74:K74)-N(L74))</f>
        <v/>
      </c>
      <c r="O74">
        <f>IF(OR(A74="",M74=""),"",IF(ABS(M74-N74)&lt;=0.02,"OK","REVISAR"))</f>
        <v/>
      </c>
      <c r="P74">
        <f>IF(D74="","",IF(LEN(TRIM(D74))&lt;&gt;9,"REVISAR",IFERROR(IF(OR(ISNUMBER(VALUE(LEFT(UPPER(TRIM(D74)),1))),LEFT(UPPER(TRIM(D74)),1)="X",LEFT(UPPER(TRIM(D74)),1)="Y",LEFT(UPPER(TRIM(D74)),1)="Z"),IF(MID("TRWAGMYFPDXBNJZSQVHLCKE",MOD(VALUE(SUBSTITUTE(SUBSTITUTE(SUBSTITUTE(LEFT(UPPER(TRIM(D74)),8),"X","0"),"Y","1"),"Z","2")),23)+1,1)=RIGHT(UPPER(TRIM(D74)),1),"OK","REVISAR"),IF(OR(RIGHT(UPPER(TRIM(D74)),1)=TEXT(MOD(10-MOD((VALUE(MID(UPPER(TRIM(D74)),3,1))+VALUE(MID(UPPER(TRIM(D74)),5,1))+VALUE(MID(UPPER(TRIM(D74)),7,1)))+(INT(2*VALUE(MID(UPPER(TRIM(D74)),2,1))/10)+MOD(2*VALUE(MID(UPPER(TRIM(D74)),2,1)),10))+(INT(2*VALUE(MID(UPPER(TRIM(D74)),4,1))/10)+MOD(2*VALUE(MID(UPPER(TRIM(D74)),4,1)),10))+(INT(2*VALUE(MID(UPPER(TRIM(D74)),6,1))/10)+MOD(2*VALUE(MID(UPPER(TRIM(D74)),6,1)),10))+(INT(2*VALUE(MID(UPPER(TRIM(D74)),8,1))/10)+MOD(2*VALUE(MID(UPPER(TRIM(D74)),8,1)),10)),10),10),"0"),RIGHT(UPPER(TRIM(D74)),1)=MID("JABCDEFGHI",MOD(10-MOD((VALUE(MID(UPPER(TRIM(D74)),3,1))+VALUE(MID(UPPER(TRIM(D74)),5,1))+VALUE(MID(UPPER(TRIM(D74)),7,1)))+(INT(2*VALUE(MID(UPPER(TRIM(D74)),2,1))/10)+MOD(2*VALUE(MID(UPPER(TRIM(D74)),2,1)),10))+(INT(2*VALUE(MID(UPPER(TRIM(D74)),4,1))/10)+MOD(2*VALUE(MID(UPPER(TRIM(D74)),4,1)),10))+(INT(2*VALUE(MID(UPPER(TRIM(D74)),6,1))/10)+MOD(2*VALUE(MID(UPPER(TRIM(D74)),6,1)),10))+(INT(2*VALUE(MID(UPPER(TRIM(D74)),8,1))/10)+MOD(2*VALUE(MID(UPPER(TRIM(D74)),8,1)),10)),10),10)+1,1)),"OK","REVISAR")),"REVISAR")))</f>
        <v/>
      </c>
      <c r="Q74">
        <f>IF(B74="","",IF(COUNTIFS($B$2:$B$501,B74,$D$2:$D$501,D74)&gt;1,"DUPLICADA",""))</f>
        <v/>
      </c>
      <c r="R74">
        <f>IF(A74="","",ROUNDUP(MONTH(A74)/3,0))</f>
        <v/>
      </c>
      <c r="S74" s="3" t="n"/>
    </row>
    <row r="75">
      <c r="A75" s="2" t="n"/>
      <c r="B75" s="3" t="n"/>
      <c r="C75" s="3" t="n"/>
      <c r="D75" s="3" t="n"/>
      <c r="E75" s="4" t="n"/>
      <c r="F75" s="4" t="n"/>
      <c r="G75" s="4" t="n"/>
      <c r="H75" s="4" t="n"/>
      <c r="I75" s="5">
        <f>IF(E75="","",ROUND(E75*0.21,2))</f>
        <v/>
      </c>
      <c r="J75" s="5">
        <f>IF(F75="","",ROUND(F75*0.1,2))</f>
        <v/>
      </c>
      <c r="K75" s="5">
        <f>IF(G75="","",ROUND(G75*0.04,2))</f>
        <v/>
      </c>
      <c r="L75" s="4" t="n"/>
      <c r="M75" s="4" t="n"/>
      <c r="N75" s="5">
        <f>IF(A75="","",SUM(E75:K75)-N(L75))</f>
        <v/>
      </c>
      <c r="O75">
        <f>IF(OR(A75="",M75=""),"",IF(ABS(M75-N75)&lt;=0.02,"OK","REVISAR"))</f>
        <v/>
      </c>
      <c r="P75">
        <f>IF(D75="","",IF(LEN(TRIM(D75))&lt;&gt;9,"REVISAR",IFERROR(IF(OR(ISNUMBER(VALUE(LEFT(UPPER(TRIM(D75)),1))),LEFT(UPPER(TRIM(D75)),1)="X",LEFT(UPPER(TRIM(D75)),1)="Y",LEFT(UPPER(TRIM(D75)),1)="Z"),IF(MID("TRWAGMYFPDXBNJZSQVHLCKE",MOD(VALUE(SUBSTITUTE(SUBSTITUTE(SUBSTITUTE(LEFT(UPPER(TRIM(D75)),8),"X","0"),"Y","1"),"Z","2")),23)+1,1)=RIGHT(UPPER(TRIM(D75)),1),"OK","REVISAR"),IF(OR(RIGHT(UPPER(TRIM(D75)),1)=TEXT(MOD(10-MOD((VALUE(MID(UPPER(TRIM(D75)),3,1))+VALUE(MID(UPPER(TRIM(D75)),5,1))+VALUE(MID(UPPER(TRIM(D75)),7,1)))+(INT(2*VALUE(MID(UPPER(TRIM(D75)),2,1))/10)+MOD(2*VALUE(MID(UPPER(TRIM(D75)),2,1)),10))+(INT(2*VALUE(MID(UPPER(TRIM(D75)),4,1))/10)+MOD(2*VALUE(MID(UPPER(TRIM(D75)),4,1)),10))+(INT(2*VALUE(MID(UPPER(TRIM(D75)),6,1))/10)+MOD(2*VALUE(MID(UPPER(TRIM(D75)),6,1)),10))+(INT(2*VALUE(MID(UPPER(TRIM(D75)),8,1))/10)+MOD(2*VALUE(MID(UPPER(TRIM(D75)),8,1)),10)),10),10),"0"),RIGHT(UPPER(TRIM(D75)),1)=MID("JABCDEFGHI",MOD(10-MOD((VALUE(MID(UPPER(TRIM(D75)),3,1))+VALUE(MID(UPPER(TRIM(D75)),5,1))+VALUE(MID(UPPER(TRIM(D75)),7,1)))+(INT(2*VALUE(MID(UPPER(TRIM(D75)),2,1))/10)+MOD(2*VALUE(MID(UPPER(TRIM(D75)),2,1)),10))+(INT(2*VALUE(MID(UPPER(TRIM(D75)),4,1))/10)+MOD(2*VALUE(MID(UPPER(TRIM(D75)),4,1)),10))+(INT(2*VALUE(MID(UPPER(TRIM(D75)),6,1))/10)+MOD(2*VALUE(MID(UPPER(TRIM(D75)),6,1)),10))+(INT(2*VALUE(MID(UPPER(TRIM(D75)),8,1))/10)+MOD(2*VALUE(MID(UPPER(TRIM(D75)),8,1)),10)),10),10)+1,1)),"OK","REVISAR")),"REVISAR")))</f>
        <v/>
      </c>
      <c r="Q75">
        <f>IF(B75="","",IF(COUNTIFS($B$2:$B$501,B75,$D$2:$D$501,D75)&gt;1,"DUPLICADA",""))</f>
        <v/>
      </c>
      <c r="R75">
        <f>IF(A75="","",ROUNDUP(MONTH(A75)/3,0))</f>
        <v/>
      </c>
      <c r="S75" s="3" t="n"/>
    </row>
    <row r="76">
      <c r="A76" s="2" t="n"/>
      <c r="B76" s="3" t="n"/>
      <c r="C76" s="3" t="n"/>
      <c r="D76" s="3" t="n"/>
      <c r="E76" s="4" t="n"/>
      <c r="F76" s="4" t="n"/>
      <c r="G76" s="4" t="n"/>
      <c r="H76" s="4" t="n"/>
      <c r="I76" s="5">
        <f>IF(E76="","",ROUND(E76*0.21,2))</f>
        <v/>
      </c>
      <c r="J76" s="5">
        <f>IF(F76="","",ROUND(F76*0.1,2))</f>
        <v/>
      </c>
      <c r="K76" s="5">
        <f>IF(G76="","",ROUND(G76*0.04,2))</f>
        <v/>
      </c>
      <c r="L76" s="4" t="n"/>
      <c r="M76" s="4" t="n"/>
      <c r="N76" s="5">
        <f>IF(A76="","",SUM(E76:K76)-N(L76))</f>
        <v/>
      </c>
      <c r="O76">
        <f>IF(OR(A76="",M76=""),"",IF(ABS(M76-N76)&lt;=0.02,"OK","REVISAR"))</f>
        <v/>
      </c>
      <c r="P76">
        <f>IF(D76="","",IF(LEN(TRIM(D76))&lt;&gt;9,"REVISAR",IFERROR(IF(OR(ISNUMBER(VALUE(LEFT(UPPER(TRIM(D76)),1))),LEFT(UPPER(TRIM(D76)),1)="X",LEFT(UPPER(TRIM(D76)),1)="Y",LEFT(UPPER(TRIM(D76)),1)="Z"),IF(MID("TRWAGMYFPDXBNJZSQVHLCKE",MOD(VALUE(SUBSTITUTE(SUBSTITUTE(SUBSTITUTE(LEFT(UPPER(TRIM(D76)),8),"X","0"),"Y","1"),"Z","2")),23)+1,1)=RIGHT(UPPER(TRIM(D76)),1),"OK","REVISAR"),IF(OR(RIGHT(UPPER(TRIM(D76)),1)=TEXT(MOD(10-MOD((VALUE(MID(UPPER(TRIM(D76)),3,1))+VALUE(MID(UPPER(TRIM(D76)),5,1))+VALUE(MID(UPPER(TRIM(D76)),7,1)))+(INT(2*VALUE(MID(UPPER(TRIM(D76)),2,1))/10)+MOD(2*VALUE(MID(UPPER(TRIM(D76)),2,1)),10))+(INT(2*VALUE(MID(UPPER(TRIM(D76)),4,1))/10)+MOD(2*VALUE(MID(UPPER(TRIM(D76)),4,1)),10))+(INT(2*VALUE(MID(UPPER(TRIM(D76)),6,1))/10)+MOD(2*VALUE(MID(UPPER(TRIM(D76)),6,1)),10))+(INT(2*VALUE(MID(UPPER(TRIM(D76)),8,1))/10)+MOD(2*VALUE(MID(UPPER(TRIM(D76)),8,1)),10)),10),10),"0"),RIGHT(UPPER(TRIM(D76)),1)=MID("JABCDEFGHI",MOD(10-MOD((VALUE(MID(UPPER(TRIM(D76)),3,1))+VALUE(MID(UPPER(TRIM(D76)),5,1))+VALUE(MID(UPPER(TRIM(D76)),7,1)))+(INT(2*VALUE(MID(UPPER(TRIM(D76)),2,1))/10)+MOD(2*VALUE(MID(UPPER(TRIM(D76)),2,1)),10))+(INT(2*VALUE(MID(UPPER(TRIM(D76)),4,1))/10)+MOD(2*VALUE(MID(UPPER(TRIM(D76)),4,1)),10))+(INT(2*VALUE(MID(UPPER(TRIM(D76)),6,1))/10)+MOD(2*VALUE(MID(UPPER(TRIM(D76)),6,1)),10))+(INT(2*VALUE(MID(UPPER(TRIM(D76)),8,1))/10)+MOD(2*VALUE(MID(UPPER(TRIM(D76)),8,1)),10)),10),10)+1,1)),"OK","REVISAR")),"REVISAR")))</f>
        <v/>
      </c>
      <c r="Q76">
        <f>IF(B76="","",IF(COUNTIFS($B$2:$B$501,B76,$D$2:$D$501,D76)&gt;1,"DUPLICADA",""))</f>
        <v/>
      </c>
      <c r="R76">
        <f>IF(A76="","",ROUNDUP(MONTH(A76)/3,0))</f>
        <v/>
      </c>
      <c r="S76" s="3" t="n"/>
    </row>
    <row r="77">
      <c r="A77" s="2" t="n"/>
      <c r="B77" s="3" t="n"/>
      <c r="C77" s="3" t="n"/>
      <c r="D77" s="3" t="n"/>
      <c r="E77" s="4" t="n"/>
      <c r="F77" s="4" t="n"/>
      <c r="G77" s="4" t="n"/>
      <c r="H77" s="4" t="n"/>
      <c r="I77" s="5">
        <f>IF(E77="","",ROUND(E77*0.21,2))</f>
        <v/>
      </c>
      <c r="J77" s="5">
        <f>IF(F77="","",ROUND(F77*0.1,2))</f>
        <v/>
      </c>
      <c r="K77" s="5">
        <f>IF(G77="","",ROUND(G77*0.04,2))</f>
        <v/>
      </c>
      <c r="L77" s="4" t="n"/>
      <c r="M77" s="4" t="n"/>
      <c r="N77" s="5">
        <f>IF(A77="","",SUM(E77:K77)-N(L77))</f>
        <v/>
      </c>
      <c r="O77">
        <f>IF(OR(A77="",M77=""),"",IF(ABS(M77-N77)&lt;=0.02,"OK","REVISAR"))</f>
        <v/>
      </c>
      <c r="P77">
        <f>IF(D77="","",IF(LEN(TRIM(D77))&lt;&gt;9,"REVISAR",IFERROR(IF(OR(ISNUMBER(VALUE(LEFT(UPPER(TRIM(D77)),1))),LEFT(UPPER(TRIM(D77)),1)="X",LEFT(UPPER(TRIM(D77)),1)="Y",LEFT(UPPER(TRIM(D77)),1)="Z"),IF(MID("TRWAGMYFPDXBNJZSQVHLCKE",MOD(VALUE(SUBSTITUTE(SUBSTITUTE(SUBSTITUTE(LEFT(UPPER(TRIM(D77)),8),"X","0"),"Y","1"),"Z","2")),23)+1,1)=RIGHT(UPPER(TRIM(D77)),1),"OK","REVISAR"),IF(OR(RIGHT(UPPER(TRIM(D77)),1)=TEXT(MOD(10-MOD((VALUE(MID(UPPER(TRIM(D77)),3,1))+VALUE(MID(UPPER(TRIM(D77)),5,1))+VALUE(MID(UPPER(TRIM(D77)),7,1)))+(INT(2*VALUE(MID(UPPER(TRIM(D77)),2,1))/10)+MOD(2*VALUE(MID(UPPER(TRIM(D77)),2,1)),10))+(INT(2*VALUE(MID(UPPER(TRIM(D77)),4,1))/10)+MOD(2*VALUE(MID(UPPER(TRIM(D77)),4,1)),10))+(INT(2*VALUE(MID(UPPER(TRIM(D77)),6,1))/10)+MOD(2*VALUE(MID(UPPER(TRIM(D77)),6,1)),10))+(INT(2*VALUE(MID(UPPER(TRIM(D77)),8,1))/10)+MOD(2*VALUE(MID(UPPER(TRIM(D77)),8,1)),10)),10),10),"0"),RIGHT(UPPER(TRIM(D77)),1)=MID("JABCDEFGHI",MOD(10-MOD((VALUE(MID(UPPER(TRIM(D77)),3,1))+VALUE(MID(UPPER(TRIM(D77)),5,1))+VALUE(MID(UPPER(TRIM(D77)),7,1)))+(INT(2*VALUE(MID(UPPER(TRIM(D77)),2,1))/10)+MOD(2*VALUE(MID(UPPER(TRIM(D77)),2,1)),10))+(INT(2*VALUE(MID(UPPER(TRIM(D77)),4,1))/10)+MOD(2*VALUE(MID(UPPER(TRIM(D77)),4,1)),10))+(INT(2*VALUE(MID(UPPER(TRIM(D77)),6,1))/10)+MOD(2*VALUE(MID(UPPER(TRIM(D77)),6,1)),10))+(INT(2*VALUE(MID(UPPER(TRIM(D77)),8,1))/10)+MOD(2*VALUE(MID(UPPER(TRIM(D77)),8,1)),10)),10),10)+1,1)),"OK","REVISAR")),"REVISAR")))</f>
        <v/>
      </c>
      <c r="Q77">
        <f>IF(B77="","",IF(COUNTIFS($B$2:$B$501,B77,$D$2:$D$501,D77)&gt;1,"DUPLICADA",""))</f>
        <v/>
      </c>
      <c r="R77">
        <f>IF(A77="","",ROUNDUP(MONTH(A77)/3,0))</f>
        <v/>
      </c>
      <c r="S77" s="3" t="n"/>
    </row>
    <row r="78">
      <c r="A78" s="2" t="n"/>
      <c r="B78" s="3" t="n"/>
      <c r="C78" s="3" t="n"/>
      <c r="D78" s="3" t="n"/>
      <c r="E78" s="4" t="n"/>
      <c r="F78" s="4" t="n"/>
      <c r="G78" s="4" t="n"/>
      <c r="H78" s="4" t="n"/>
      <c r="I78" s="5">
        <f>IF(E78="","",ROUND(E78*0.21,2))</f>
        <v/>
      </c>
      <c r="J78" s="5">
        <f>IF(F78="","",ROUND(F78*0.1,2))</f>
        <v/>
      </c>
      <c r="K78" s="5">
        <f>IF(G78="","",ROUND(G78*0.04,2))</f>
        <v/>
      </c>
      <c r="L78" s="4" t="n"/>
      <c r="M78" s="4" t="n"/>
      <c r="N78" s="5">
        <f>IF(A78="","",SUM(E78:K78)-N(L78))</f>
        <v/>
      </c>
      <c r="O78">
        <f>IF(OR(A78="",M78=""),"",IF(ABS(M78-N78)&lt;=0.02,"OK","REVISAR"))</f>
        <v/>
      </c>
      <c r="P78">
        <f>IF(D78="","",IF(LEN(TRIM(D78))&lt;&gt;9,"REVISAR",IFERROR(IF(OR(ISNUMBER(VALUE(LEFT(UPPER(TRIM(D78)),1))),LEFT(UPPER(TRIM(D78)),1)="X",LEFT(UPPER(TRIM(D78)),1)="Y",LEFT(UPPER(TRIM(D78)),1)="Z"),IF(MID("TRWAGMYFPDXBNJZSQVHLCKE",MOD(VALUE(SUBSTITUTE(SUBSTITUTE(SUBSTITUTE(LEFT(UPPER(TRIM(D78)),8),"X","0"),"Y","1"),"Z","2")),23)+1,1)=RIGHT(UPPER(TRIM(D78)),1),"OK","REVISAR"),IF(OR(RIGHT(UPPER(TRIM(D78)),1)=TEXT(MOD(10-MOD((VALUE(MID(UPPER(TRIM(D78)),3,1))+VALUE(MID(UPPER(TRIM(D78)),5,1))+VALUE(MID(UPPER(TRIM(D78)),7,1)))+(INT(2*VALUE(MID(UPPER(TRIM(D78)),2,1))/10)+MOD(2*VALUE(MID(UPPER(TRIM(D78)),2,1)),10))+(INT(2*VALUE(MID(UPPER(TRIM(D78)),4,1))/10)+MOD(2*VALUE(MID(UPPER(TRIM(D78)),4,1)),10))+(INT(2*VALUE(MID(UPPER(TRIM(D78)),6,1))/10)+MOD(2*VALUE(MID(UPPER(TRIM(D78)),6,1)),10))+(INT(2*VALUE(MID(UPPER(TRIM(D78)),8,1))/10)+MOD(2*VALUE(MID(UPPER(TRIM(D78)),8,1)),10)),10),10),"0"),RIGHT(UPPER(TRIM(D78)),1)=MID("JABCDEFGHI",MOD(10-MOD((VALUE(MID(UPPER(TRIM(D78)),3,1))+VALUE(MID(UPPER(TRIM(D78)),5,1))+VALUE(MID(UPPER(TRIM(D78)),7,1)))+(INT(2*VALUE(MID(UPPER(TRIM(D78)),2,1))/10)+MOD(2*VALUE(MID(UPPER(TRIM(D78)),2,1)),10))+(INT(2*VALUE(MID(UPPER(TRIM(D78)),4,1))/10)+MOD(2*VALUE(MID(UPPER(TRIM(D78)),4,1)),10))+(INT(2*VALUE(MID(UPPER(TRIM(D78)),6,1))/10)+MOD(2*VALUE(MID(UPPER(TRIM(D78)),6,1)),10))+(INT(2*VALUE(MID(UPPER(TRIM(D78)),8,1))/10)+MOD(2*VALUE(MID(UPPER(TRIM(D78)),8,1)),10)),10),10)+1,1)),"OK","REVISAR")),"REVISAR")))</f>
        <v/>
      </c>
      <c r="Q78">
        <f>IF(B78="","",IF(COUNTIFS($B$2:$B$501,B78,$D$2:$D$501,D78)&gt;1,"DUPLICADA",""))</f>
        <v/>
      </c>
      <c r="R78">
        <f>IF(A78="","",ROUNDUP(MONTH(A78)/3,0))</f>
        <v/>
      </c>
      <c r="S78" s="3" t="n"/>
    </row>
    <row r="79">
      <c r="A79" s="2" t="n"/>
      <c r="B79" s="3" t="n"/>
      <c r="C79" s="3" t="n"/>
      <c r="D79" s="3" t="n"/>
      <c r="E79" s="4" t="n"/>
      <c r="F79" s="4" t="n"/>
      <c r="G79" s="4" t="n"/>
      <c r="H79" s="4" t="n"/>
      <c r="I79" s="5">
        <f>IF(E79="","",ROUND(E79*0.21,2))</f>
        <v/>
      </c>
      <c r="J79" s="5">
        <f>IF(F79="","",ROUND(F79*0.1,2))</f>
        <v/>
      </c>
      <c r="K79" s="5">
        <f>IF(G79="","",ROUND(G79*0.04,2))</f>
        <v/>
      </c>
      <c r="L79" s="4" t="n"/>
      <c r="M79" s="4" t="n"/>
      <c r="N79" s="5">
        <f>IF(A79="","",SUM(E79:K79)-N(L79))</f>
        <v/>
      </c>
      <c r="O79">
        <f>IF(OR(A79="",M79=""),"",IF(ABS(M79-N79)&lt;=0.02,"OK","REVISAR"))</f>
        <v/>
      </c>
      <c r="P79">
        <f>IF(D79="","",IF(LEN(TRIM(D79))&lt;&gt;9,"REVISAR",IFERROR(IF(OR(ISNUMBER(VALUE(LEFT(UPPER(TRIM(D79)),1))),LEFT(UPPER(TRIM(D79)),1)="X",LEFT(UPPER(TRIM(D79)),1)="Y",LEFT(UPPER(TRIM(D79)),1)="Z"),IF(MID("TRWAGMYFPDXBNJZSQVHLCKE",MOD(VALUE(SUBSTITUTE(SUBSTITUTE(SUBSTITUTE(LEFT(UPPER(TRIM(D79)),8),"X","0"),"Y","1"),"Z","2")),23)+1,1)=RIGHT(UPPER(TRIM(D79)),1),"OK","REVISAR"),IF(OR(RIGHT(UPPER(TRIM(D79)),1)=TEXT(MOD(10-MOD((VALUE(MID(UPPER(TRIM(D79)),3,1))+VALUE(MID(UPPER(TRIM(D79)),5,1))+VALUE(MID(UPPER(TRIM(D79)),7,1)))+(INT(2*VALUE(MID(UPPER(TRIM(D79)),2,1))/10)+MOD(2*VALUE(MID(UPPER(TRIM(D79)),2,1)),10))+(INT(2*VALUE(MID(UPPER(TRIM(D79)),4,1))/10)+MOD(2*VALUE(MID(UPPER(TRIM(D79)),4,1)),10))+(INT(2*VALUE(MID(UPPER(TRIM(D79)),6,1))/10)+MOD(2*VALUE(MID(UPPER(TRIM(D79)),6,1)),10))+(INT(2*VALUE(MID(UPPER(TRIM(D79)),8,1))/10)+MOD(2*VALUE(MID(UPPER(TRIM(D79)),8,1)),10)),10),10),"0"),RIGHT(UPPER(TRIM(D79)),1)=MID("JABCDEFGHI",MOD(10-MOD((VALUE(MID(UPPER(TRIM(D79)),3,1))+VALUE(MID(UPPER(TRIM(D79)),5,1))+VALUE(MID(UPPER(TRIM(D79)),7,1)))+(INT(2*VALUE(MID(UPPER(TRIM(D79)),2,1))/10)+MOD(2*VALUE(MID(UPPER(TRIM(D79)),2,1)),10))+(INT(2*VALUE(MID(UPPER(TRIM(D79)),4,1))/10)+MOD(2*VALUE(MID(UPPER(TRIM(D79)),4,1)),10))+(INT(2*VALUE(MID(UPPER(TRIM(D79)),6,1))/10)+MOD(2*VALUE(MID(UPPER(TRIM(D79)),6,1)),10))+(INT(2*VALUE(MID(UPPER(TRIM(D79)),8,1))/10)+MOD(2*VALUE(MID(UPPER(TRIM(D79)),8,1)),10)),10),10)+1,1)),"OK","REVISAR")),"REVISAR")))</f>
        <v/>
      </c>
      <c r="Q79">
        <f>IF(B79="","",IF(COUNTIFS($B$2:$B$501,B79,$D$2:$D$501,D79)&gt;1,"DUPLICADA",""))</f>
        <v/>
      </c>
      <c r="R79">
        <f>IF(A79="","",ROUNDUP(MONTH(A79)/3,0))</f>
        <v/>
      </c>
      <c r="S79" s="3" t="n"/>
    </row>
    <row r="80">
      <c r="A80" s="2" t="n"/>
      <c r="B80" s="3" t="n"/>
      <c r="C80" s="3" t="n"/>
      <c r="D80" s="3" t="n"/>
      <c r="E80" s="4" t="n"/>
      <c r="F80" s="4" t="n"/>
      <c r="G80" s="4" t="n"/>
      <c r="H80" s="4" t="n"/>
      <c r="I80" s="5">
        <f>IF(E80="","",ROUND(E80*0.21,2))</f>
        <v/>
      </c>
      <c r="J80" s="5">
        <f>IF(F80="","",ROUND(F80*0.1,2))</f>
        <v/>
      </c>
      <c r="K80" s="5">
        <f>IF(G80="","",ROUND(G80*0.04,2))</f>
        <v/>
      </c>
      <c r="L80" s="4" t="n"/>
      <c r="M80" s="4" t="n"/>
      <c r="N80" s="5">
        <f>IF(A80="","",SUM(E80:K80)-N(L80))</f>
        <v/>
      </c>
      <c r="O80">
        <f>IF(OR(A80="",M80=""),"",IF(ABS(M80-N80)&lt;=0.02,"OK","REVISAR"))</f>
        <v/>
      </c>
      <c r="P80">
        <f>IF(D80="","",IF(LEN(TRIM(D80))&lt;&gt;9,"REVISAR",IFERROR(IF(OR(ISNUMBER(VALUE(LEFT(UPPER(TRIM(D80)),1))),LEFT(UPPER(TRIM(D80)),1)="X",LEFT(UPPER(TRIM(D80)),1)="Y",LEFT(UPPER(TRIM(D80)),1)="Z"),IF(MID("TRWAGMYFPDXBNJZSQVHLCKE",MOD(VALUE(SUBSTITUTE(SUBSTITUTE(SUBSTITUTE(LEFT(UPPER(TRIM(D80)),8),"X","0"),"Y","1"),"Z","2")),23)+1,1)=RIGHT(UPPER(TRIM(D80)),1),"OK","REVISAR"),IF(OR(RIGHT(UPPER(TRIM(D80)),1)=TEXT(MOD(10-MOD((VALUE(MID(UPPER(TRIM(D80)),3,1))+VALUE(MID(UPPER(TRIM(D80)),5,1))+VALUE(MID(UPPER(TRIM(D80)),7,1)))+(INT(2*VALUE(MID(UPPER(TRIM(D80)),2,1))/10)+MOD(2*VALUE(MID(UPPER(TRIM(D80)),2,1)),10))+(INT(2*VALUE(MID(UPPER(TRIM(D80)),4,1))/10)+MOD(2*VALUE(MID(UPPER(TRIM(D80)),4,1)),10))+(INT(2*VALUE(MID(UPPER(TRIM(D80)),6,1))/10)+MOD(2*VALUE(MID(UPPER(TRIM(D80)),6,1)),10))+(INT(2*VALUE(MID(UPPER(TRIM(D80)),8,1))/10)+MOD(2*VALUE(MID(UPPER(TRIM(D80)),8,1)),10)),10),10),"0"),RIGHT(UPPER(TRIM(D80)),1)=MID("JABCDEFGHI",MOD(10-MOD((VALUE(MID(UPPER(TRIM(D80)),3,1))+VALUE(MID(UPPER(TRIM(D80)),5,1))+VALUE(MID(UPPER(TRIM(D80)),7,1)))+(INT(2*VALUE(MID(UPPER(TRIM(D80)),2,1))/10)+MOD(2*VALUE(MID(UPPER(TRIM(D80)),2,1)),10))+(INT(2*VALUE(MID(UPPER(TRIM(D80)),4,1))/10)+MOD(2*VALUE(MID(UPPER(TRIM(D80)),4,1)),10))+(INT(2*VALUE(MID(UPPER(TRIM(D80)),6,1))/10)+MOD(2*VALUE(MID(UPPER(TRIM(D80)),6,1)),10))+(INT(2*VALUE(MID(UPPER(TRIM(D80)),8,1))/10)+MOD(2*VALUE(MID(UPPER(TRIM(D80)),8,1)),10)),10),10)+1,1)),"OK","REVISAR")),"REVISAR")))</f>
        <v/>
      </c>
      <c r="Q80">
        <f>IF(B80="","",IF(COUNTIFS($B$2:$B$501,B80,$D$2:$D$501,D80)&gt;1,"DUPLICADA",""))</f>
        <v/>
      </c>
      <c r="R80">
        <f>IF(A80="","",ROUNDUP(MONTH(A80)/3,0))</f>
        <v/>
      </c>
      <c r="S80" s="3" t="n"/>
    </row>
    <row r="81">
      <c r="A81" s="2" t="n"/>
      <c r="B81" s="3" t="n"/>
      <c r="C81" s="3" t="n"/>
      <c r="D81" s="3" t="n"/>
      <c r="E81" s="4" t="n"/>
      <c r="F81" s="4" t="n"/>
      <c r="G81" s="4" t="n"/>
      <c r="H81" s="4" t="n"/>
      <c r="I81" s="5">
        <f>IF(E81="","",ROUND(E81*0.21,2))</f>
        <v/>
      </c>
      <c r="J81" s="5">
        <f>IF(F81="","",ROUND(F81*0.1,2))</f>
        <v/>
      </c>
      <c r="K81" s="5">
        <f>IF(G81="","",ROUND(G81*0.04,2))</f>
        <v/>
      </c>
      <c r="L81" s="4" t="n"/>
      <c r="M81" s="4" t="n"/>
      <c r="N81" s="5">
        <f>IF(A81="","",SUM(E81:K81)-N(L81))</f>
        <v/>
      </c>
      <c r="O81">
        <f>IF(OR(A81="",M81=""),"",IF(ABS(M81-N81)&lt;=0.02,"OK","REVISAR"))</f>
        <v/>
      </c>
      <c r="P81">
        <f>IF(D81="","",IF(LEN(TRIM(D81))&lt;&gt;9,"REVISAR",IFERROR(IF(OR(ISNUMBER(VALUE(LEFT(UPPER(TRIM(D81)),1))),LEFT(UPPER(TRIM(D81)),1)="X",LEFT(UPPER(TRIM(D81)),1)="Y",LEFT(UPPER(TRIM(D81)),1)="Z"),IF(MID("TRWAGMYFPDXBNJZSQVHLCKE",MOD(VALUE(SUBSTITUTE(SUBSTITUTE(SUBSTITUTE(LEFT(UPPER(TRIM(D81)),8),"X","0"),"Y","1"),"Z","2")),23)+1,1)=RIGHT(UPPER(TRIM(D81)),1),"OK","REVISAR"),IF(OR(RIGHT(UPPER(TRIM(D81)),1)=TEXT(MOD(10-MOD((VALUE(MID(UPPER(TRIM(D81)),3,1))+VALUE(MID(UPPER(TRIM(D81)),5,1))+VALUE(MID(UPPER(TRIM(D81)),7,1)))+(INT(2*VALUE(MID(UPPER(TRIM(D81)),2,1))/10)+MOD(2*VALUE(MID(UPPER(TRIM(D81)),2,1)),10))+(INT(2*VALUE(MID(UPPER(TRIM(D81)),4,1))/10)+MOD(2*VALUE(MID(UPPER(TRIM(D81)),4,1)),10))+(INT(2*VALUE(MID(UPPER(TRIM(D81)),6,1))/10)+MOD(2*VALUE(MID(UPPER(TRIM(D81)),6,1)),10))+(INT(2*VALUE(MID(UPPER(TRIM(D81)),8,1))/10)+MOD(2*VALUE(MID(UPPER(TRIM(D81)),8,1)),10)),10),10),"0"),RIGHT(UPPER(TRIM(D81)),1)=MID("JABCDEFGHI",MOD(10-MOD((VALUE(MID(UPPER(TRIM(D81)),3,1))+VALUE(MID(UPPER(TRIM(D81)),5,1))+VALUE(MID(UPPER(TRIM(D81)),7,1)))+(INT(2*VALUE(MID(UPPER(TRIM(D81)),2,1))/10)+MOD(2*VALUE(MID(UPPER(TRIM(D81)),2,1)),10))+(INT(2*VALUE(MID(UPPER(TRIM(D81)),4,1))/10)+MOD(2*VALUE(MID(UPPER(TRIM(D81)),4,1)),10))+(INT(2*VALUE(MID(UPPER(TRIM(D81)),6,1))/10)+MOD(2*VALUE(MID(UPPER(TRIM(D81)),6,1)),10))+(INT(2*VALUE(MID(UPPER(TRIM(D81)),8,1))/10)+MOD(2*VALUE(MID(UPPER(TRIM(D81)),8,1)),10)),10),10)+1,1)),"OK","REVISAR")),"REVISAR")))</f>
        <v/>
      </c>
      <c r="Q81">
        <f>IF(B81="","",IF(COUNTIFS($B$2:$B$501,B81,$D$2:$D$501,D81)&gt;1,"DUPLICADA",""))</f>
        <v/>
      </c>
      <c r="R81">
        <f>IF(A81="","",ROUNDUP(MONTH(A81)/3,0))</f>
        <v/>
      </c>
      <c r="S81" s="3" t="n"/>
    </row>
    <row r="82">
      <c r="A82" s="2" t="n"/>
      <c r="B82" s="3" t="n"/>
      <c r="C82" s="3" t="n"/>
      <c r="D82" s="3" t="n"/>
      <c r="E82" s="4" t="n"/>
      <c r="F82" s="4" t="n"/>
      <c r="G82" s="4" t="n"/>
      <c r="H82" s="4" t="n"/>
      <c r="I82" s="5">
        <f>IF(E82="","",ROUND(E82*0.21,2))</f>
        <v/>
      </c>
      <c r="J82" s="5">
        <f>IF(F82="","",ROUND(F82*0.1,2))</f>
        <v/>
      </c>
      <c r="K82" s="5">
        <f>IF(G82="","",ROUND(G82*0.04,2))</f>
        <v/>
      </c>
      <c r="L82" s="4" t="n"/>
      <c r="M82" s="4" t="n"/>
      <c r="N82" s="5">
        <f>IF(A82="","",SUM(E82:K82)-N(L82))</f>
        <v/>
      </c>
      <c r="O82">
        <f>IF(OR(A82="",M82=""),"",IF(ABS(M82-N82)&lt;=0.02,"OK","REVISAR"))</f>
        <v/>
      </c>
      <c r="P82">
        <f>IF(D82="","",IF(LEN(TRIM(D82))&lt;&gt;9,"REVISAR",IFERROR(IF(OR(ISNUMBER(VALUE(LEFT(UPPER(TRIM(D82)),1))),LEFT(UPPER(TRIM(D82)),1)="X",LEFT(UPPER(TRIM(D82)),1)="Y",LEFT(UPPER(TRIM(D82)),1)="Z"),IF(MID("TRWAGMYFPDXBNJZSQVHLCKE",MOD(VALUE(SUBSTITUTE(SUBSTITUTE(SUBSTITUTE(LEFT(UPPER(TRIM(D82)),8),"X","0"),"Y","1"),"Z","2")),23)+1,1)=RIGHT(UPPER(TRIM(D82)),1),"OK","REVISAR"),IF(OR(RIGHT(UPPER(TRIM(D82)),1)=TEXT(MOD(10-MOD((VALUE(MID(UPPER(TRIM(D82)),3,1))+VALUE(MID(UPPER(TRIM(D82)),5,1))+VALUE(MID(UPPER(TRIM(D82)),7,1)))+(INT(2*VALUE(MID(UPPER(TRIM(D82)),2,1))/10)+MOD(2*VALUE(MID(UPPER(TRIM(D82)),2,1)),10))+(INT(2*VALUE(MID(UPPER(TRIM(D82)),4,1))/10)+MOD(2*VALUE(MID(UPPER(TRIM(D82)),4,1)),10))+(INT(2*VALUE(MID(UPPER(TRIM(D82)),6,1))/10)+MOD(2*VALUE(MID(UPPER(TRIM(D82)),6,1)),10))+(INT(2*VALUE(MID(UPPER(TRIM(D82)),8,1))/10)+MOD(2*VALUE(MID(UPPER(TRIM(D82)),8,1)),10)),10),10),"0"),RIGHT(UPPER(TRIM(D82)),1)=MID("JABCDEFGHI",MOD(10-MOD((VALUE(MID(UPPER(TRIM(D82)),3,1))+VALUE(MID(UPPER(TRIM(D82)),5,1))+VALUE(MID(UPPER(TRIM(D82)),7,1)))+(INT(2*VALUE(MID(UPPER(TRIM(D82)),2,1))/10)+MOD(2*VALUE(MID(UPPER(TRIM(D82)),2,1)),10))+(INT(2*VALUE(MID(UPPER(TRIM(D82)),4,1))/10)+MOD(2*VALUE(MID(UPPER(TRIM(D82)),4,1)),10))+(INT(2*VALUE(MID(UPPER(TRIM(D82)),6,1))/10)+MOD(2*VALUE(MID(UPPER(TRIM(D82)),6,1)),10))+(INT(2*VALUE(MID(UPPER(TRIM(D82)),8,1))/10)+MOD(2*VALUE(MID(UPPER(TRIM(D82)),8,1)),10)),10),10)+1,1)),"OK","REVISAR")),"REVISAR")))</f>
        <v/>
      </c>
      <c r="Q82">
        <f>IF(B82="","",IF(COUNTIFS($B$2:$B$501,B82,$D$2:$D$501,D82)&gt;1,"DUPLICADA",""))</f>
        <v/>
      </c>
      <c r="R82">
        <f>IF(A82="","",ROUNDUP(MONTH(A82)/3,0))</f>
        <v/>
      </c>
      <c r="S82" s="3" t="n"/>
    </row>
    <row r="83">
      <c r="A83" s="2" t="n"/>
      <c r="B83" s="3" t="n"/>
      <c r="C83" s="3" t="n"/>
      <c r="D83" s="3" t="n"/>
      <c r="E83" s="4" t="n"/>
      <c r="F83" s="4" t="n"/>
      <c r="G83" s="4" t="n"/>
      <c r="H83" s="4" t="n"/>
      <c r="I83" s="5">
        <f>IF(E83="","",ROUND(E83*0.21,2))</f>
        <v/>
      </c>
      <c r="J83" s="5">
        <f>IF(F83="","",ROUND(F83*0.1,2))</f>
        <v/>
      </c>
      <c r="K83" s="5">
        <f>IF(G83="","",ROUND(G83*0.04,2))</f>
        <v/>
      </c>
      <c r="L83" s="4" t="n"/>
      <c r="M83" s="4" t="n"/>
      <c r="N83" s="5">
        <f>IF(A83="","",SUM(E83:K83)-N(L83))</f>
        <v/>
      </c>
      <c r="O83">
        <f>IF(OR(A83="",M83=""),"",IF(ABS(M83-N83)&lt;=0.02,"OK","REVISAR"))</f>
        <v/>
      </c>
      <c r="P83">
        <f>IF(D83="","",IF(LEN(TRIM(D83))&lt;&gt;9,"REVISAR",IFERROR(IF(OR(ISNUMBER(VALUE(LEFT(UPPER(TRIM(D83)),1))),LEFT(UPPER(TRIM(D83)),1)="X",LEFT(UPPER(TRIM(D83)),1)="Y",LEFT(UPPER(TRIM(D83)),1)="Z"),IF(MID("TRWAGMYFPDXBNJZSQVHLCKE",MOD(VALUE(SUBSTITUTE(SUBSTITUTE(SUBSTITUTE(LEFT(UPPER(TRIM(D83)),8),"X","0"),"Y","1"),"Z","2")),23)+1,1)=RIGHT(UPPER(TRIM(D83)),1),"OK","REVISAR"),IF(OR(RIGHT(UPPER(TRIM(D83)),1)=TEXT(MOD(10-MOD((VALUE(MID(UPPER(TRIM(D83)),3,1))+VALUE(MID(UPPER(TRIM(D83)),5,1))+VALUE(MID(UPPER(TRIM(D83)),7,1)))+(INT(2*VALUE(MID(UPPER(TRIM(D83)),2,1))/10)+MOD(2*VALUE(MID(UPPER(TRIM(D83)),2,1)),10))+(INT(2*VALUE(MID(UPPER(TRIM(D83)),4,1))/10)+MOD(2*VALUE(MID(UPPER(TRIM(D83)),4,1)),10))+(INT(2*VALUE(MID(UPPER(TRIM(D83)),6,1))/10)+MOD(2*VALUE(MID(UPPER(TRIM(D83)),6,1)),10))+(INT(2*VALUE(MID(UPPER(TRIM(D83)),8,1))/10)+MOD(2*VALUE(MID(UPPER(TRIM(D83)),8,1)),10)),10),10),"0"),RIGHT(UPPER(TRIM(D83)),1)=MID("JABCDEFGHI",MOD(10-MOD((VALUE(MID(UPPER(TRIM(D83)),3,1))+VALUE(MID(UPPER(TRIM(D83)),5,1))+VALUE(MID(UPPER(TRIM(D83)),7,1)))+(INT(2*VALUE(MID(UPPER(TRIM(D83)),2,1))/10)+MOD(2*VALUE(MID(UPPER(TRIM(D83)),2,1)),10))+(INT(2*VALUE(MID(UPPER(TRIM(D83)),4,1))/10)+MOD(2*VALUE(MID(UPPER(TRIM(D83)),4,1)),10))+(INT(2*VALUE(MID(UPPER(TRIM(D83)),6,1))/10)+MOD(2*VALUE(MID(UPPER(TRIM(D83)),6,1)),10))+(INT(2*VALUE(MID(UPPER(TRIM(D83)),8,1))/10)+MOD(2*VALUE(MID(UPPER(TRIM(D83)),8,1)),10)),10),10)+1,1)),"OK","REVISAR")),"REVISAR")))</f>
        <v/>
      </c>
      <c r="Q83">
        <f>IF(B83="","",IF(COUNTIFS($B$2:$B$501,B83,$D$2:$D$501,D83)&gt;1,"DUPLICADA",""))</f>
        <v/>
      </c>
      <c r="R83">
        <f>IF(A83="","",ROUNDUP(MONTH(A83)/3,0))</f>
        <v/>
      </c>
      <c r="S83" s="3" t="n"/>
    </row>
    <row r="84">
      <c r="A84" s="2" t="n"/>
      <c r="B84" s="3" t="n"/>
      <c r="C84" s="3" t="n"/>
      <c r="D84" s="3" t="n"/>
      <c r="E84" s="4" t="n"/>
      <c r="F84" s="4" t="n"/>
      <c r="G84" s="4" t="n"/>
      <c r="H84" s="4" t="n"/>
      <c r="I84" s="5">
        <f>IF(E84="","",ROUND(E84*0.21,2))</f>
        <v/>
      </c>
      <c r="J84" s="5">
        <f>IF(F84="","",ROUND(F84*0.1,2))</f>
        <v/>
      </c>
      <c r="K84" s="5">
        <f>IF(G84="","",ROUND(G84*0.04,2))</f>
        <v/>
      </c>
      <c r="L84" s="4" t="n"/>
      <c r="M84" s="4" t="n"/>
      <c r="N84" s="5">
        <f>IF(A84="","",SUM(E84:K84)-N(L84))</f>
        <v/>
      </c>
      <c r="O84">
        <f>IF(OR(A84="",M84=""),"",IF(ABS(M84-N84)&lt;=0.02,"OK","REVISAR"))</f>
        <v/>
      </c>
      <c r="P84">
        <f>IF(D84="","",IF(LEN(TRIM(D84))&lt;&gt;9,"REVISAR",IFERROR(IF(OR(ISNUMBER(VALUE(LEFT(UPPER(TRIM(D84)),1))),LEFT(UPPER(TRIM(D84)),1)="X",LEFT(UPPER(TRIM(D84)),1)="Y",LEFT(UPPER(TRIM(D84)),1)="Z"),IF(MID("TRWAGMYFPDXBNJZSQVHLCKE",MOD(VALUE(SUBSTITUTE(SUBSTITUTE(SUBSTITUTE(LEFT(UPPER(TRIM(D84)),8),"X","0"),"Y","1"),"Z","2")),23)+1,1)=RIGHT(UPPER(TRIM(D84)),1),"OK","REVISAR"),IF(OR(RIGHT(UPPER(TRIM(D84)),1)=TEXT(MOD(10-MOD((VALUE(MID(UPPER(TRIM(D84)),3,1))+VALUE(MID(UPPER(TRIM(D84)),5,1))+VALUE(MID(UPPER(TRIM(D84)),7,1)))+(INT(2*VALUE(MID(UPPER(TRIM(D84)),2,1))/10)+MOD(2*VALUE(MID(UPPER(TRIM(D84)),2,1)),10))+(INT(2*VALUE(MID(UPPER(TRIM(D84)),4,1))/10)+MOD(2*VALUE(MID(UPPER(TRIM(D84)),4,1)),10))+(INT(2*VALUE(MID(UPPER(TRIM(D84)),6,1))/10)+MOD(2*VALUE(MID(UPPER(TRIM(D84)),6,1)),10))+(INT(2*VALUE(MID(UPPER(TRIM(D84)),8,1))/10)+MOD(2*VALUE(MID(UPPER(TRIM(D84)),8,1)),10)),10),10),"0"),RIGHT(UPPER(TRIM(D84)),1)=MID("JABCDEFGHI",MOD(10-MOD((VALUE(MID(UPPER(TRIM(D84)),3,1))+VALUE(MID(UPPER(TRIM(D84)),5,1))+VALUE(MID(UPPER(TRIM(D84)),7,1)))+(INT(2*VALUE(MID(UPPER(TRIM(D84)),2,1))/10)+MOD(2*VALUE(MID(UPPER(TRIM(D84)),2,1)),10))+(INT(2*VALUE(MID(UPPER(TRIM(D84)),4,1))/10)+MOD(2*VALUE(MID(UPPER(TRIM(D84)),4,1)),10))+(INT(2*VALUE(MID(UPPER(TRIM(D84)),6,1))/10)+MOD(2*VALUE(MID(UPPER(TRIM(D84)),6,1)),10))+(INT(2*VALUE(MID(UPPER(TRIM(D84)),8,1))/10)+MOD(2*VALUE(MID(UPPER(TRIM(D84)),8,1)),10)),10),10)+1,1)),"OK","REVISAR")),"REVISAR")))</f>
        <v/>
      </c>
      <c r="Q84">
        <f>IF(B84="","",IF(COUNTIFS($B$2:$B$501,B84,$D$2:$D$501,D84)&gt;1,"DUPLICADA",""))</f>
        <v/>
      </c>
      <c r="R84">
        <f>IF(A84="","",ROUNDUP(MONTH(A84)/3,0))</f>
        <v/>
      </c>
      <c r="S84" s="3" t="n"/>
    </row>
    <row r="85">
      <c r="A85" s="2" t="n"/>
      <c r="B85" s="3" t="n"/>
      <c r="C85" s="3" t="n"/>
      <c r="D85" s="3" t="n"/>
      <c r="E85" s="4" t="n"/>
      <c r="F85" s="4" t="n"/>
      <c r="G85" s="4" t="n"/>
      <c r="H85" s="4" t="n"/>
      <c r="I85" s="5">
        <f>IF(E85="","",ROUND(E85*0.21,2))</f>
        <v/>
      </c>
      <c r="J85" s="5">
        <f>IF(F85="","",ROUND(F85*0.1,2))</f>
        <v/>
      </c>
      <c r="K85" s="5">
        <f>IF(G85="","",ROUND(G85*0.04,2))</f>
        <v/>
      </c>
      <c r="L85" s="4" t="n"/>
      <c r="M85" s="4" t="n"/>
      <c r="N85" s="5">
        <f>IF(A85="","",SUM(E85:K85)-N(L85))</f>
        <v/>
      </c>
      <c r="O85">
        <f>IF(OR(A85="",M85=""),"",IF(ABS(M85-N85)&lt;=0.02,"OK","REVISAR"))</f>
        <v/>
      </c>
      <c r="P85">
        <f>IF(D85="","",IF(LEN(TRIM(D85))&lt;&gt;9,"REVISAR",IFERROR(IF(OR(ISNUMBER(VALUE(LEFT(UPPER(TRIM(D85)),1))),LEFT(UPPER(TRIM(D85)),1)="X",LEFT(UPPER(TRIM(D85)),1)="Y",LEFT(UPPER(TRIM(D85)),1)="Z"),IF(MID("TRWAGMYFPDXBNJZSQVHLCKE",MOD(VALUE(SUBSTITUTE(SUBSTITUTE(SUBSTITUTE(LEFT(UPPER(TRIM(D85)),8),"X","0"),"Y","1"),"Z","2")),23)+1,1)=RIGHT(UPPER(TRIM(D85)),1),"OK","REVISAR"),IF(OR(RIGHT(UPPER(TRIM(D85)),1)=TEXT(MOD(10-MOD((VALUE(MID(UPPER(TRIM(D85)),3,1))+VALUE(MID(UPPER(TRIM(D85)),5,1))+VALUE(MID(UPPER(TRIM(D85)),7,1)))+(INT(2*VALUE(MID(UPPER(TRIM(D85)),2,1))/10)+MOD(2*VALUE(MID(UPPER(TRIM(D85)),2,1)),10))+(INT(2*VALUE(MID(UPPER(TRIM(D85)),4,1))/10)+MOD(2*VALUE(MID(UPPER(TRIM(D85)),4,1)),10))+(INT(2*VALUE(MID(UPPER(TRIM(D85)),6,1))/10)+MOD(2*VALUE(MID(UPPER(TRIM(D85)),6,1)),10))+(INT(2*VALUE(MID(UPPER(TRIM(D85)),8,1))/10)+MOD(2*VALUE(MID(UPPER(TRIM(D85)),8,1)),10)),10),10),"0"),RIGHT(UPPER(TRIM(D85)),1)=MID("JABCDEFGHI",MOD(10-MOD((VALUE(MID(UPPER(TRIM(D85)),3,1))+VALUE(MID(UPPER(TRIM(D85)),5,1))+VALUE(MID(UPPER(TRIM(D85)),7,1)))+(INT(2*VALUE(MID(UPPER(TRIM(D85)),2,1))/10)+MOD(2*VALUE(MID(UPPER(TRIM(D85)),2,1)),10))+(INT(2*VALUE(MID(UPPER(TRIM(D85)),4,1))/10)+MOD(2*VALUE(MID(UPPER(TRIM(D85)),4,1)),10))+(INT(2*VALUE(MID(UPPER(TRIM(D85)),6,1))/10)+MOD(2*VALUE(MID(UPPER(TRIM(D85)),6,1)),10))+(INT(2*VALUE(MID(UPPER(TRIM(D85)),8,1))/10)+MOD(2*VALUE(MID(UPPER(TRIM(D85)),8,1)),10)),10),10)+1,1)),"OK","REVISAR")),"REVISAR")))</f>
        <v/>
      </c>
      <c r="Q85">
        <f>IF(B85="","",IF(COUNTIFS($B$2:$B$501,B85,$D$2:$D$501,D85)&gt;1,"DUPLICADA",""))</f>
        <v/>
      </c>
      <c r="R85">
        <f>IF(A85="","",ROUNDUP(MONTH(A85)/3,0))</f>
        <v/>
      </c>
      <c r="S85" s="3" t="n"/>
    </row>
    <row r="86">
      <c r="A86" s="2" t="n"/>
      <c r="B86" s="3" t="n"/>
      <c r="C86" s="3" t="n"/>
      <c r="D86" s="3" t="n"/>
      <c r="E86" s="4" t="n"/>
      <c r="F86" s="4" t="n"/>
      <c r="G86" s="4" t="n"/>
      <c r="H86" s="4" t="n"/>
      <c r="I86" s="5">
        <f>IF(E86="","",ROUND(E86*0.21,2))</f>
        <v/>
      </c>
      <c r="J86" s="5">
        <f>IF(F86="","",ROUND(F86*0.1,2))</f>
        <v/>
      </c>
      <c r="K86" s="5">
        <f>IF(G86="","",ROUND(G86*0.04,2))</f>
        <v/>
      </c>
      <c r="L86" s="4" t="n"/>
      <c r="M86" s="4" t="n"/>
      <c r="N86" s="5">
        <f>IF(A86="","",SUM(E86:K86)-N(L86))</f>
        <v/>
      </c>
      <c r="O86">
        <f>IF(OR(A86="",M86=""),"",IF(ABS(M86-N86)&lt;=0.02,"OK","REVISAR"))</f>
        <v/>
      </c>
      <c r="P86">
        <f>IF(D86="","",IF(LEN(TRIM(D86))&lt;&gt;9,"REVISAR",IFERROR(IF(OR(ISNUMBER(VALUE(LEFT(UPPER(TRIM(D86)),1))),LEFT(UPPER(TRIM(D86)),1)="X",LEFT(UPPER(TRIM(D86)),1)="Y",LEFT(UPPER(TRIM(D86)),1)="Z"),IF(MID("TRWAGMYFPDXBNJZSQVHLCKE",MOD(VALUE(SUBSTITUTE(SUBSTITUTE(SUBSTITUTE(LEFT(UPPER(TRIM(D86)),8),"X","0"),"Y","1"),"Z","2")),23)+1,1)=RIGHT(UPPER(TRIM(D86)),1),"OK","REVISAR"),IF(OR(RIGHT(UPPER(TRIM(D86)),1)=TEXT(MOD(10-MOD((VALUE(MID(UPPER(TRIM(D86)),3,1))+VALUE(MID(UPPER(TRIM(D86)),5,1))+VALUE(MID(UPPER(TRIM(D86)),7,1)))+(INT(2*VALUE(MID(UPPER(TRIM(D86)),2,1))/10)+MOD(2*VALUE(MID(UPPER(TRIM(D86)),2,1)),10))+(INT(2*VALUE(MID(UPPER(TRIM(D86)),4,1))/10)+MOD(2*VALUE(MID(UPPER(TRIM(D86)),4,1)),10))+(INT(2*VALUE(MID(UPPER(TRIM(D86)),6,1))/10)+MOD(2*VALUE(MID(UPPER(TRIM(D86)),6,1)),10))+(INT(2*VALUE(MID(UPPER(TRIM(D86)),8,1))/10)+MOD(2*VALUE(MID(UPPER(TRIM(D86)),8,1)),10)),10),10),"0"),RIGHT(UPPER(TRIM(D86)),1)=MID("JABCDEFGHI",MOD(10-MOD((VALUE(MID(UPPER(TRIM(D86)),3,1))+VALUE(MID(UPPER(TRIM(D86)),5,1))+VALUE(MID(UPPER(TRIM(D86)),7,1)))+(INT(2*VALUE(MID(UPPER(TRIM(D86)),2,1))/10)+MOD(2*VALUE(MID(UPPER(TRIM(D86)),2,1)),10))+(INT(2*VALUE(MID(UPPER(TRIM(D86)),4,1))/10)+MOD(2*VALUE(MID(UPPER(TRIM(D86)),4,1)),10))+(INT(2*VALUE(MID(UPPER(TRIM(D86)),6,1))/10)+MOD(2*VALUE(MID(UPPER(TRIM(D86)),6,1)),10))+(INT(2*VALUE(MID(UPPER(TRIM(D86)),8,1))/10)+MOD(2*VALUE(MID(UPPER(TRIM(D86)),8,1)),10)),10),10)+1,1)),"OK","REVISAR")),"REVISAR")))</f>
        <v/>
      </c>
      <c r="Q86">
        <f>IF(B86="","",IF(COUNTIFS($B$2:$B$501,B86,$D$2:$D$501,D86)&gt;1,"DUPLICADA",""))</f>
        <v/>
      </c>
      <c r="R86">
        <f>IF(A86="","",ROUNDUP(MONTH(A86)/3,0))</f>
        <v/>
      </c>
      <c r="S86" s="3" t="n"/>
    </row>
    <row r="87">
      <c r="A87" s="2" t="n"/>
      <c r="B87" s="3" t="n"/>
      <c r="C87" s="3" t="n"/>
      <c r="D87" s="3" t="n"/>
      <c r="E87" s="4" t="n"/>
      <c r="F87" s="4" t="n"/>
      <c r="G87" s="4" t="n"/>
      <c r="H87" s="4" t="n"/>
      <c r="I87" s="5">
        <f>IF(E87="","",ROUND(E87*0.21,2))</f>
        <v/>
      </c>
      <c r="J87" s="5">
        <f>IF(F87="","",ROUND(F87*0.1,2))</f>
        <v/>
      </c>
      <c r="K87" s="5">
        <f>IF(G87="","",ROUND(G87*0.04,2))</f>
        <v/>
      </c>
      <c r="L87" s="4" t="n"/>
      <c r="M87" s="4" t="n"/>
      <c r="N87" s="5">
        <f>IF(A87="","",SUM(E87:K87)-N(L87))</f>
        <v/>
      </c>
      <c r="O87">
        <f>IF(OR(A87="",M87=""),"",IF(ABS(M87-N87)&lt;=0.02,"OK","REVISAR"))</f>
        <v/>
      </c>
      <c r="P87">
        <f>IF(D87="","",IF(LEN(TRIM(D87))&lt;&gt;9,"REVISAR",IFERROR(IF(OR(ISNUMBER(VALUE(LEFT(UPPER(TRIM(D87)),1))),LEFT(UPPER(TRIM(D87)),1)="X",LEFT(UPPER(TRIM(D87)),1)="Y",LEFT(UPPER(TRIM(D87)),1)="Z"),IF(MID("TRWAGMYFPDXBNJZSQVHLCKE",MOD(VALUE(SUBSTITUTE(SUBSTITUTE(SUBSTITUTE(LEFT(UPPER(TRIM(D87)),8),"X","0"),"Y","1"),"Z","2")),23)+1,1)=RIGHT(UPPER(TRIM(D87)),1),"OK","REVISAR"),IF(OR(RIGHT(UPPER(TRIM(D87)),1)=TEXT(MOD(10-MOD((VALUE(MID(UPPER(TRIM(D87)),3,1))+VALUE(MID(UPPER(TRIM(D87)),5,1))+VALUE(MID(UPPER(TRIM(D87)),7,1)))+(INT(2*VALUE(MID(UPPER(TRIM(D87)),2,1))/10)+MOD(2*VALUE(MID(UPPER(TRIM(D87)),2,1)),10))+(INT(2*VALUE(MID(UPPER(TRIM(D87)),4,1))/10)+MOD(2*VALUE(MID(UPPER(TRIM(D87)),4,1)),10))+(INT(2*VALUE(MID(UPPER(TRIM(D87)),6,1))/10)+MOD(2*VALUE(MID(UPPER(TRIM(D87)),6,1)),10))+(INT(2*VALUE(MID(UPPER(TRIM(D87)),8,1))/10)+MOD(2*VALUE(MID(UPPER(TRIM(D87)),8,1)),10)),10),10),"0"),RIGHT(UPPER(TRIM(D87)),1)=MID("JABCDEFGHI",MOD(10-MOD((VALUE(MID(UPPER(TRIM(D87)),3,1))+VALUE(MID(UPPER(TRIM(D87)),5,1))+VALUE(MID(UPPER(TRIM(D87)),7,1)))+(INT(2*VALUE(MID(UPPER(TRIM(D87)),2,1))/10)+MOD(2*VALUE(MID(UPPER(TRIM(D87)),2,1)),10))+(INT(2*VALUE(MID(UPPER(TRIM(D87)),4,1))/10)+MOD(2*VALUE(MID(UPPER(TRIM(D87)),4,1)),10))+(INT(2*VALUE(MID(UPPER(TRIM(D87)),6,1))/10)+MOD(2*VALUE(MID(UPPER(TRIM(D87)),6,1)),10))+(INT(2*VALUE(MID(UPPER(TRIM(D87)),8,1))/10)+MOD(2*VALUE(MID(UPPER(TRIM(D87)),8,1)),10)),10),10)+1,1)),"OK","REVISAR")),"REVISAR")))</f>
        <v/>
      </c>
      <c r="Q87">
        <f>IF(B87="","",IF(COUNTIFS($B$2:$B$501,B87,$D$2:$D$501,D87)&gt;1,"DUPLICADA",""))</f>
        <v/>
      </c>
      <c r="R87">
        <f>IF(A87="","",ROUNDUP(MONTH(A87)/3,0))</f>
        <v/>
      </c>
      <c r="S87" s="3" t="n"/>
    </row>
    <row r="88">
      <c r="A88" s="2" t="n"/>
      <c r="B88" s="3" t="n"/>
      <c r="C88" s="3" t="n"/>
      <c r="D88" s="3" t="n"/>
      <c r="E88" s="4" t="n"/>
      <c r="F88" s="4" t="n"/>
      <c r="G88" s="4" t="n"/>
      <c r="H88" s="4" t="n"/>
      <c r="I88" s="5">
        <f>IF(E88="","",ROUND(E88*0.21,2))</f>
        <v/>
      </c>
      <c r="J88" s="5">
        <f>IF(F88="","",ROUND(F88*0.1,2))</f>
        <v/>
      </c>
      <c r="K88" s="5">
        <f>IF(G88="","",ROUND(G88*0.04,2))</f>
        <v/>
      </c>
      <c r="L88" s="4" t="n"/>
      <c r="M88" s="4" t="n"/>
      <c r="N88" s="5">
        <f>IF(A88="","",SUM(E88:K88)-N(L88))</f>
        <v/>
      </c>
      <c r="O88">
        <f>IF(OR(A88="",M88=""),"",IF(ABS(M88-N88)&lt;=0.02,"OK","REVISAR"))</f>
        <v/>
      </c>
      <c r="P88">
        <f>IF(D88="","",IF(LEN(TRIM(D88))&lt;&gt;9,"REVISAR",IFERROR(IF(OR(ISNUMBER(VALUE(LEFT(UPPER(TRIM(D88)),1))),LEFT(UPPER(TRIM(D88)),1)="X",LEFT(UPPER(TRIM(D88)),1)="Y",LEFT(UPPER(TRIM(D88)),1)="Z"),IF(MID("TRWAGMYFPDXBNJZSQVHLCKE",MOD(VALUE(SUBSTITUTE(SUBSTITUTE(SUBSTITUTE(LEFT(UPPER(TRIM(D88)),8),"X","0"),"Y","1"),"Z","2")),23)+1,1)=RIGHT(UPPER(TRIM(D88)),1),"OK","REVISAR"),IF(OR(RIGHT(UPPER(TRIM(D88)),1)=TEXT(MOD(10-MOD((VALUE(MID(UPPER(TRIM(D88)),3,1))+VALUE(MID(UPPER(TRIM(D88)),5,1))+VALUE(MID(UPPER(TRIM(D88)),7,1)))+(INT(2*VALUE(MID(UPPER(TRIM(D88)),2,1))/10)+MOD(2*VALUE(MID(UPPER(TRIM(D88)),2,1)),10))+(INT(2*VALUE(MID(UPPER(TRIM(D88)),4,1))/10)+MOD(2*VALUE(MID(UPPER(TRIM(D88)),4,1)),10))+(INT(2*VALUE(MID(UPPER(TRIM(D88)),6,1))/10)+MOD(2*VALUE(MID(UPPER(TRIM(D88)),6,1)),10))+(INT(2*VALUE(MID(UPPER(TRIM(D88)),8,1))/10)+MOD(2*VALUE(MID(UPPER(TRIM(D88)),8,1)),10)),10),10),"0"),RIGHT(UPPER(TRIM(D88)),1)=MID("JABCDEFGHI",MOD(10-MOD((VALUE(MID(UPPER(TRIM(D88)),3,1))+VALUE(MID(UPPER(TRIM(D88)),5,1))+VALUE(MID(UPPER(TRIM(D88)),7,1)))+(INT(2*VALUE(MID(UPPER(TRIM(D88)),2,1))/10)+MOD(2*VALUE(MID(UPPER(TRIM(D88)),2,1)),10))+(INT(2*VALUE(MID(UPPER(TRIM(D88)),4,1))/10)+MOD(2*VALUE(MID(UPPER(TRIM(D88)),4,1)),10))+(INT(2*VALUE(MID(UPPER(TRIM(D88)),6,1))/10)+MOD(2*VALUE(MID(UPPER(TRIM(D88)),6,1)),10))+(INT(2*VALUE(MID(UPPER(TRIM(D88)),8,1))/10)+MOD(2*VALUE(MID(UPPER(TRIM(D88)),8,1)),10)),10),10)+1,1)),"OK","REVISAR")),"REVISAR")))</f>
        <v/>
      </c>
      <c r="Q88">
        <f>IF(B88="","",IF(COUNTIFS($B$2:$B$501,B88,$D$2:$D$501,D88)&gt;1,"DUPLICADA",""))</f>
        <v/>
      </c>
      <c r="R88">
        <f>IF(A88="","",ROUNDUP(MONTH(A88)/3,0))</f>
        <v/>
      </c>
      <c r="S88" s="3" t="n"/>
    </row>
    <row r="89">
      <c r="A89" s="2" t="n"/>
      <c r="B89" s="3" t="n"/>
      <c r="C89" s="3" t="n"/>
      <c r="D89" s="3" t="n"/>
      <c r="E89" s="4" t="n"/>
      <c r="F89" s="4" t="n"/>
      <c r="G89" s="4" t="n"/>
      <c r="H89" s="4" t="n"/>
      <c r="I89" s="5">
        <f>IF(E89="","",ROUND(E89*0.21,2))</f>
        <v/>
      </c>
      <c r="J89" s="5">
        <f>IF(F89="","",ROUND(F89*0.1,2))</f>
        <v/>
      </c>
      <c r="K89" s="5">
        <f>IF(G89="","",ROUND(G89*0.04,2))</f>
        <v/>
      </c>
      <c r="L89" s="4" t="n"/>
      <c r="M89" s="4" t="n"/>
      <c r="N89" s="5">
        <f>IF(A89="","",SUM(E89:K89)-N(L89))</f>
        <v/>
      </c>
      <c r="O89">
        <f>IF(OR(A89="",M89=""),"",IF(ABS(M89-N89)&lt;=0.02,"OK","REVISAR"))</f>
        <v/>
      </c>
      <c r="P89">
        <f>IF(D89="","",IF(LEN(TRIM(D89))&lt;&gt;9,"REVISAR",IFERROR(IF(OR(ISNUMBER(VALUE(LEFT(UPPER(TRIM(D89)),1))),LEFT(UPPER(TRIM(D89)),1)="X",LEFT(UPPER(TRIM(D89)),1)="Y",LEFT(UPPER(TRIM(D89)),1)="Z"),IF(MID("TRWAGMYFPDXBNJZSQVHLCKE",MOD(VALUE(SUBSTITUTE(SUBSTITUTE(SUBSTITUTE(LEFT(UPPER(TRIM(D89)),8),"X","0"),"Y","1"),"Z","2")),23)+1,1)=RIGHT(UPPER(TRIM(D89)),1),"OK","REVISAR"),IF(OR(RIGHT(UPPER(TRIM(D89)),1)=TEXT(MOD(10-MOD((VALUE(MID(UPPER(TRIM(D89)),3,1))+VALUE(MID(UPPER(TRIM(D89)),5,1))+VALUE(MID(UPPER(TRIM(D89)),7,1)))+(INT(2*VALUE(MID(UPPER(TRIM(D89)),2,1))/10)+MOD(2*VALUE(MID(UPPER(TRIM(D89)),2,1)),10))+(INT(2*VALUE(MID(UPPER(TRIM(D89)),4,1))/10)+MOD(2*VALUE(MID(UPPER(TRIM(D89)),4,1)),10))+(INT(2*VALUE(MID(UPPER(TRIM(D89)),6,1))/10)+MOD(2*VALUE(MID(UPPER(TRIM(D89)),6,1)),10))+(INT(2*VALUE(MID(UPPER(TRIM(D89)),8,1))/10)+MOD(2*VALUE(MID(UPPER(TRIM(D89)),8,1)),10)),10),10),"0"),RIGHT(UPPER(TRIM(D89)),1)=MID("JABCDEFGHI",MOD(10-MOD((VALUE(MID(UPPER(TRIM(D89)),3,1))+VALUE(MID(UPPER(TRIM(D89)),5,1))+VALUE(MID(UPPER(TRIM(D89)),7,1)))+(INT(2*VALUE(MID(UPPER(TRIM(D89)),2,1))/10)+MOD(2*VALUE(MID(UPPER(TRIM(D89)),2,1)),10))+(INT(2*VALUE(MID(UPPER(TRIM(D89)),4,1))/10)+MOD(2*VALUE(MID(UPPER(TRIM(D89)),4,1)),10))+(INT(2*VALUE(MID(UPPER(TRIM(D89)),6,1))/10)+MOD(2*VALUE(MID(UPPER(TRIM(D89)),6,1)),10))+(INT(2*VALUE(MID(UPPER(TRIM(D89)),8,1))/10)+MOD(2*VALUE(MID(UPPER(TRIM(D89)),8,1)),10)),10),10)+1,1)),"OK","REVISAR")),"REVISAR")))</f>
        <v/>
      </c>
      <c r="Q89">
        <f>IF(B89="","",IF(COUNTIFS($B$2:$B$501,B89,$D$2:$D$501,D89)&gt;1,"DUPLICADA",""))</f>
        <v/>
      </c>
      <c r="R89">
        <f>IF(A89="","",ROUNDUP(MONTH(A89)/3,0))</f>
        <v/>
      </c>
      <c r="S89" s="3" t="n"/>
    </row>
    <row r="90">
      <c r="A90" s="2" t="n"/>
      <c r="B90" s="3" t="n"/>
      <c r="C90" s="3" t="n"/>
      <c r="D90" s="3" t="n"/>
      <c r="E90" s="4" t="n"/>
      <c r="F90" s="4" t="n"/>
      <c r="G90" s="4" t="n"/>
      <c r="H90" s="4" t="n"/>
      <c r="I90" s="5">
        <f>IF(E90="","",ROUND(E90*0.21,2))</f>
        <v/>
      </c>
      <c r="J90" s="5">
        <f>IF(F90="","",ROUND(F90*0.1,2))</f>
        <v/>
      </c>
      <c r="K90" s="5">
        <f>IF(G90="","",ROUND(G90*0.04,2))</f>
        <v/>
      </c>
      <c r="L90" s="4" t="n"/>
      <c r="M90" s="4" t="n"/>
      <c r="N90" s="5">
        <f>IF(A90="","",SUM(E90:K90)-N(L90))</f>
        <v/>
      </c>
      <c r="O90">
        <f>IF(OR(A90="",M90=""),"",IF(ABS(M90-N90)&lt;=0.02,"OK","REVISAR"))</f>
        <v/>
      </c>
      <c r="P90">
        <f>IF(D90="","",IF(LEN(TRIM(D90))&lt;&gt;9,"REVISAR",IFERROR(IF(OR(ISNUMBER(VALUE(LEFT(UPPER(TRIM(D90)),1))),LEFT(UPPER(TRIM(D90)),1)="X",LEFT(UPPER(TRIM(D90)),1)="Y",LEFT(UPPER(TRIM(D90)),1)="Z"),IF(MID("TRWAGMYFPDXBNJZSQVHLCKE",MOD(VALUE(SUBSTITUTE(SUBSTITUTE(SUBSTITUTE(LEFT(UPPER(TRIM(D90)),8),"X","0"),"Y","1"),"Z","2")),23)+1,1)=RIGHT(UPPER(TRIM(D90)),1),"OK","REVISAR"),IF(OR(RIGHT(UPPER(TRIM(D90)),1)=TEXT(MOD(10-MOD((VALUE(MID(UPPER(TRIM(D90)),3,1))+VALUE(MID(UPPER(TRIM(D90)),5,1))+VALUE(MID(UPPER(TRIM(D90)),7,1)))+(INT(2*VALUE(MID(UPPER(TRIM(D90)),2,1))/10)+MOD(2*VALUE(MID(UPPER(TRIM(D90)),2,1)),10))+(INT(2*VALUE(MID(UPPER(TRIM(D90)),4,1))/10)+MOD(2*VALUE(MID(UPPER(TRIM(D90)),4,1)),10))+(INT(2*VALUE(MID(UPPER(TRIM(D90)),6,1))/10)+MOD(2*VALUE(MID(UPPER(TRIM(D90)),6,1)),10))+(INT(2*VALUE(MID(UPPER(TRIM(D90)),8,1))/10)+MOD(2*VALUE(MID(UPPER(TRIM(D90)),8,1)),10)),10),10),"0"),RIGHT(UPPER(TRIM(D90)),1)=MID("JABCDEFGHI",MOD(10-MOD((VALUE(MID(UPPER(TRIM(D90)),3,1))+VALUE(MID(UPPER(TRIM(D90)),5,1))+VALUE(MID(UPPER(TRIM(D90)),7,1)))+(INT(2*VALUE(MID(UPPER(TRIM(D90)),2,1))/10)+MOD(2*VALUE(MID(UPPER(TRIM(D90)),2,1)),10))+(INT(2*VALUE(MID(UPPER(TRIM(D90)),4,1))/10)+MOD(2*VALUE(MID(UPPER(TRIM(D90)),4,1)),10))+(INT(2*VALUE(MID(UPPER(TRIM(D90)),6,1))/10)+MOD(2*VALUE(MID(UPPER(TRIM(D90)),6,1)),10))+(INT(2*VALUE(MID(UPPER(TRIM(D90)),8,1))/10)+MOD(2*VALUE(MID(UPPER(TRIM(D90)),8,1)),10)),10),10)+1,1)),"OK","REVISAR")),"REVISAR")))</f>
        <v/>
      </c>
      <c r="Q90">
        <f>IF(B90="","",IF(COUNTIFS($B$2:$B$501,B90,$D$2:$D$501,D90)&gt;1,"DUPLICADA",""))</f>
        <v/>
      </c>
      <c r="R90">
        <f>IF(A90="","",ROUNDUP(MONTH(A90)/3,0))</f>
        <v/>
      </c>
      <c r="S90" s="3" t="n"/>
    </row>
    <row r="91">
      <c r="A91" s="2" t="n"/>
      <c r="B91" s="3" t="n"/>
      <c r="C91" s="3" t="n"/>
      <c r="D91" s="3" t="n"/>
      <c r="E91" s="4" t="n"/>
      <c r="F91" s="4" t="n"/>
      <c r="G91" s="4" t="n"/>
      <c r="H91" s="4" t="n"/>
      <c r="I91" s="5">
        <f>IF(E91="","",ROUND(E91*0.21,2))</f>
        <v/>
      </c>
      <c r="J91" s="5">
        <f>IF(F91="","",ROUND(F91*0.1,2))</f>
        <v/>
      </c>
      <c r="K91" s="5">
        <f>IF(G91="","",ROUND(G91*0.04,2))</f>
        <v/>
      </c>
      <c r="L91" s="4" t="n"/>
      <c r="M91" s="4" t="n"/>
      <c r="N91" s="5">
        <f>IF(A91="","",SUM(E91:K91)-N(L91))</f>
        <v/>
      </c>
      <c r="O91">
        <f>IF(OR(A91="",M91=""),"",IF(ABS(M91-N91)&lt;=0.02,"OK","REVISAR"))</f>
        <v/>
      </c>
      <c r="P91">
        <f>IF(D91="","",IF(LEN(TRIM(D91))&lt;&gt;9,"REVISAR",IFERROR(IF(OR(ISNUMBER(VALUE(LEFT(UPPER(TRIM(D91)),1))),LEFT(UPPER(TRIM(D91)),1)="X",LEFT(UPPER(TRIM(D91)),1)="Y",LEFT(UPPER(TRIM(D91)),1)="Z"),IF(MID("TRWAGMYFPDXBNJZSQVHLCKE",MOD(VALUE(SUBSTITUTE(SUBSTITUTE(SUBSTITUTE(LEFT(UPPER(TRIM(D91)),8),"X","0"),"Y","1"),"Z","2")),23)+1,1)=RIGHT(UPPER(TRIM(D91)),1),"OK","REVISAR"),IF(OR(RIGHT(UPPER(TRIM(D91)),1)=TEXT(MOD(10-MOD((VALUE(MID(UPPER(TRIM(D91)),3,1))+VALUE(MID(UPPER(TRIM(D91)),5,1))+VALUE(MID(UPPER(TRIM(D91)),7,1)))+(INT(2*VALUE(MID(UPPER(TRIM(D91)),2,1))/10)+MOD(2*VALUE(MID(UPPER(TRIM(D91)),2,1)),10))+(INT(2*VALUE(MID(UPPER(TRIM(D91)),4,1))/10)+MOD(2*VALUE(MID(UPPER(TRIM(D91)),4,1)),10))+(INT(2*VALUE(MID(UPPER(TRIM(D91)),6,1))/10)+MOD(2*VALUE(MID(UPPER(TRIM(D91)),6,1)),10))+(INT(2*VALUE(MID(UPPER(TRIM(D91)),8,1))/10)+MOD(2*VALUE(MID(UPPER(TRIM(D91)),8,1)),10)),10),10),"0"),RIGHT(UPPER(TRIM(D91)),1)=MID("JABCDEFGHI",MOD(10-MOD((VALUE(MID(UPPER(TRIM(D91)),3,1))+VALUE(MID(UPPER(TRIM(D91)),5,1))+VALUE(MID(UPPER(TRIM(D91)),7,1)))+(INT(2*VALUE(MID(UPPER(TRIM(D91)),2,1))/10)+MOD(2*VALUE(MID(UPPER(TRIM(D91)),2,1)),10))+(INT(2*VALUE(MID(UPPER(TRIM(D91)),4,1))/10)+MOD(2*VALUE(MID(UPPER(TRIM(D91)),4,1)),10))+(INT(2*VALUE(MID(UPPER(TRIM(D91)),6,1))/10)+MOD(2*VALUE(MID(UPPER(TRIM(D91)),6,1)),10))+(INT(2*VALUE(MID(UPPER(TRIM(D91)),8,1))/10)+MOD(2*VALUE(MID(UPPER(TRIM(D91)),8,1)),10)),10),10)+1,1)),"OK","REVISAR")),"REVISAR")))</f>
        <v/>
      </c>
      <c r="Q91">
        <f>IF(B91="","",IF(COUNTIFS($B$2:$B$501,B91,$D$2:$D$501,D91)&gt;1,"DUPLICADA",""))</f>
        <v/>
      </c>
      <c r="R91">
        <f>IF(A91="","",ROUNDUP(MONTH(A91)/3,0))</f>
        <v/>
      </c>
      <c r="S91" s="3" t="n"/>
    </row>
    <row r="92">
      <c r="A92" s="2" t="n"/>
      <c r="B92" s="3" t="n"/>
      <c r="C92" s="3" t="n"/>
      <c r="D92" s="3" t="n"/>
      <c r="E92" s="4" t="n"/>
      <c r="F92" s="4" t="n"/>
      <c r="G92" s="4" t="n"/>
      <c r="H92" s="4" t="n"/>
      <c r="I92" s="5">
        <f>IF(E92="","",ROUND(E92*0.21,2))</f>
        <v/>
      </c>
      <c r="J92" s="5">
        <f>IF(F92="","",ROUND(F92*0.1,2))</f>
        <v/>
      </c>
      <c r="K92" s="5">
        <f>IF(G92="","",ROUND(G92*0.04,2))</f>
        <v/>
      </c>
      <c r="L92" s="4" t="n"/>
      <c r="M92" s="4" t="n"/>
      <c r="N92" s="5">
        <f>IF(A92="","",SUM(E92:K92)-N(L92))</f>
        <v/>
      </c>
      <c r="O92">
        <f>IF(OR(A92="",M92=""),"",IF(ABS(M92-N92)&lt;=0.02,"OK","REVISAR"))</f>
        <v/>
      </c>
      <c r="P92">
        <f>IF(D92="","",IF(LEN(TRIM(D92))&lt;&gt;9,"REVISAR",IFERROR(IF(OR(ISNUMBER(VALUE(LEFT(UPPER(TRIM(D92)),1))),LEFT(UPPER(TRIM(D92)),1)="X",LEFT(UPPER(TRIM(D92)),1)="Y",LEFT(UPPER(TRIM(D92)),1)="Z"),IF(MID("TRWAGMYFPDXBNJZSQVHLCKE",MOD(VALUE(SUBSTITUTE(SUBSTITUTE(SUBSTITUTE(LEFT(UPPER(TRIM(D92)),8),"X","0"),"Y","1"),"Z","2")),23)+1,1)=RIGHT(UPPER(TRIM(D92)),1),"OK","REVISAR"),IF(OR(RIGHT(UPPER(TRIM(D92)),1)=TEXT(MOD(10-MOD((VALUE(MID(UPPER(TRIM(D92)),3,1))+VALUE(MID(UPPER(TRIM(D92)),5,1))+VALUE(MID(UPPER(TRIM(D92)),7,1)))+(INT(2*VALUE(MID(UPPER(TRIM(D92)),2,1))/10)+MOD(2*VALUE(MID(UPPER(TRIM(D92)),2,1)),10))+(INT(2*VALUE(MID(UPPER(TRIM(D92)),4,1))/10)+MOD(2*VALUE(MID(UPPER(TRIM(D92)),4,1)),10))+(INT(2*VALUE(MID(UPPER(TRIM(D92)),6,1))/10)+MOD(2*VALUE(MID(UPPER(TRIM(D92)),6,1)),10))+(INT(2*VALUE(MID(UPPER(TRIM(D92)),8,1))/10)+MOD(2*VALUE(MID(UPPER(TRIM(D92)),8,1)),10)),10),10),"0"),RIGHT(UPPER(TRIM(D92)),1)=MID("JABCDEFGHI",MOD(10-MOD((VALUE(MID(UPPER(TRIM(D92)),3,1))+VALUE(MID(UPPER(TRIM(D92)),5,1))+VALUE(MID(UPPER(TRIM(D92)),7,1)))+(INT(2*VALUE(MID(UPPER(TRIM(D92)),2,1))/10)+MOD(2*VALUE(MID(UPPER(TRIM(D92)),2,1)),10))+(INT(2*VALUE(MID(UPPER(TRIM(D92)),4,1))/10)+MOD(2*VALUE(MID(UPPER(TRIM(D92)),4,1)),10))+(INT(2*VALUE(MID(UPPER(TRIM(D92)),6,1))/10)+MOD(2*VALUE(MID(UPPER(TRIM(D92)),6,1)),10))+(INT(2*VALUE(MID(UPPER(TRIM(D92)),8,1))/10)+MOD(2*VALUE(MID(UPPER(TRIM(D92)),8,1)),10)),10),10)+1,1)),"OK","REVISAR")),"REVISAR")))</f>
        <v/>
      </c>
      <c r="Q92">
        <f>IF(B92="","",IF(COUNTIFS($B$2:$B$501,B92,$D$2:$D$501,D92)&gt;1,"DUPLICADA",""))</f>
        <v/>
      </c>
      <c r="R92">
        <f>IF(A92="","",ROUNDUP(MONTH(A92)/3,0))</f>
        <v/>
      </c>
      <c r="S92" s="3" t="n"/>
    </row>
    <row r="93">
      <c r="A93" s="2" t="n"/>
      <c r="B93" s="3" t="n"/>
      <c r="C93" s="3" t="n"/>
      <c r="D93" s="3" t="n"/>
      <c r="E93" s="4" t="n"/>
      <c r="F93" s="4" t="n"/>
      <c r="G93" s="4" t="n"/>
      <c r="H93" s="4" t="n"/>
      <c r="I93" s="5">
        <f>IF(E93="","",ROUND(E93*0.21,2))</f>
        <v/>
      </c>
      <c r="J93" s="5">
        <f>IF(F93="","",ROUND(F93*0.1,2))</f>
        <v/>
      </c>
      <c r="K93" s="5">
        <f>IF(G93="","",ROUND(G93*0.04,2))</f>
        <v/>
      </c>
      <c r="L93" s="4" t="n"/>
      <c r="M93" s="4" t="n"/>
      <c r="N93" s="5">
        <f>IF(A93="","",SUM(E93:K93)-N(L93))</f>
        <v/>
      </c>
      <c r="O93">
        <f>IF(OR(A93="",M93=""),"",IF(ABS(M93-N93)&lt;=0.02,"OK","REVISAR"))</f>
        <v/>
      </c>
      <c r="P93">
        <f>IF(D93="","",IF(LEN(TRIM(D93))&lt;&gt;9,"REVISAR",IFERROR(IF(OR(ISNUMBER(VALUE(LEFT(UPPER(TRIM(D93)),1))),LEFT(UPPER(TRIM(D93)),1)="X",LEFT(UPPER(TRIM(D93)),1)="Y",LEFT(UPPER(TRIM(D93)),1)="Z"),IF(MID("TRWAGMYFPDXBNJZSQVHLCKE",MOD(VALUE(SUBSTITUTE(SUBSTITUTE(SUBSTITUTE(LEFT(UPPER(TRIM(D93)),8),"X","0"),"Y","1"),"Z","2")),23)+1,1)=RIGHT(UPPER(TRIM(D93)),1),"OK","REVISAR"),IF(OR(RIGHT(UPPER(TRIM(D93)),1)=TEXT(MOD(10-MOD((VALUE(MID(UPPER(TRIM(D93)),3,1))+VALUE(MID(UPPER(TRIM(D93)),5,1))+VALUE(MID(UPPER(TRIM(D93)),7,1)))+(INT(2*VALUE(MID(UPPER(TRIM(D93)),2,1))/10)+MOD(2*VALUE(MID(UPPER(TRIM(D93)),2,1)),10))+(INT(2*VALUE(MID(UPPER(TRIM(D93)),4,1))/10)+MOD(2*VALUE(MID(UPPER(TRIM(D93)),4,1)),10))+(INT(2*VALUE(MID(UPPER(TRIM(D93)),6,1))/10)+MOD(2*VALUE(MID(UPPER(TRIM(D93)),6,1)),10))+(INT(2*VALUE(MID(UPPER(TRIM(D93)),8,1))/10)+MOD(2*VALUE(MID(UPPER(TRIM(D93)),8,1)),10)),10),10),"0"),RIGHT(UPPER(TRIM(D93)),1)=MID("JABCDEFGHI",MOD(10-MOD((VALUE(MID(UPPER(TRIM(D93)),3,1))+VALUE(MID(UPPER(TRIM(D93)),5,1))+VALUE(MID(UPPER(TRIM(D93)),7,1)))+(INT(2*VALUE(MID(UPPER(TRIM(D93)),2,1))/10)+MOD(2*VALUE(MID(UPPER(TRIM(D93)),2,1)),10))+(INT(2*VALUE(MID(UPPER(TRIM(D93)),4,1))/10)+MOD(2*VALUE(MID(UPPER(TRIM(D93)),4,1)),10))+(INT(2*VALUE(MID(UPPER(TRIM(D93)),6,1))/10)+MOD(2*VALUE(MID(UPPER(TRIM(D93)),6,1)),10))+(INT(2*VALUE(MID(UPPER(TRIM(D93)),8,1))/10)+MOD(2*VALUE(MID(UPPER(TRIM(D93)),8,1)),10)),10),10)+1,1)),"OK","REVISAR")),"REVISAR")))</f>
        <v/>
      </c>
      <c r="Q93">
        <f>IF(B93="","",IF(COUNTIFS($B$2:$B$501,B93,$D$2:$D$501,D93)&gt;1,"DUPLICADA",""))</f>
        <v/>
      </c>
      <c r="R93">
        <f>IF(A93="","",ROUNDUP(MONTH(A93)/3,0))</f>
        <v/>
      </c>
      <c r="S93" s="3" t="n"/>
    </row>
    <row r="94">
      <c r="A94" s="2" t="n"/>
      <c r="B94" s="3" t="n"/>
      <c r="C94" s="3" t="n"/>
      <c r="D94" s="3" t="n"/>
      <c r="E94" s="4" t="n"/>
      <c r="F94" s="4" t="n"/>
      <c r="G94" s="4" t="n"/>
      <c r="H94" s="4" t="n"/>
      <c r="I94" s="5">
        <f>IF(E94="","",ROUND(E94*0.21,2))</f>
        <v/>
      </c>
      <c r="J94" s="5">
        <f>IF(F94="","",ROUND(F94*0.1,2))</f>
        <v/>
      </c>
      <c r="K94" s="5">
        <f>IF(G94="","",ROUND(G94*0.04,2))</f>
        <v/>
      </c>
      <c r="L94" s="4" t="n"/>
      <c r="M94" s="4" t="n"/>
      <c r="N94" s="5">
        <f>IF(A94="","",SUM(E94:K94)-N(L94))</f>
        <v/>
      </c>
      <c r="O94">
        <f>IF(OR(A94="",M94=""),"",IF(ABS(M94-N94)&lt;=0.02,"OK","REVISAR"))</f>
        <v/>
      </c>
      <c r="P94">
        <f>IF(D94="","",IF(LEN(TRIM(D94))&lt;&gt;9,"REVISAR",IFERROR(IF(OR(ISNUMBER(VALUE(LEFT(UPPER(TRIM(D94)),1))),LEFT(UPPER(TRIM(D94)),1)="X",LEFT(UPPER(TRIM(D94)),1)="Y",LEFT(UPPER(TRIM(D94)),1)="Z"),IF(MID("TRWAGMYFPDXBNJZSQVHLCKE",MOD(VALUE(SUBSTITUTE(SUBSTITUTE(SUBSTITUTE(LEFT(UPPER(TRIM(D94)),8),"X","0"),"Y","1"),"Z","2")),23)+1,1)=RIGHT(UPPER(TRIM(D94)),1),"OK","REVISAR"),IF(OR(RIGHT(UPPER(TRIM(D94)),1)=TEXT(MOD(10-MOD((VALUE(MID(UPPER(TRIM(D94)),3,1))+VALUE(MID(UPPER(TRIM(D94)),5,1))+VALUE(MID(UPPER(TRIM(D94)),7,1)))+(INT(2*VALUE(MID(UPPER(TRIM(D94)),2,1))/10)+MOD(2*VALUE(MID(UPPER(TRIM(D94)),2,1)),10))+(INT(2*VALUE(MID(UPPER(TRIM(D94)),4,1))/10)+MOD(2*VALUE(MID(UPPER(TRIM(D94)),4,1)),10))+(INT(2*VALUE(MID(UPPER(TRIM(D94)),6,1))/10)+MOD(2*VALUE(MID(UPPER(TRIM(D94)),6,1)),10))+(INT(2*VALUE(MID(UPPER(TRIM(D94)),8,1))/10)+MOD(2*VALUE(MID(UPPER(TRIM(D94)),8,1)),10)),10),10),"0"),RIGHT(UPPER(TRIM(D94)),1)=MID("JABCDEFGHI",MOD(10-MOD((VALUE(MID(UPPER(TRIM(D94)),3,1))+VALUE(MID(UPPER(TRIM(D94)),5,1))+VALUE(MID(UPPER(TRIM(D94)),7,1)))+(INT(2*VALUE(MID(UPPER(TRIM(D94)),2,1))/10)+MOD(2*VALUE(MID(UPPER(TRIM(D94)),2,1)),10))+(INT(2*VALUE(MID(UPPER(TRIM(D94)),4,1))/10)+MOD(2*VALUE(MID(UPPER(TRIM(D94)),4,1)),10))+(INT(2*VALUE(MID(UPPER(TRIM(D94)),6,1))/10)+MOD(2*VALUE(MID(UPPER(TRIM(D94)),6,1)),10))+(INT(2*VALUE(MID(UPPER(TRIM(D94)),8,1))/10)+MOD(2*VALUE(MID(UPPER(TRIM(D94)),8,1)),10)),10),10)+1,1)),"OK","REVISAR")),"REVISAR")))</f>
        <v/>
      </c>
      <c r="Q94">
        <f>IF(B94="","",IF(COUNTIFS($B$2:$B$501,B94,$D$2:$D$501,D94)&gt;1,"DUPLICADA",""))</f>
        <v/>
      </c>
      <c r="R94">
        <f>IF(A94="","",ROUNDUP(MONTH(A94)/3,0))</f>
        <v/>
      </c>
      <c r="S94" s="3" t="n"/>
    </row>
    <row r="95">
      <c r="A95" s="2" t="n"/>
      <c r="B95" s="3" t="n"/>
      <c r="C95" s="3" t="n"/>
      <c r="D95" s="3" t="n"/>
      <c r="E95" s="4" t="n"/>
      <c r="F95" s="4" t="n"/>
      <c r="G95" s="4" t="n"/>
      <c r="H95" s="4" t="n"/>
      <c r="I95" s="5">
        <f>IF(E95="","",ROUND(E95*0.21,2))</f>
        <v/>
      </c>
      <c r="J95" s="5">
        <f>IF(F95="","",ROUND(F95*0.1,2))</f>
        <v/>
      </c>
      <c r="K95" s="5">
        <f>IF(G95="","",ROUND(G95*0.04,2))</f>
        <v/>
      </c>
      <c r="L95" s="4" t="n"/>
      <c r="M95" s="4" t="n"/>
      <c r="N95" s="5">
        <f>IF(A95="","",SUM(E95:K95)-N(L95))</f>
        <v/>
      </c>
      <c r="O95">
        <f>IF(OR(A95="",M95=""),"",IF(ABS(M95-N95)&lt;=0.02,"OK","REVISAR"))</f>
        <v/>
      </c>
      <c r="P95">
        <f>IF(D95="","",IF(LEN(TRIM(D95))&lt;&gt;9,"REVISAR",IFERROR(IF(OR(ISNUMBER(VALUE(LEFT(UPPER(TRIM(D95)),1))),LEFT(UPPER(TRIM(D95)),1)="X",LEFT(UPPER(TRIM(D95)),1)="Y",LEFT(UPPER(TRIM(D95)),1)="Z"),IF(MID("TRWAGMYFPDXBNJZSQVHLCKE",MOD(VALUE(SUBSTITUTE(SUBSTITUTE(SUBSTITUTE(LEFT(UPPER(TRIM(D95)),8),"X","0"),"Y","1"),"Z","2")),23)+1,1)=RIGHT(UPPER(TRIM(D95)),1),"OK","REVISAR"),IF(OR(RIGHT(UPPER(TRIM(D95)),1)=TEXT(MOD(10-MOD((VALUE(MID(UPPER(TRIM(D95)),3,1))+VALUE(MID(UPPER(TRIM(D95)),5,1))+VALUE(MID(UPPER(TRIM(D95)),7,1)))+(INT(2*VALUE(MID(UPPER(TRIM(D95)),2,1))/10)+MOD(2*VALUE(MID(UPPER(TRIM(D95)),2,1)),10))+(INT(2*VALUE(MID(UPPER(TRIM(D95)),4,1))/10)+MOD(2*VALUE(MID(UPPER(TRIM(D95)),4,1)),10))+(INT(2*VALUE(MID(UPPER(TRIM(D95)),6,1))/10)+MOD(2*VALUE(MID(UPPER(TRIM(D95)),6,1)),10))+(INT(2*VALUE(MID(UPPER(TRIM(D95)),8,1))/10)+MOD(2*VALUE(MID(UPPER(TRIM(D95)),8,1)),10)),10),10),"0"),RIGHT(UPPER(TRIM(D95)),1)=MID("JABCDEFGHI",MOD(10-MOD((VALUE(MID(UPPER(TRIM(D95)),3,1))+VALUE(MID(UPPER(TRIM(D95)),5,1))+VALUE(MID(UPPER(TRIM(D95)),7,1)))+(INT(2*VALUE(MID(UPPER(TRIM(D95)),2,1))/10)+MOD(2*VALUE(MID(UPPER(TRIM(D95)),2,1)),10))+(INT(2*VALUE(MID(UPPER(TRIM(D95)),4,1))/10)+MOD(2*VALUE(MID(UPPER(TRIM(D95)),4,1)),10))+(INT(2*VALUE(MID(UPPER(TRIM(D95)),6,1))/10)+MOD(2*VALUE(MID(UPPER(TRIM(D95)),6,1)),10))+(INT(2*VALUE(MID(UPPER(TRIM(D95)),8,1))/10)+MOD(2*VALUE(MID(UPPER(TRIM(D95)),8,1)),10)),10),10)+1,1)),"OK","REVISAR")),"REVISAR")))</f>
        <v/>
      </c>
      <c r="Q95">
        <f>IF(B95="","",IF(COUNTIFS($B$2:$B$501,B95,$D$2:$D$501,D95)&gt;1,"DUPLICADA",""))</f>
        <v/>
      </c>
      <c r="R95">
        <f>IF(A95="","",ROUNDUP(MONTH(A95)/3,0))</f>
        <v/>
      </c>
      <c r="S95" s="3" t="n"/>
    </row>
    <row r="96">
      <c r="A96" s="2" t="n"/>
      <c r="B96" s="3" t="n"/>
      <c r="C96" s="3" t="n"/>
      <c r="D96" s="3" t="n"/>
      <c r="E96" s="4" t="n"/>
      <c r="F96" s="4" t="n"/>
      <c r="G96" s="4" t="n"/>
      <c r="H96" s="4" t="n"/>
      <c r="I96" s="5">
        <f>IF(E96="","",ROUND(E96*0.21,2))</f>
        <v/>
      </c>
      <c r="J96" s="5">
        <f>IF(F96="","",ROUND(F96*0.1,2))</f>
        <v/>
      </c>
      <c r="K96" s="5">
        <f>IF(G96="","",ROUND(G96*0.04,2))</f>
        <v/>
      </c>
      <c r="L96" s="4" t="n"/>
      <c r="M96" s="4" t="n"/>
      <c r="N96" s="5">
        <f>IF(A96="","",SUM(E96:K96)-N(L96))</f>
        <v/>
      </c>
      <c r="O96">
        <f>IF(OR(A96="",M96=""),"",IF(ABS(M96-N96)&lt;=0.02,"OK","REVISAR"))</f>
        <v/>
      </c>
      <c r="P96">
        <f>IF(D96="","",IF(LEN(TRIM(D96))&lt;&gt;9,"REVISAR",IFERROR(IF(OR(ISNUMBER(VALUE(LEFT(UPPER(TRIM(D96)),1))),LEFT(UPPER(TRIM(D96)),1)="X",LEFT(UPPER(TRIM(D96)),1)="Y",LEFT(UPPER(TRIM(D96)),1)="Z"),IF(MID("TRWAGMYFPDXBNJZSQVHLCKE",MOD(VALUE(SUBSTITUTE(SUBSTITUTE(SUBSTITUTE(LEFT(UPPER(TRIM(D96)),8),"X","0"),"Y","1"),"Z","2")),23)+1,1)=RIGHT(UPPER(TRIM(D96)),1),"OK","REVISAR"),IF(OR(RIGHT(UPPER(TRIM(D96)),1)=TEXT(MOD(10-MOD((VALUE(MID(UPPER(TRIM(D96)),3,1))+VALUE(MID(UPPER(TRIM(D96)),5,1))+VALUE(MID(UPPER(TRIM(D96)),7,1)))+(INT(2*VALUE(MID(UPPER(TRIM(D96)),2,1))/10)+MOD(2*VALUE(MID(UPPER(TRIM(D96)),2,1)),10))+(INT(2*VALUE(MID(UPPER(TRIM(D96)),4,1))/10)+MOD(2*VALUE(MID(UPPER(TRIM(D96)),4,1)),10))+(INT(2*VALUE(MID(UPPER(TRIM(D96)),6,1))/10)+MOD(2*VALUE(MID(UPPER(TRIM(D96)),6,1)),10))+(INT(2*VALUE(MID(UPPER(TRIM(D96)),8,1))/10)+MOD(2*VALUE(MID(UPPER(TRIM(D96)),8,1)),10)),10),10),"0"),RIGHT(UPPER(TRIM(D96)),1)=MID("JABCDEFGHI",MOD(10-MOD((VALUE(MID(UPPER(TRIM(D96)),3,1))+VALUE(MID(UPPER(TRIM(D96)),5,1))+VALUE(MID(UPPER(TRIM(D96)),7,1)))+(INT(2*VALUE(MID(UPPER(TRIM(D96)),2,1))/10)+MOD(2*VALUE(MID(UPPER(TRIM(D96)),2,1)),10))+(INT(2*VALUE(MID(UPPER(TRIM(D96)),4,1))/10)+MOD(2*VALUE(MID(UPPER(TRIM(D96)),4,1)),10))+(INT(2*VALUE(MID(UPPER(TRIM(D96)),6,1))/10)+MOD(2*VALUE(MID(UPPER(TRIM(D96)),6,1)),10))+(INT(2*VALUE(MID(UPPER(TRIM(D96)),8,1))/10)+MOD(2*VALUE(MID(UPPER(TRIM(D96)),8,1)),10)),10),10)+1,1)),"OK","REVISAR")),"REVISAR")))</f>
        <v/>
      </c>
      <c r="Q96">
        <f>IF(B96="","",IF(COUNTIFS($B$2:$B$501,B96,$D$2:$D$501,D96)&gt;1,"DUPLICADA",""))</f>
        <v/>
      </c>
      <c r="R96">
        <f>IF(A96="","",ROUNDUP(MONTH(A96)/3,0))</f>
        <v/>
      </c>
      <c r="S96" s="3" t="n"/>
    </row>
    <row r="97">
      <c r="A97" s="2" t="n"/>
      <c r="B97" s="3" t="n"/>
      <c r="C97" s="3" t="n"/>
      <c r="D97" s="3" t="n"/>
      <c r="E97" s="4" t="n"/>
      <c r="F97" s="4" t="n"/>
      <c r="G97" s="4" t="n"/>
      <c r="H97" s="4" t="n"/>
      <c r="I97" s="5">
        <f>IF(E97="","",ROUND(E97*0.21,2))</f>
        <v/>
      </c>
      <c r="J97" s="5">
        <f>IF(F97="","",ROUND(F97*0.1,2))</f>
        <v/>
      </c>
      <c r="K97" s="5">
        <f>IF(G97="","",ROUND(G97*0.04,2))</f>
        <v/>
      </c>
      <c r="L97" s="4" t="n"/>
      <c r="M97" s="4" t="n"/>
      <c r="N97" s="5">
        <f>IF(A97="","",SUM(E97:K97)-N(L97))</f>
        <v/>
      </c>
      <c r="O97">
        <f>IF(OR(A97="",M97=""),"",IF(ABS(M97-N97)&lt;=0.02,"OK","REVISAR"))</f>
        <v/>
      </c>
      <c r="P97">
        <f>IF(D97="","",IF(LEN(TRIM(D97))&lt;&gt;9,"REVISAR",IFERROR(IF(OR(ISNUMBER(VALUE(LEFT(UPPER(TRIM(D97)),1))),LEFT(UPPER(TRIM(D97)),1)="X",LEFT(UPPER(TRIM(D97)),1)="Y",LEFT(UPPER(TRIM(D97)),1)="Z"),IF(MID("TRWAGMYFPDXBNJZSQVHLCKE",MOD(VALUE(SUBSTITUTE(SUBSTITUTE(SUBSTITUTE(LEFT(UPPER(TRIM(D97)),8),"X","0"),"Y","1"),"Z","2")),23)+1,1)=RIGHT(UPPER(TRIM(D97)),1),"OK","REVISAR"),IF(OR(RIGHT(UPPER(TRIM(D97)),1)=TEXT(MOD(10-MOD((VALUE(MID(UPPER(TRIM(D97)),3,1))+VALUE(MID(UPPER(TRIM(D97)),5,1))+VALUE(MID(UPPER(TRIM(D97)),7,1)))+(INT(2*VALUE(MID(UPPER(TRIM(D97)),2,1))/10)+MOD(2*VALUE(MID(UPPER(TRIM(D97)),2,1)),10))+(INT(2*VALUE(MID(UPPER(TRIM(D97)),4,1))/10)+MOD(2*VALUE(MID(UPPER(TRIM(D97)),4,1)),10))+(INT(2*VALUE(MID(UPPER(TRIM(D97)),6,1))/10)+MOD(2*VALUE(MID(UPPER(TRIM(D97)),6,1)),10))+(INT(2*VALUE(MID(UPPER(TRIM(D97)),8,1))/10)+MOD(2*VALUE(MID(UPPER(TRIM(D97)),8,1)),10)),10),10),"0"),RIGHT(UPPER(TRIM(D97)),1)=MID("JABCDEFGHI",MOD(10-MOD((VALUE(MID(UPPER(TRIM(D97)),3,1))+VALUE(MID(UPPER(TRIM(D97)),5,1))+VALUE(MID(UPPER(TRIM(D97)),7,1)))+(INT(2*VALUE(MID(UPPER(TRIM(D97)),2,1))/10)+MOD(2*VALUE(MID(UPPER(TRIM(D97)),2,1)),10))+(INT(2*VALUE(MID(UPPER(TRIM(D97)),4,1))/10)+MOD(2*VALUE(MID(UPPER(TRIM(D97)),4,1)),10))+(INT(2*VALUE(MID(UPPER(TRIM(D97)),6,1))/10)+MOD(2*VALUE(MID(UPPER(TRIM(D97)),6,1)),10))+(INT(2*VALUE(MID(UPPER(TRIM(D97)),8,1))/10)+MOD(2*VALUE(MID(UPPER(TRIM(D97)),8,1)),10)),10),10)+1,1)),"OK","REVISAR")),"REVISAR")))</f>
        <v/>
      </c>
      <c r="Q97">
        <f>IF(B97="","",IF(COUNTIFS($B$2:$B$501,B97,$D$2:$D$501,D97)&gt;1,"DUPLICADA",""))</f>
        <v/>
      </c>
      <c r="R97">
        <f>IF(A97="","",ROUNDUP(MONTH(A97)/3,0))</f>
        <v/>
      </c>
      <c r="S97" s="3" t="n"/>
    </row>
    <row r="98">
      <c r="A98" s="2" t="n"/>
      <c r="B98" s="3" t="n"/>
      <c r="C98" s="3" t="n"/>
      <c r="D98" s="3" t="n"/>
      <c r="E98" s="4" t="n"/>
      <c r="F98" s="4" t="n"/>
      <c r="G98" s="4" t="n"/>
      <c r="H98" s="4" t="n"/>
      <c r="I98" s="5">
        <f>IF(E98="","",ROUND(E98*0.21,2))</f>
        <v/>
      </c>
      <c r="J98" s="5">
        <f>IF(F98="","",ROUND(F98*0.1,2))</f>
        <v/>
      </c>
      <c r="K98" s="5">
        <f>IF(G98="","",ROUND(G98*0.04,2))</f>
        <v/>
      </c>
      <c r="L98" s="4" t="n"/>
      <c r="M98" s="4" t="n"/>
      <c r="N98" s="5">
        <f>IF(A98="","",SUM(E98:K98)-N(L98))</f>
        <v/>
      </c>
      <c r="O98">
        <f>IF(OR(A98="",M98=""),"",IF(ABS(M98-N98)&lt;=0.02,"OK","REVISAR"))</f>
        <v/>
      </c>
      <c r="P98">
        <f>IF(D98="","",IF(LEN(TRIM(D98))&lt;&gt;9,"REVISAR",IFERROR(IF(OR(ISNUMBER(VALUE(LEFT(UPPER(TRIM(D98)),1))),LEFT(UPPER(TRIM(D98)),1)="X",LEFT(UPPER(TRIM(D98)),1)="Y",LEFT(UPPER(TRIM(D98)),1)="Z"),IF(MID("TRWAGMYFPDXBNJZSQVHLCKE",MOD(VALUE(SUBSTITUTE(SUBSTITUTE(SUBSTITUTE(LEFT(UPPER(TRIM(D98)),8),"X","0"),"Y","1"),"Z","2")),23)+1,1)=RIGHT(UPPER(TRIM(D98)),1),"OK","REVISAR"),IF(OR(RIGHT(UPPER(TRIM(D98)),1)=TEXT(MOD(10-MOD((VALUE(MID(UPPER(TRIM(D98)),3,1))+VALUE(MID(UPPER(TRIM(D98)),5,1))+VALUE(MID(UPPER(TRIM(D98)),7,1)))+(INT(2*VALUE(MID(UPPER(TRIM(D98)),2,1))/10)+MOD(2*VALUE(MID(UPPER(TRIM(D98)),2,1)),10))+(INT(2*VALUE(MID(UPPER(TRIM(D98)),4,1))/10)+MOD(2*VALUE(MID(UPPER(TRIM(D98)),4,1)),10))+(INT(2*VALUE(MID(UPPER(TRIM(D98)),6,1))/10)+MOD(2*VALUE(MID(UPPER(TRIM(D98)),6,1)),10))+(INT(2*VALUE(MID(UPPER(TRIM(D98)),8,1))/10)+MOD(2*VALUE(MID(UPPER(TRIM(D98)),8,1)),10)),10),10),"0"),RIGHT(UPPER(TRIM(D98)),1)=MID("JABCDEFGHI",MOD(10-MOD((VALUE(MID(UPPER(TRIM(D98)),3,1))+VALUE(MID(UPPER(TRIM(D98)),5,1))+VALUE(MID(UPPER(TRIM(D98)),7,1)))+(INT(2*VALUE(MID(UPPER(TRIM(D98)),2,1))/10)+MOD(2*VALUE(MID(UPPER(TRIM(D98)),2,1)),10))+(INT(2*VALUE(MID(UPPER(TRIM(D98)),4,1))/10)+MOD(2*VALUE(MID(UPPER(TRIM(D98)),4,1)),10))+(INT(2*VALUE(MID(UPPER(TRIM(D98)),6,1))/10)+MOD(2*VALUE(MID(UPPER(TRIM(D98)),6,1)),10))+(INT(2*VALUE(MID(UPPER(TRIM(D98)),8,1))/10)+MOD(2*VALUE(MID(UPPER(TRIM(D98)),8,1)),10)),10),10)+1,1)),"OK","REVISAR")),"REVISAR")))</f>
        <v/>
      </c>
      <c r="Q98">
        <f>IF(B98="","",IF(COUNTIFS($B$2:$B$501,B98,$D$2:$D$501,D98)&gt;1,"DUPLICADA",""))</f>
        <v/>
      </c>
      <c r="R98">
        <f>IF(A98="","",ROUNDUP(MONTH(A98)/3,0))</f>
        <v/>
      </c>
      <c r="S98" s="3" t="n"/>
    </row>
    <row r="99">
      <c r="A99" s="2" t="n"/>
      <c r="B99" s="3" t="n"/>
      <c r="C99" s="3" t="n"/>
      <c r="D99" s="3" t="n"/>
      <c r="E99" s="4" t="n"/>
      <c r="F99" s="4" t="n"/>
      <c r="G99" s="4" t="n"/>
      <c r="H99" s="4" t="n"/>
      <c r="I99" s="5">
        <f>IF(E99="","",ROUND(E99*0.21,2))</f>
        <v/>
      </c>
      <c r="J99" s="5">
        <f>IF(F99="","",ROUND(F99*0.1,2))</f>
        <v/>
      </c>
      <c r="K99" s="5">
        <f>IF(G99="","",ROUND(G99*0.04,2))</f>
        <v/>
      </c>
      <c r="L99" s="4" t="n"/>
      <c r="M99" s="4" t="n"/>
      <c r="N99" s="5">
        <f>IF(A99="","",SUM(E99:K99)-N(L99))</f>
        <v/>
      </c>
      <c r="O99">
        <f>IF(OR(A99="",M99=""),"",IF(ABS(M99-N99)&lt;=0.02,"OK","REVISAR"))</f>
        <v/>
      </c>
      <c r="P99">
        <f>IF(D99="","",IF(LEN(TRIM(D99))&lt;&gt;9,"REVISAR",IFERROR(IF(OR(ISNUMBER(VALUE(LEFT(UPPER(TRIM(D99)),1))),LEFT(UPPER(TRIM(D99)),1)="X",LEFT(UPPER(TRIM(D99)),1)="Y",LEFT(UPPER(TRIM(D99)),1)="Z"),IF(MID("TRWAGMYFPDXBNJZSQVHLCKE",MOD(VALUE(SUBSTITUTE(SUBSTITUTE(SUBSTITUTE(LEFT(UPPER(TRIM(D99)),8),"X","0"),"Y","1"),"Z","2")),23)+1,1)=RIGHT(UPPER(TRIM(D99)),1),"OK","REVISAR"),IF(OR(RIGHT(UPPER(TRIM(D99)),1)=TEXT(MOD(10-MOD((VALUE(MID(UPPER(TRIM(D99)),3,1))+VALUE(MID(UPPER(TRIM(D99)),5,1))+VALUE(MID(UPPER(TRIM(D99)),7,1)))+(INT(2*VALUE(MID(UPPER(TRIM(D99)),2,1))/10)+MOD(2*VALUE(MID(UPPER(TRIM(D99)),2,1)),10))+(INT(2*VALUE(MID(UPPER(TRIM(D99)),4,1))/10)+MOD(2*VALUE(MID(UPPER(TRIM(D99)),4,1)),10))+(INT(2*VALUE(MID(UPPER(TRIM(D99)),6,1))/10)+MOD(2*VALUE(MID(UPPER(TRIM(D99)),6,1)),10))+(INT(2*VALUE(MID(UPPER(TRIM(D99)),8,1))/10)+MOD(2*VALUE(MID(UPPER(TRIM(D99)),8,1)),10)),10),10),"0"),RIGHT(UPPER(TRIM(D99)),1)=MID("JABCDEFGHI",MOD(10-MOD((VALUE(MID(UPPER(TRIM(D99)),3,1))+VALUE(MID(UPPER(TRIM(D99)),5,1))+VALUE(MID(UPPER(TRIM(D99)),7,1)))+(INT(2*VALUE(MID(UPPER(TRIM(D99)),2,1))/10)+MOD(2*VALUE(MID(UPPER(TRIM(D99)),2,1)),10))+(INT(2*VALUE(MID(UPPER(TRIM(D99)),4,1))/10)+MOD(2*VALUE(MID(UPPER(TRIM(D99)),4,1)),10))+(INT(2*VALUE(MID(UPPER(TRIM(D99)),6,1))/10)+MOD(2*VALUE(MID(UPPER(TRIM(D99)),6,1)),10))+(INT(2*VALUE(MID(UPPER(TRIM(D99)),8,1))/10)+MOD(2*VALUE(MID(UPPER(TRIM(D99)),8,1)),10)),10),10)+1,1)),"OK","REVISAR")),"REVISAR")))</f>
        <v/>
      </c>
      <c r="Q99">
        <f>IF(B99="","",IF(COUNTIFS($B$2:$B$501,B99,$D$2:$D$501,D99)&gt;1,"DUPLICADA",""))</f>
        <v/>
      </c>
      <c r="R99">
        <f>IF(A99="","",ROUNDUP(MONTH(A99)/3,0))</f>
        <v/>
      </c>
      <c r="S99" s="3" t="n"/>
    </row>
    <row r="100">
      <c r="A100" s="2" t="n"/>
      <c r="B100" s="3" t="n"/>
      <c r="C100" s="3" t="n"/>
      <c r="D100" s="3" t="n"/>
      <c r="E100" s="4" t="n"/>
      <c r="F100" s="4" t="n"/>
      <c r="G100" s="4" t="n"/>
      <c r="H100" s="4" t="n"/>
      <c r="I100" s="5">
        <f>IF(E100="","",ROUND(E100*0.21,2))</f>
        <v/>
      </c>
      <c r="J100" s="5">
        <f>IF(F100="","",ROUND(F100*0.1,2))</f>
        <v/>
      </c>
      <c r="K100" s="5">
        <f>IF(G100="","",ROUND(G100*0.04,2))</f>
        <v/>
      </c>
      <c r="L100" s="4" t="n"/>
      <c r="M100" s="4" t="n"/>
      <c r="N100" s="5">
        <f>IF(A100="","",SUM(E100:K100)-N(L100))</f>
        <v/>
      </c>
      <c r="O100">
        <f>IF(OR(A100="",M100=""),"",IF(ABS(M100-N100)&lt;=0.02,"OK","REVISAR"))</f>
        <v/>
      </c>
      <c r="P100">
        <f>IF(D100="","",IF(LEN(TRIM(D100))&lt;&gt;9,"REVISAR",IFERROR(IF(OR(ISNUMBER(VALUE(LEFT(UPPER(TRIM(D100)),1))),LEFT(UPPER(TRIM(D100)),1)="X",LEFT(UPPER(TRIM(D100)),1)="Y",LEFT(UPPER(TRIM(D100)),1)="Z"),IF(MID("TRWAGMYFPDXBNJZSQVHLCKE",MOD(VALUE(SUBSTITUTE(SUBSTITUTE(SUBSTITUTE(LEFT(UPPER(TRIM(D100)),8),"X","0"),"Y","1"),"Z","2")),23)+1,1)=RIGHT(UPPER(TRIM(D100)),1),"OK","REVISAR"),IF(OR(RIGHT(UPPER(TRIM(D100)),1)=TEXT(MOD(10-MOD((VALUE(MID(UPPER(TRIM(D100)),3,1))+VALUE(MID(UPPER(TRIM(D100)),5,1))+VALUE(MID(UPPER(TRIM(D100)),7,1)))+(INT(2*VALUE(MID(UPPER(TRIM(D100)),2,1))/10)+MOD(2*VALUE(MID(UPPER(TRIM(D100)),2,1)),10))+(INT(2*VALUE(MID(UPPER(TRIM(D100)),4,1))/10)+MOD(2*VALUE(MID(UPPER(TRIM(D100)),4,1)),10))+(INT(2*VALUE(MID(UPPER(TRIM(D100)),6,1))/10)+MOD(2*VALUE(MID(UPPER(TRIM(D100)),6,1)),10))+(INT(2*VALUE(MID(UPPER(TRIM(D100)),8,1))/10)+MOD(2*VALUE(MID(UPPER(TRIM(D100)),8,1)),10)),10),10),"0"),RIGHT(UPPER(TRIM(D100)),1)=MID("JABCDEFGHI",MOD(10-MOD((VALUE(MID(UPPER(TRIM(D100)),3,1))+VALUE(MID(UPPER(TRIM(D100)),5,1))+VALUE(MID(UPPER(TRIM(D100)),7,1)))+(INT(2*VALUE(MID(UPPER(TRIM(D100)),2,1))/10)+MOD(2*VALUE(MID(UPPER(TRIM(D100)),2,1)),10))+(INT(2*VALUE(MID(UPPER(TRIM(D100)),4,1))/10)+MOD(2*VALUE(MID(UPPER(TRIM(D100)),4,1)),10))+(INT(2*VALUE(MID(UPPER(TRIM(D100)),6,1))/10)+MOD(2*VALUE(MID(UPPER(TRIM(D100)),6,1)),10))+(INT(2*VALUE(MID(UPPER(TRIM(D100)),8,1))/10)+MOD(2*VALUE(MID(UPPER(TRIM(D100)),8,1)),10)),10),10)+1,1)),"OK","REVISAR")),"REVISAR")))</f>
        <v/>
      </c>
      <c r="Q100">
        <f>IF(B100="","",IF(COUNTIFS($B$2:$B$501,B100,$D$2:$D$501,D100)&gt;1,"DUPLICADA",""))</f>
        <v/>
      </c>
      <c r="R100">
        <f>IF(A100="","",ROUNDUP(MONTH(A100)/3,0))</f>
        <v/>
      </c>
      <c r="S100" s="3" t="n"/>
    </row>
    <row r="101">
      <c r="A101" s="2" t="n"/>
      <c r="B101" s="3" t="n"/>
      <c r="C101" s="3" t="n"/>
      <c r="D101" s="3" t="n"/>
      <c r="E101" s="4" t="n"/>
      <c r="F101" s="4" t="n"/>
      <c r="G101" s="4" t="n"/>
      <c r="H101" s="4" t="n"/>
      <c r="I101" s="5">
        <f>IF(E101="","",ROUND(E101*0.21,2))</f>
        <v/>
      </c>
      <c r="J101" s="5">
        <f>IF(F101="","",ROUND(F101*0.1,2))</f>
        <v/>
      </c>
      <c r="K101" s="5">
        <f>IF(G101="","",ROUND(G101*0.04,2))</f>
        <v/>
      </c>
      <c r="L101" s="4" t="n"/>
      <c r="M101" s="4" t="n"/>
      <c r="N101" s="5">
        <f>IF(A101="","",SUM(E101:K101)-N(L101))</f>
        <v/>
      </c>
      <c r="O101">
        <f>IF(OR(A101="",M101=""),"",IF(ABS(M101-N101)&lt;=0.02,"OK","REVISAR"))</f>
        <v/>
      </c>
      <c r="P101">
        <f>IF(D101="","",IF(LEN(TRIM(D101))&lt;&gt;9,"REVISAR",IFERROR(IF(OR(ISNUMBER(VALUE(LEFT(UPPER(TRIM(D101)),1))),LEFT(UPPER(TRIM(D101)),1)="X",LEFT(UPPER(TRIM(D101)),1)="Y",LEFT(UPPER(TRIM(D101)),1)="Z"),IF(MID("TRWAGMYFPDXBNJZSQVHLCKE",MOD(VALUE(SUBSTITUTE(SUBSTITUTE(SUBSTITUTE(LEFT(UPPER(TRIM(D101)),8),"X","0"),"Y","1"),"Z","2")),23)+1,1)=RIGHT(UPPER(TRIM(D101)),1),"OK","REVISAR"),IF(OR(RIGHT(UPPER(TRIM(D101)),1)=TEXT(MOD(10-MOD((VALUE(MID(UPPER(TRIM(D101)),3,1))+VALUE(MID(UPPER(TRIM(D101)),5,1))+VALUE(MID(UPPER(TRIM(D101)),7,1)))+(INT(2*VALUE(MID(UPPER(TRIM(D101)),2,1))/10)+MOD(2*VALUE(MID(UPPER(TRIM(D101)),2,1)),10))+(INT(2*VALUE(MID(UPPER(TRIM(D101)),4,1))/10)+MOD(2*VALUE(MID(UPPER(TRIM(D101)),4,1)),10))+(INT(2*VALUE(MID(UPPER(TRIM(D101)),6,1))/10)+MOD(2*VALUE(MID(UPPER(TRIM(D101)),6,1)),10))+(INT(2*VALUE(MID(UPPER(TRIM(D101)),8,1))/10)+MOD(2*VALUE(MID(UPPER(TRIM(D101)),8,1)),10)),10),10),"0"),RIGHT(UPPER(TRIM(D101)),1)=MID("JABCDEFGHI",MOD(10-MOD((VALUE(MID(UPPER(TRIM(D101)),3,1))+VALUE(MID(UPPER(TRIM(D101)),5,1))+VALUE(MID(UPPER(TRIM(D101)),7,1)))+(INT(2*VALUE(MID(UPPER(TRIM(D101)),2,1))/10)+MOD(2*VALUE(MID(UPPER(TRIM(D101)),2,1)),10))+(INT(2*VALUE(MID(UPPER(TRIM(D101)),4,1))/10)+MOD(2*VALUE(MID(UPPER(TRIM(D101)),4,1)),10))+(INT(2*VALUE(MID(UPPER(TRIM(D101)),6,1))/10)+MOD(2*VALUE(MID(UPPER(TRIM(D101)),6,1)),10))+(INT(2*VALUE(MID(UPPER(TRIM(D101)),8,1))/10)+MOD(2*VALUE(MID(UPPER(TRIM(D101)),8,1)),10)),10),10)+1,1)),"OK","REVISAR")),"REVISAR")))</f>
        <v/>
      </c>
      <c r="Q101">
        <f>IF(B101="","",IF(COUNTIFS($B$2:$B$501,B101,$D$2:$D$501,D101)&gt;1,"DUPLICADA",""))</f>
        <v/>
      </c>
      <c r="R101">
        <f>IF(A101="","",ROUNDUP(MONTH(A101)/3,0))</f>
        <v/>
      </c>
      <c r="S101" s="3" t="n"/>
    </row>
    <row r="102">
      <c r="A102" s="2" t="n"/>
      <c r="B102" s="3" t="n"/>
      <c r="C102" s="3" t="n"/>
      <c r="D102" s="3" t="n"/>
      <c r="E102" s="4" t="n"/>
      <c r="F102" s="4" t="n"/>
      <c r="G102" s="4" t="n"/>
      <c r="H102" s="4" t="n"/>
      <c r="I102" s="5">
        <f>IF(E102="","",ROUND(E102*0.21,2))</f>
        <v/>
      </c>
      <c r="J102" s="5">
        <f>IF(F102="","",ROUND(F102*0.1,2))</f>
        <v/>
      </c>
      <c r="K102" s="5">
        <f>IF(G102="","",ROUND(G102*0.04,2))</f>
        <v/>
      </c>
      <c r="L102" s="4" t="n"/>
      <c r="M102" s="4" t="n"/>
      <c r="N102" s="5">
        <f>IF(A102="","",SUM(E102:K102)-N(L102))</f>
        <v/>
      </c>
      <c r="O102">
        <f>IF(OR(A102="",M102=""),"",IF(ABS(M102-N102)&lt;=0.02,"OK","REVISAR"))</f>
        <v/>
      </c>
      <c r="P102">
        <f>IF(D102="","",IF(LEN(TRIM(D102))&lt;&gt;9,"REVISAR",IFERROR(IF(OR(ISNUMBER(VALUE(LEFT(UPPER(TRIM(D102)),1))),LEFT(UPPER(TRIM(D102)),1)="X",LEFT(UPPER(TRIM(D102)),1)="Y",LEFT(UPPER(TRIM(D102)),1)="Z"),IF(MID("TRWAGMYFPDXBNJZSQVHLCKE",MOD(VALUE(SUBSTITUTE(SUBSTITUTE(SUBSTITUTE(LEFT(UPPER(TRIM(D102)),8),"X","0"),"Y","1"),"Z","2")),23)+1,1)=RIGHT(UPPER(TRIM(D102)),1),"OK","REVISAR"),IF(OR(RIGHT(UPPER(TRIM(D102)),1)=TEXT(MOD(10-MOD((VALUE(MID(UPPER(TRIM(D102)),3,1))+VALUE(MID(UPPER(TRIM(D102)),5,1))+VALUE(MID(UPPER(TRIM(D102)),7,1)))+(INT(2*VALUE(MID(UPPER(TRIM(D102)),2,1))/10)+MOD(2*VALUE(MID(UPPER(TRIM(D102)),2,1)),10))+(INT(2*VALUE(MID(UPPER(TRIM(D102)),4,1))/10)+MOD(2*VALUE(MID(UPPER(TRIM(D102)),4,1)),10))+(INT(2*VALUE(MID(UPPER(TRIM(D102)),6,1))/10)+MOD(2*VALUE(MID(UPPER(TRIM(D102)),6,1)),10))+(INT(2*VALUE(MID(UPPER(TRIM(D102)),8,1))/10)+MOD(2*VALUE(MID(UPPER(TRIM(D102)),8,1)),10)),10),10),"0"),RIGHT(UPPER(TRIM(D102)),1)=MID("JABCDEFGHI",MOD(10-MOD((VALUE(MID(UPPER(TRIM(D102)),3,1))+VALUE(MID(UPPER(TRIM(D102)),5,1))+VALUE(MID(UPPER(TRIM(D102)),7,1)))+(INT(2*VALUE(MID(UPPER(TRIM(D102)),2,1))/10)+MOD(2*VALUE(MID(UPPER(TRIM(D102)),2,1)),10))+(INT(2*VALUE(MID(UPPER(TRIM(D102)),4,1))/10)+MOD(2*VALUE(MID(UPPER(TRIM(D102)),4,1)),10))+(INT(2*VALUE(MID(UPPER(TRIM(D102)),6,1))/10)+MOD(2*VALUE(MID(UPPER(TRIM(D102)),6,1)),10))+(INT(2*VALUE(MID(UPPER(TRIM(D102)),8,1))/10)+MOD(2*VALUE(MID(UPPER(TRIM(D102)),8,1)),10)),10),10)+1,1)),"OK","REVISAR")),"REVISAR")))</f>
        <v/>
      </c>
      <c r="Q102">
        <f>IF(B102="","",IF(COUNTIFS($B$2:$B$501,B102,$D$2:$D$501,D102)&gt;1,"DUPLICADA",""))</f>
        <v/>
      </c>
      <c r="R102">
        <f>IF(A102="","",ROUNDUP(MONTH(A102)/3,0))</f>
        <v/>
      </c>
      <c r="S102" s="3" t="n"/>
    </row>
    <row r="103">
      <c r="A103" s="2" t="n"/>
      <c r="B103" s="3" t="n"/>
      <c r="C103" s="3" t="n"/>
      <c r="D103" s="3" t="n"/>
      <c r="E103" s="4" t="n"/>
      <c r="F103" s="4" t="n"/>
      <c r="G103" s="4" t="n"/>
      <c r="H103" s="4" t="n"/>
      <c r="I103" s="5">
        <f>IF(E103="","",ROUND(E103*0.21,2))</f>
        <v/>
      </c>
      <c r="J103" s="5">
        <f>IF(F103="","",ROUND(F103*0.1,2))</f>
        <v/>
      </c>
      <c r="K103" s="5">
        <f>IF(G103="","",ROUND(G103*0.04,2))</f>
        <v/>
      </c>
      <c r="L103" s="4" t="n"/>
      <c r="M103" s="4" t="n"/>
      <c r="N103" s="5">
        <f>IF(A103="","",SUM(E103:K103)-N(L103))</f>
        <v/>
      </c>
      <c r="O103">
        <f>IF(OR(A103="",M103=""),"",IF(ABS(M103-N103)&lt;=0.02,"OK","REVISAR"))</f>
        <v/>
      </c>
      <c r="P103">
        <f>IF(D103="","",IF(LEN(TRIM(D103))&lt;&gt;9,"REVISAR",IFERROR(IF(OR(ISNUMBER(VALUE(LEFT(UPPER(TRIM(D103)),1))),LEFT(UPPER(TRIM(D103)),1)="X",LEFT(UPPER(TRIM(D103)),1)="Y",LEFT(UPPER(TRIM(D103)),1)="Z"),IF(MID("TRWAGMYFPDXBNJZSQVHLCKE",MOD(VALUE(SUBSTITUTE(SUBSTITUTE(SUBSTITUTE(LEFT(UPPER(TRIM(D103)),8),"X","0"),"Y","1"),"Z","2")),23)+1,1)=RIGHT(UPPER(TRIM(D103)),1),"OK","REVISAR"),IF(OR(RIGHT(UPPER(TRIM(D103)),1)=TEXT(MOD(10-MOD((VALUE(MID(UPPER(TRIM(D103)),3,1))+VALUE(MID(UPPER(TRIM(D103)),5,1))+VALUE(MID(UPPER(TRIM(D103)),7,1)))+(INT(2*VALUE(MID(UPPER(TRIM(D103)),2,1))/10)+MOD(2*VALUE(MID(UPPER(TRIM(D103)),2,1)),10))+(INT(2*VALUE(MID(UPPER(TRIM(D103)),4,1))/10)+MOD(2*VALUE(MID(UPPER(TRIM(D103)),4,1)),10))+(INT(2*VALUE(MID(UPPER(TRIM(D103)),6,1))/10)+MOD(2*VALUE(MID(UPPER(TRIM(D103)),6,1)),10))+(INT(2*VALUE(MID(UPPER(TRIM(D103)),8,1))/10)+MOD(2*VALUE(MID(UPPER(TRIM(D103)),8,1)),10)),10),10),"0"),RIGHT(UPPER(TRIM(D103)),1)=MID("JABCDEFGHI",MOD(10-MOD((VALUE(MID(UPPER(TRIM(D103)),3,1))+VALUE(MID(UPPER(TRIM(D103)),5,1))+VALUE(MID(UPPER(TRIM(D103)),7,1)))+(INT(2*VALUE(MID(UPPER(TRIM(D103)),2,1))/10)+MOD(2*VALUE(MID(UPPER(TRIM(D103)),2,1)),10))+(INT(2*VALUE(MID(UPPER(TRIM(D103)),4,1))/10)+MOD(2*VALUE(MID(UPPER(TRIM(D103)),4,1)),10))+(INT(2*VALUE(MID(UPPER(TRIM(D103)),6,1))/10)+MOD(2*VALUE(MID(UPPER(TRIM(D103)),6,1)),10))+(INT(2*VALUE(MID(UPPER(TRIM(D103)),8,1))/10)+MOD(2*VALUE(MID(UPPER(TRIM(D103)),8,1)),10)),10),10)+1,1)),"OK","REVISAR")),"REVISAR")))</f>
        <v/>
      </c>
      <c r="Q103">
        <f>IF(B103="","",IF(COUNTIFS($B$2:$B$501,B103,$D$2:$D$501,D103)&gt;1,"DUPLICADA",""))</f>
        <v/>
      </c>
      <c r="R103">
        <f>IF(A103="","",ROUNDUP(MONTH(A103)/3,0))</f>
        <v/>
      </c>
      <c r="S103" s="3" t="n"/>
    </row>
    <row r="104">
      <c r="A104" s="2" t="n"/>
      <c r="B104" s="3" t="n"/>
      <c r="C104" s="3" t="n"/>
      <c r="D104" s="3" t="n"/>
      <c r="E104" s="4" t="n"/>
      <c r="F104" s="4" t="n"/>
      <c r="G104" s="4" t="n"/>
      <c r="H104" s="4" t="n"/>
      <c r="I104" s="5">
        <f>IF(E104="","",ROUND(E104*0.21,2))</f>
        <v/>
      </c>
      <c r="J104" s="5">
        <f>IF(F104="","",ROUND(F104*0.1,2))</f>
        <v/>
      </c>
      <c r="K104" s="5">
        <f>IF(G104="","",ROUND(G104*0.04,2))</f>
        <v/>
      </c>
      <c r="L104" s="4" t="n"/>
      <c r="M104" s="4" t="n"/>
      <c r="N104" s="5">
        <f>IF(A104="","",SUM(E104:K104)-N(L104))</f>
        <v/>
      </c>
      <c r="O104">
        <f>IF(OR(A104="",M104=""),"",IF(ABS(M104-N104)&lt;=0.02,"OK","REVISAR"))</f>
        <v/>
      </c>
      <c r="P104">
        <f>IF(D104="","",IF(LEN(TRIM(D104))&lt;&gt;9,"REVISAR",IFERROR(IF(OR(ISNUMBER(VALUE(LEFT(UPPER(TRIM(D104)),1))),LEFT(UPPER(TRIM(D104)),1)="X",LEFT(UPPER(TRIM(D104)),1)="Y",LEFT(UPPER(TRIM(D104)),1)="Z"),IF(MID("TRWAGMYFPDXBNJZSQVHLCKE",MOD(VALUE(SUBSTITUTE(SUBSTITUTE(SUBSTITUTE(LEFT(UPPER(TRIM(D104)),8),"X","0"),"Y","1"),"Z","2")),23)+1,1)=RIGHT(UPPER(TRIM(D104)),1),"OK","REVISAR"),IF(OR(RIGHT(UPPER(TRIM(D104)),1)=TEXT(MOD(10-MOD((VALUE(MID(UPPER(TRIM(D104)),3,1))+VALUE(MID(UPPER(TRIM(D104)),5,1))+VALUE(MID(UPPER(TRIM(D104)),7,1)))+(INT(2*VALUE(MID(UPPER(TRIM(D104)),2,1))/10)+MOD(2*VALUE(MID(UPPER(TRIM(D104)),2,1)),10))+(INT(2*VALUE(MID(UPPER(TRIM(D104)),4,1))/10)+MOD(2*VALUE(MID(UPPER(TRIM(D104)),4,1)),10))+(INT(2*VALUE(MID(UPPER(TRIM(D104)),6,1))/10)+MOD(2*VALUE(MID(UPPER(TRIM(D104)),6,1)),10))+(INT(2*VALUE(MID(UPPER(TRIM(D104)),8,1))/10)+MOD(2*VALUE(MID(UPPER(TRIM(D104)),8,1)),10)),10),10),"0"),RIGHT(UPPER(TRIM(D104)),1)=MID("JABCDEFGHI",MOD(10-MOD((VALUE(MID(UPPER(TRIM(D104)),3,1))+VALUE(MID(UPPER(TRIM(D104)),5,1))+VALUE(MID(UPPER(TRIM(D104)),7,1)))+(INT(2*VALUE(MID(UPPER(TRIM(D104)),2,1))/10)+MOD(2*VALUE(MID(UPPER(TRIM(D104)),2,1)),10))+(INT(2*VALUE(MID(UPPER(TRIM(D104)),4,1))/10)+MOD(2*VALUE(MID(UPPER(TRIM(D104)),4,1)),10))+(INT(2*VALUE(MID(UPPER(TRIM(D104)),6,1))/10)+MOD(2*VALUE(MID(UPPER(TRIM(D104)),6,1)),10))+(INT(2*VALUE(MID(UPPER(TRIM(D104)),8,1))/10)+MOD(2*VALUE(MID(UPPER(TRIM(D104)),8,1)),10)),10),10)+1,1)),"OK","REVISAR")),"REVISAR")))</f>
        <v/>
      </c>
      <c r="Q104">
        <f>IF(B104="","",IF(COUNTIFS($B$2:$B$501,B104,$D$2:$D$501,D104)&gt;1,"DUPLICADA",""))</f>
        <v/>
      </c>
      <c r="R104">
        <f>IF(A104="","",ROUNDUP(MONTH(A104)/3,0))</f>
        <v/>
      </c>
      <c r="S104" s="3" t="n"/>
    </row>
    <row r="105">
      <c r="A105" s="2" t="n"/>
      <c r="B105" s="3" t="n"/>
      <c r="C105" s="3" t="n"/>
      <c r="D105" s="3" t="n"/>
      <c r="E105" s="4" t="n"/>
      <c r="F105" s="4" t="n"/>
      <c r="G105" s="4" t="n"/>
      <c r="H105" s="4" t="n"/>
      <c r="I105" s="5">
        <f>IF(E105="","",ROUND(E105*0.21,2))</f>
        <v/>
      </c>
      <c r="J105" s="5">
        <f>IF(F105="","",ROUND(F105*0.1,2))</f>
        <v/>
      </c>
      <c r="K105" s="5">
        <f>IF(G105="","",ROUND(G105*0.04,2))</f>
        <v/>
      </c>
      <c r="L105" s="4" t="n"/>
      <c r="M105" s="4" t="n"/>
      <c r="N105" s="5">
        <f>IF(A105="","",SUM(E105:K105)-N(L105))</f>
        <v/>
      </c>
      <c r="O105">
        <f>IF(OR(A105="",M105=""),"",IF(ABS(M105-N105)&lt;=0.02,"OK","REVISAR"))</f>
        <v/>
      </c>
      <c r="P105">
        <f>IF(D105="","",IF(LEN(TRIM(D105))&lt;&gt;9,"REVISAR",IFERROR(IF(OR(ISNUMBER(VALUE(LEFT(UPPER(TRIM(D105)),1))),LEFT(UPPER(TRIM(D105)),1)="X",LEFT(UPPER(TRIM(D105)),1)="Y",LEFT(UPPER(TRIM(D105)),1)="Z"),IF(MID("TRWAGMYFPDXBNJZSQVHLCKE",MOD(VALUE(SUBSTITUTE(SUBSTITUTE(SUBSTITUTE(LEFT(UPPER(TRIM(D105)),8),"X","0"),"Y","1"),"Z","2")),23)+1,1)=RIGHT(UPPER(TRIM(D105)),1),"OK","REVISAR"),IF(OR(RIGHT(UPPER(TRIM(D105)),1)=TEXT(MOD(10-MOD((VALUE(MID(UPPER(TRIM(D105)),3,1))+VALUE(MID(UPPER(TRIM(D105)),5,1))+VALUE(MID(UPPER(TRIM(D105)),7,1)))+(INT(2*VALUE(MID(UPPER(TRIM(D105)),2,1))/10)+MOD(2*VALUE(MID(UPPER(TRIM(D105)),2,1)),10))+(INT(2*VALUE(MID(UPPER(TRIM(D105)),4,1))/10)+MOD(2*VALUE(MID(UPPER(TRIM(D105)),4,1)),10))+(INT(2*VALUE(MID(UPPER(TRIM(D105)),6,1))/10)+MOD(2*VALUE(MID(UPPER(TRIM(D105)),6,1)),10))+(INT(2*VALUE(MID(UPPER(TRIM(D105)),8,1))/10)+MOD(2*VALUE(MID(UPPER(TRIM(D105)),8,1)),10)),10),10),"0"),RIGHT(UPPER(TRIM(D105)),1)=MID("JABCDEFGHI",MOD(10-MOD((VALUE(MID(UPPER(TRIM(D105)),3,1))+VALUE(MID(UPPER(TRIM(D105)),5,1))+VALUE(MID(UPPER(TRIM(D105)),7,1)))+(INT(2*VALUE(MID(UPPER(TRIM(D105)),2,1))/10)+MOD(2*VALUE(MID(UPPER(TRIM(D105)),2,1)),10))+(INT(2*VALUE(MID(UPPER(TRIM(D105)),4,1))/10)+MOD(2*VALUE(MID(UPPER(TRIM(D105)),4,1)),10))+(INT(2*VALUE(MID(UPPER(TRIM(D105)),6,1))/10)+MOD(2*VALUE(MID(UPPER(TRIM(D105)),6,1)),10))+(INT(2*VALUE(MID(UPPER(TRIM(D105)),8,1))/10)+MOD(2*VALUE(MID(UPPER(TRIM(D105)),8,1)),10)),10),10)+1,1)),"OK","REVISAR")),"REVISAR")))</f>
        <v/>
      </c>
      <c r="Q105">
        <f>IF(B105="","",IF(COUNTIFS($B$2:$B$501,B105,$D$2:$D$501,D105)&gt;1,"DUPLICADA",""))</f>
        <v/>
      </c>
      <c r="R105">
        <f>IF(A105="","",ROUNDUP(MONTH(A105)/3,0))</f>
        <v/>
      </c>
      <c r="S105" s="3" t="n"/>
    </row>
    <row r="106">
      <c r="A106" s="2" t="n"/>
      <c r="B106" s="3" t="n"/>
      <c r="C106" s="3" t="n"/>
      <c r="D106" s="3" t="n"/>
      <c r="E106" s="4" t="n"/>
      <c r="F106" s="4" t="n"/>
      <c r="G106" s="4" t="n"/>
      <c r="H106" s="4" t="n"/>
      <c r="I106" s="5">
        <f>IF(E106="","",ROUND(E106*0.21,2))</f>
        <v/>
      </c>
      <c r="J106" s="5">
        <f>IF(F106="","",ROUND(F106*0.1,2))</f>
        <v/>
      </c>
      <c r="K106" s="5">
        <f>IF(G106="","",ROUND(G106*0.04,2))</f>
        <v/>
      </c>
      <c r="L106" s="4" t="n"/>
      <c r="M106" s="4" t="n"/>
      <c r="N106" s="5">
        <f>IF(A106="","",SUM(E106:K106)-N(L106))</f>
        <v/>
      </c>
      <c r="O106">
        <f>IF(OR(A106="",M106=""),"",IF(ABS(M106-N106)&lt;=0.02,"OK","REVISAR"))</f>
        <v/>
      </c>
      <c r="P106">
        <f>IF(D106="","",IF(LEN(TRIM(D106))&lt;&gt;9,"REVISAR",IFERROR(IF(OR(ISNUMBER(VALUE(LEFT(UPPER(TRIM(D106)),1))),LEFT(UPPER(TRIM(D106)),1)="X",LEFT(UPPER(TRIM(D106)),1)="Y",LEFT(UPPER(TRIM(D106)),1)="Z"),IF(MID("TRWAGMYFPDXBNJZSQVHLCKE",MOD(VALUE(SUBSTITUTE(SUBSTITUTE(SUBSTITUTE(LEFT(UPPER(TRIM(D106)),8),"X","0"),"Y","1"),"Z","2")),23)+1,1)=RIGHT(UPPER(TRIM(D106)),1),"OK","REVISAR"),IF(OR(RIGHT(UPPER(TRIM(D106)),1)=TEXT(MOD(10-MOD((VALUE(MID(UPPER(TRIM(D106)),3,1))+VALUE(MID(UPPER(TRIM(D106)),5,1))+VALUE(MID(UPPER(TRIM(D106)),7,1)))+(INT(2*VALUE(MID(UPPER(TRIM(D106)),2,1))/10)+MOD(2*VALUE(MID(UPPER(TRIM(D106)),2,1)),10))+(INT(2*VALUE(MID(UPPER(TRIM(D106)),4,1))/10)+MOD(2*VALUE(MID(UPPER(TRIM(D106)),4,1)),10))+(INT(2*VALUE(MID(UPPER(TRIM(D106)),6,1))/10)+MOD(2*VALUE(MID(UPPER(TRIM(D106)),6,1)),10))+(INT(2*VALUE(MID(UPPER(TRIM(D106)),8,1))/10)+MOD(2*VALUE(MID(UPPER(TRIM(D106)),8,1)),10)),10),10),"0"),RIGHT(UPPER(TRIM(D106)),1)=MID("JABCDEFGHI",MOD(10-MOD((VALUE(MID(UPPER(TRIM(D106)),3,1))+VALUE(MID(UPPER(TRIM(D106)),5,1))+VALUE(MID(UPPER(TRIM(D106)),7,1)))+(INT(2*VALUE(MID(UPPER(TRIM(D106)),2,1))/10)+MOD(2*VALUE(MID(UPPER(TRIM(D106)),2,1)),10))+(INT(2*VALUE(MID(UPPER(TRIM(D106)),4,1))/10)+MOD(2*VALUE(MID(UPPER(TRIM(D106)),4,1)),10))+(INT(2*VALUE(MID(UPPER(TRIM(D106)),6,1))/10)+MOD(2*VALUE(MID(UPPER(TRIM(D106)),6,1)),10))+(INT(2*VALUE(MID(UPPER(TRIM(D106)),8,1))/10)+MOD(2*VALUE(MID(UPPER(TRIM(D106)),8,1)),10)),10),10)+1,1)),"OK","REVISAR")),"REVISAR")))</f>
        <v/>
      </c>
      <c r="Q106">
        <f>IF(B106="","",IF(COUNTIFS($B$2:$B$501,B106,$D$2:$D$501,D106)&gt;1,"DUPLICADA",""))</f>
        <v/>
      </c>
      <c r="R106">
        <f>IF(A106="","",ROUNDUP(MONTH(A106)/3,0))</f>
        <v/>
      </c>
      <c r="S106" s="3" t="n"/>
    </row>
    <row r="107">
      <c r="A107" s="2" t="n"/>
      <c r="B107" s="3" t="n"/>
      <c r="C107" s="3" t="n"/>
      <c r="D107" s="3" t="n"/>
      <c r="E107" s="4" t="n"/>
      <c r="F107" s="4" t="n"/>
      <c r="G107" s="4" t="n"/>
      <c r="H107" s="4" t="n"/>
      <c r="I107" s="5">
        <f>IF(E107="","",ROUND(E107*0.21,2))</f>
        <v/>
      </c>
      <c r="J107" s="5">
        <f>IF(F107="","",ROUND(F107*0.1,2))</f>
        <v/>
      </c>
      <c r="K107" s="5">
        <f>IF(G107="","",ROUND(G107*0.04,2))</f>
        <v/>
      </c>
      <c r="L107" s="4" t="n"/>
      <c r="M107" s="4" t="n"/>
      <c r="N107" s="5">
        <f>IF(A107="","",SUM(E107:K107)-N(L107))</f>
        <v/>
      </c>
      <c r="O107">
        <f>IF(OR(A107="",M107=""),"",IF(ABS(M107-N107)&lt;=0.02,"OK","REVISAR"))</f>
        <v/>
      </c>
      <c r="P107">
        <f>IF(D107="","",IF(LEN(TRIM(D107))&lt;&gt;9,"REVISAR",IFERROR(IF(OR(ISNUMBER(VALUE(LEFT(UPPER(TRIM(D107)),1))),LEFT(UPPER(TRIM(D107)),1)="X",LEFT(UPPER(TRIM(D107)),1)="Y",LEFT(UPPER(TRIM(D107)),1)="Z"),IF(MID("TRWAGMYFPDXBNJZSQVHLCKE",MOD(VALUE(SUBSTITUTE(SUBSTITUTE(SUBSTITUTE(LEFT(UPPER(TRIM(D107)),8),"X","0"),"Y","1"),"Z","2")),23)+1,1)=RIGHT(UPPER(TRIM(D107)),1),"OK","REVISAR"),IF(OR(RIGHT(UPPER(TRIM(D107)),1)=TEXT(MOD(10-MOD((VALUE(MID(UPPER(TRIM(D107)),3,1))+VALUE(MID(UPPER(TRIM(D107)),5,1))+VALUE(MID(UPPER(TRIM(D107)),7,1)))+(INT(2*VALUE(MID(UPPER(TRIM(D107)),2,1))/10)+MOD(2*VALUE(MID(UPPER(TRIM(D107)),2,1)),10))+(INT(2*VALUE(MID(UPPER(TRIM(D107)),4,1))/10)+MOD(2*VALUE(MID(UPPER(TRIM(D107)),4,1)),10))+(INT(2*VALUE(MID(UPPER(TRIM(D107)),6,1))/10)+MOD(2*VALUE(MID(UPPER(TRIM(D107)),6,1)),10))+(INT(2*VALUE(MID(UPPER(TRIM(D107)),8,1))/10)+MOD(2*VALUE(MID(UPPER(TRIM(D107)),8,1)),10)),10),10),"0"),RIGHT(UPPER(TRIM(D107)),1)=MID("JABCDEFGHI",MOD(10-MOD((VALUE(MID(UPPER(TRIM(D107)),3,1))+VALUE(MID(UPPER(TRIM(D107)),5,1))+VALUE(MID(UPPER(TRIM(D107)),7,1)))+(INT(2*VALUE(MID(UPPER(TRIM(D107)),2,1))/10)+MOD(2*VALUE(MID(UPPER(TRIM(D107)),2,1)),10))+(INT(2*VALUE(MID(UPPER(TRIM(D107)),4,1))/10)+MOD(2*VALUE(MID(UPPER(TRIM(D107)),4,1)),10))+(INT(2*VALUE(MID(UPPER(TRIM(D107)),6,1))/10)+MOD(2*VALUE(MID(UPPER(TRIM(D107)),6,1)),10))+(INT(2*VALUE(MID(UPPER(TRIM(D107)),8,1))/10)+MOD(2*VALUE(MID(UPPER(TRIM(D107)),8,1)),10)),10),10)+1,1)),"OK","REVISAR")),"REVISAR")))</f>
        <v/>
      </c>
      <c r="Q107">
        <f>IF(B107="","",IF(COUNTIFS($B$2:$B$501,B107,$D$2:$D$501,D107)&gt;1,"DUPLICADA",""))</f>
        <v/>
      </c>
      <c r="R107">
        <f>IF(A107="","",ROUNDUP(MONTH(A107)/3,0))</f>
        <v/>
      </c>
      <c r="S107" s="3" t="n"/>
    </row>
    <row r="108">
      <c r="A108" s="2" t="n"/>
      <c r="B108" s="3" t="n"/>
      <c r="C108" s="3" t="n"/>
      <c r="D108" s="3" t="n"/>
      <c r="E108" s="4" t="n"/>
      <c r="F108" s="4" t="n"/>
      <c r="G108" s="4" t="n"/>
      <c r="H108" s="4" t="n"/>
      <c r="I108" s="5">
        <f>IF(E108="","",ROUND(E108*0.21,2))</f>
        <v/>
      </c>
      <c r="J108" s="5">
        <f>IF(F108="","",ROUND(F108*0.1,2))</f>
        <v/>
      </c>
      <c r="K108" s="5">
        <f>IF(G108="","",ROUND(G108*0.04,2))</f>
        <v/>
      </c>
      <c r="L108" s="4" t="n"/>
      <c r="M108" s="4" t="n"/>
      <c r="N108" s="5">
        <f>IF(A108="","",SUM(E108:K108)-N(L108))</f>
        <v/>
      </c>
      <c r="O108">
        <f>IF(OR(A108="",M108=""),"",IF(ABS(M108-N108)&lt;=0.02,"OK","REVISAR"))</f>
        <v/>
      </c>
      <c r="P108">
        <f>IF(D108="","",IF(LEN(TRIM(D108))&lt;&gt;9,"REVISAR",IFERROR(IF(OR(ISNUMBER(VALUE(LEFT(UPPER(TRIM(D108)),1))),LEFT(UPPER(TRIM(D108)),1)="X",LEFT(UPPER(TRIM(D108)),1)="Y",LEFT(UPPER(TRIM(D108)),1)="Z"),IF(MID("TRWAGMYFPDXBNJZSQVHLCKE",MOD(VALUE(SUBSTITUTE(SUBSTITUTE(SUBSTITUTE(LEFT(UPPER(TRIM(D108)),8),"X","0"),"Y","1"),"Z","2")),23)+1,1)=RIGHT(UPPER(TRIM(D108)),1),"OK","REVISAR"),IF(OR(RIGHT(UPPER(TRIM(D108)),1)=TEXT(MOD(10-MOD((VALUE(MID(UPPER(TRIM(D108)),3,1))+VALUE(MID(UPPER(TRIM(D108)),5,1))+VALUE(MID(UPPER(TRIM(D108)),7,1)))+(INT(2*VALUE(MID(UPPER(TRIM(D108)),2,1))/10)+MOD(2*VALUE(MID(UPPER(TRIM(D108)),2,1)),10))+(INT(2*VALUE(MID(UPPER(TRIM(D108)),4,1))/10)+MOD(2*VALUE(MID(UPPER(TRIM(D108)),4,1)),10))+(INT(2*VALUE(MID(UPPER(TRIM(D108)),6,1))/10)+MOD(2*VALUE(MID(UPPER(TRIM(D108)),6,1)),10))+(INT(2*VALUE(MID(UPPER(TRIM(D108)),8,1))/10)+MOD(2*VALUE(MID(UPPER(TRIM(D108)),8,1)),10)),10),10),"0"),RIGHT(UPPER(TRIM(D108)),1)=MID("JABCDEFGHI",MOD(10-MOD((VALUE(MID(UPPER(TRIM(D108)),3,1))+VALUE(MID(UPPER(TRIM(D108)),5,1))+VALUE(MID(UPPER(TRIM(D108)),7,1)))+(INT(2*VALUE(MID(UPPER(TRIM(D108)),2,1))/10)+MOD(2*VALUE(MID(UPPER(TRIM(D108)),2,1)),10))+(INT(2*VALUE(MID(UPPER(TRIM(D108)),4,1))/10)+MOD(2*VALUE(MID(UPPER(TRIM(D108)),4,1)),10))+(INT(2*VALUE(MID(UPPER(TRIM(D108)),6,1))/10)+MOD(2*VALUE(MID(UPPER(TRIM(D108)),6,1)),10))+(INT(2*VALUE(MID(UPPER(TRIM(D108)),8,1))/10)+MOD(2*VALUE(MID(UPPER(TRIM(D108)),8,1)),10)),10),10)+1,1)),"OK","REVISAR")),"REVISAR")))</f>
        <v/>
      </c>
      <c r="Q108">
        <f>IF(B108="","",IF(COUNTIFS($B$2:$B$501,B108,$D$2:$D$501,D108)&gt;1,"DUPLICADA",""))</f>
        <v/>
      </c>
      <c r="R108">
        <f>IF(A108="","",ROUNDUP(MONTH(A108)/3,0))</f>
        <v/>
      </c>
      <c r="S108" s="3" t="n"/>
    </row>
    <row r="109">
      <c r="A109" s="2" t="n"/>
      <c r="B109" s="3" t="n"/>
      <c r="C109" s="3" t="n"/>
      <c r="D109" s="3" t="n"/>
      <c r="E109" s="4" t="n"/>
      <c r="F109" s="4" t="n"/>
      <c r="G109" s="4" t="n"/>
      <c r="H109" s="4" t="n"/>
      <c r="I109" s="5">
        <f>IF(E109="","",ROUND(E109*0.21,2))</f>
        <v/>
      </c>
      <c r="J109" s="5">
        <f>IF(F109="","",ROUND(F109*0.1,2))</f>
        <v/>
      </c>
      <c r="K109" s="5">
        <f>IF(G109="","",ROUND(G109*0.04,2))</f>
        <v/>
      </c>
      <c r="L109" s="4" t="n"/>
      <c r="M109" s="4" t="n"/>
      <c r="N109" s="5">
        <f>IF(A109="","",SUM(E109:K109)-N(L109))</f>
        <v/>
      </c>
      <c r="O109">
        <f>IF(OR(A109="",M109=""),"",IF(ABS(M109-N109)&lt;=0.02,"OK","REVISAR"))</f>
        <v/>
      </c>
      <c r="P109">
        <f>IF(D109="","",IF(LEN(TRIM(D109))&lt;&gt;9,"REVISAR",IFERROR(IF(OR(ISNUMBER(VALUE(LEFT(UPPER(TRIM(D109)),1))),LEFT(UPPER(TRIM(D109)),1)="X",LEFT(UPPER(TRIM(D109)),1)="Y",LEFT(UPPER(TRIM(D109)),1)="Z"),IF(MID("TRWAGMYFPDXBNJZSQVHLCKE",MOD(VALUE(SUBSTITUTE(SUBSTITUTE(SUBSTITUTE(LEFT(UPPER(TRIM(D109)),8),"X","0"),"Y","1"),"Z","2")),23)+1,1)=RIGHT(UPPER(TRIM(D109)),1),"OK","REVISAR"),IF(OR(RIGHT(UPPER(TRIM(D109)),1)=TEXT(MOD(10-MOD((VALUE(MID(UPPER(TRIM(D109)),3,1))+VALUE(MID(UPPER(TRIM(D109)),5,1))+VALUE(MID(UPPER(TRIM(D109)),7,1)))+(INT(2*VALUE(MID(UPPER(TRIM(D109)),2,1))/10)+MOD(2*VALUE(MID(UPPER(TRIM(D109)),2,1)),10))+(INT(2*VALUE(MID(UPPER(TRIM(D109)),4,1))/10)+MOD(2*VALUE(MID(UPPER(TRIM(D109)),4,1)),10))+(INT(2*VALUE(MID(UPPER(TRIM(D109)),6,1))/10)+MOD(2*VALUE(MID(UPPER(TRIM(D109)),6,1)),10))+(INT(2*VALUE(MID(UPPER(TRIM(D109)),8,1))/10)+MOD(2*VALUE(MID(UPPER(TRIM(D109)),8,1)),10)),10),10),"0"),RIGHT(UPPER(TRIM(D109)),1)=MID("JABCDEFGHI",MOD(10-MOD((VALUE(MID(UPPER(TRIM(D109)),3,1))+VALUE(MID(UPPER(TRIM(D109)),5,1))+VALUE(MID(UPPER(TRIM(D109)),7,1)))+(INT(2*VALUE(MID(UPPER(TRIM(D109)),2,1))/10)+MOD(2*VALUE(MID(UPPER(TRIM(D109)),2,1)),10))+(INT(2*VALUE(MID(UPPER(TRIM(D109)),4,1))/10)+MOD(2*VALUE(MID(UPPER(TRIM(D109)),4,1)),10))+(INT(2*VALUE(MID(UPPER(TRIM(D109)),6,1))/10)+MOD(2*VALUE(MID(UPPER(TRIM(D109)),6,1)),10))+(INT(2*VALUE(MID(UPPER(TRIM(D109)),8,1))/10)+MOD(2*VALUE(MID(UPPER(TRIM(D109)),8,1)),10)),10),10)+1,1)),"OK","REVISAR")),"REVISAR")))</f>
        <v/>
      </c>
      <c r="Q109">
        <f>IF(B109="","",IF(COUNTIFS($B$2:$B$501,B109,$D$2:$D$501,D109)&gt;1,"DUPLICADA",""))</f>
        <v/>
      </c>
      <c r="R109">
        <f>IF(A109="","",ROUNDUP(MONTH(A109)/3,0))</f>
        <v/>
      </c>
      <c r="S109" s="3" t="n"/>
    </row>
    <row r="110">
      <c r="A110" s="2" t="n"/>
      <c r="B110" s="3" t="n"/>
      <c r="C110" s="3" t="n"/>
      <c r="D110" s="3" t="n"/>
      <c r="E110" s="4" t="n"/>
      <c r="F110" s="4" t="n"/>
      <c r="G110" s="4" t="n"/>
      <c r="H110" s="4" t="n"/>
      <c r="I110" s="5">
        <f>IF(E110="","",ROUND(E110*0.21,2))</f>
        <v/>
      </c>
      <c r="J110" s="5">
        <f>IF(F110="","",ROUND(F110*0.1,2))</f>
        <v/>
      </c>
      <c r="K110" s="5">
        <f>IF(G110="","",ROUND(G110*0.04,2))</f>
        <v/>
      </c>
      <c r="L110" s="4" t="n"/>
      <c r="M110" s="4" t="n"/>
      <c r="N110" s="5">
        <f>IF(A110="","",SUM(E110:K110)-N(L110))</f>
        <v/>
      </c>
      <c r="O110">
        <f>IF(OR(A110="",M110=""),"",IF(ABS(M110-N110)&lt;=0.02,"OK","REVISAR"))</f>
        <v/>
      </c>
      <c r="P110">
        <f>IF(D110="","",IF(LEN(TRIM(D110))&lt;&gt;9,"REVISAR",IFERROR(IF(OR(ISNUMBER(VALUE(LEFT(UPPER(TRIM(D110)),1))),LEFT(UPPER(TRIM(D110)),1)="X",LEFT(UPPER(TRIM(D110)),1)="Y",LEFT(UPPER(TRIM(D110)),1)="Z"),IF(MID("TRWAGMYFPDXBNJZSQVHLCKE",MOD(VALUE(SUBSTITUTE(SUBSTITUTE(SUBSTITUTE(LEFT(UPPER(TRIM(D110)),8),"X","0"),"Y","1"),"Z","2")),23)+1,1)=RIGHT(UPPER(TRIM(D110)),1),"OK","REVISAR"),IF(OR(RIGHT(UPPER(TRIM(D110)),1)=TEXT(MOD(10-MOD((VALUE(MID(UPPER(TRIM(D110)),3,1))+VALUE(MID(UPPER(TRIM(D110)),5,1))+VALUE(MID(UPPER(TRIM(D110)),7,1)))+(INT(2*VALUE(MID(UPPER(TRIM(D110)),2,1))/10)+MOD(2*VALUE(MID(UPPER(TRIM(D110)),2,1)),10))+(INT(2*VALUE(MID(UPPER(TRIM(D110)),4,1))/10)+MOD(2*VALUE(MID(UPPER(TRIM(D110)),4,1)),10))+(INT(2*VALUE(MID(UPPER(TRIM(D110)),6,1))/10)+MOD(2*VALUE(MID(UPPER(TRIM(D110)),6,1)),10))+(INT(2*VALUE(MID(UPPER(TRIM(D110)),8,1))/10)+MOD(2*VALUE(MID(UPPER(TRIM(D110)),8,1)),10)),10),10),"0"),RIGHT(UPPER(TRIM(D110)),1)=MID("JABCDEFGHI",MOD(10-MOD((VALUE(MID(UPPER(TRIM(D110)),3,1))+VALUE(MID(UPPER(TRIM(D110)),5,1))+VALUE(MID(UPPER(TRIM(D110)),7,1)))+(INT(2*VALUE(MID(UPPER(TRIM(D110)),2,1))/10)+MOD(2*VALUE(MID(UPPER(TRIM(D110)),2,1)),10))+(INT(2*VALUE(MID(UPPER(TRIM(D110)),4,1))/10)+MOD(2*VALUE(MID(UPPER(TRIM(D110)),4,1)),10))+(INT(2*VALUE(MID(UPPER(TRIM(D110)),6,1))/10)+MOD(2*VALUE(MID(UPPER(TRIM(D110)),6,1)),10))+(INT(2*VALUE(MID(UPPER(TRIM(D110)),8,1))/10)+MOD(2*VALUE(MID(UPPER(TRIM(D110)),8,1)),10)),10),10)+1,1)),"OK","REVISAR")),"REVISAR")))</f>
        <v/>
      </c>
      <c r="Q110">
        <f>IF(B110="","",IF(COUNTIFS($B$2:$B$501,B110,$D$2:$D$501,D110)&gt;1,"DUPLICADA",""))</f>
        <v/>
      </c>
      <c r="R110">
        <f>IF(A110="","",ROUNDUP(MONTH(A110)/3,0))</f>
        <v/>
      </c>
      <c r="S110" s="3" t="n"/>
    </row>
    <row r="111">
      <c r="A111" s="2" t="n"/>
      <c r="B111" s="3" t="n"/>
      <c r="C111" s="3" t="n"/>
      <c r="D111" s="3" t="n"/>
      <c r="E111" s="4" t="n"/>
      <c r="F111" s="4" t="n"/>
      <c r="G111" s="4" t="n"/>
      <c r="H111" s="4" t="n"/>
      <c r="I111" s="5">
        <f>IF(E111="","",ROUND(E111*0.21,2))</f>
        <v/>
      </c>
      <c r="J111" s="5">
        <f>IF(F111="","",ROUND(F111*0.1,2))</f>
        <v/>
      </c>
      <c r="K111" s="5">
        <f>IF(G111="","",ROUND(G111*0.04,2))</f>
        <v/>
      </c>
      <c r="L111" s="4" t="n"/>
      <c r="M111" s="4" t="n"/>
      <c r="N111" s="5">
        <f>IF(A111="","",SUM(E111:K111)-N(L111))</f>
        <v/>
      </c>
      <c r="O111">
        <f>IF(OR(A111="",M111=""),"",IF(ABS(M111-N111)&lt;=0.02,"OK","REVISAR"))</f>
        <v/>
      </c>
      <c r="P111">
        <f>IF(D111="","",IF(LEN(TRIM(D111))&lt;&gt;9,"REVISAR",IFERROR(IF(OR(ISNUMBER(VALUE(LEFT(UPPER(TRIM(D111)),1))),LEFT(UPPER(TRIM(D111)),1)="X",LEFT(UPPER(TRIM(D111)),1)="Y",LEFT(UPPER(TRIM(D111)),1)="Z"),IF(MID("TRWAGMYFPDXBNJZSQVHLCKE",MOD(VALUE(SUBSTITUTE(SUBSTITUTE(SUBSTITUTE(LEFT(UPPER(TRIM(D111)),8),"X","0"),"Y","1"),"Z","2")),23)+1,1)=RIGHT(UPPER(TRIM(D111)),1),"OK","REVISAR"),IF(OR(RIGHT(UPPER(TRIM(D111)),1)=TEXT(MOD(10-MOD((VALUE(MID(UPPER(TRIM(D111)),3,1))+VALUE(MID(UPPER(TRIM(D111)),5,1))+VALUE(MID(UPPER(TRIM(D111)),7,1)))+(INT(2*VALUE(MID(UPPER(TRIM(D111)),2,1))/10)+MOD(2*VALUE(MID(UPPER(TRIM(D111)),2,1)),10))+(INT(2*VALUE(MID(UPPER(TRIM(D111)),4,1))/10)+MOD(2*VALUE(MID(UPPER(TRIM(D111)),4,1)),10))+(INT(2*VALUE(MID(UPPER(TRIM(D111)),6,1))/10)+MOD(2*VALUE(MID(UPPER(TRIM(D111)),6,1)),10))+(INT(2*VALUE(MID(UPPER(TRIM(D111)),8,1))/10)+MOD(2*VALUE(MID(UPPER(TRIM(D111)),8,1)),10)),10),10),"0"),RIGHT(UPPER(TRIM(D111)),1)=MID("JABCDEFGHI",MOD(10-MOD((VALUE(MID(UPPER(TRIM(D111)),3,1))+VALUE(MID(UPPER(TRIM(D111)),5,1))+VALUE(MID(UPPER(TRIM(D111)),7,1)))+(INT(2*VALUE(MID(UPPER(TRIM(D111)),2,1))/10)+MOD(2*VALUE(MID(UPPER(TRIM(D111)),2,1)),10))+(INT(2*VALUE(MID(UPPER(TRIM(D111)),4,1))/10)+MOD(2*VALUE(MID(UPPER(TRIM(D111)),4,1)),10))+(INT(2*VALUE(MID(UPPER(TRIM(D111)),6,1))/10)+MOD(2*VALUE(MID(UPPER(TRIM(D111)),6,1)),10))+(INT(2*VALUE(MID(UPPER(TRIM(D111)),8,1))/10)+MOD(2*VALUE(MID(UPPER(TRIM(D111)),8,1)),10)),10),10)+1,1)),"OK","REVISAR")),"REVISAR")))</f>
        <v/>
      </c>
      <c r="Q111">
        <f>IF(B111="","",IF(COUNTIFS($B$2:$B$501,B111,$D$2:$D$501,D111)&gt;1,"DUPLICADA",""))</f>
        <v/>
      </c>
      <c r="R111">
        <f>IF(A111="","",ROUNDUP(MONTH(A111)/3,0))</f>
        <v/>
      </c>
      <c r="S111" s="3" t="n"/>
    </row>
    <row r="112">
      <c r="A112" s="2" t="n"/>
      <c r="B112" s="3" t="n"/>
      <c r="C112" s="3" t="n"/>
      <c r="D112" s="3" t="n"/>
      <c r="E112" s="4" t="n"/>
      <c r="F112" s="4" t="n"/>
      <c r="G112" s="4" t="n"/>
      <c r="H112" s="4" t="n"/>
      <c r="I112" s="5">
        <f>IF(E112="","",ROUND(E112*0.21,2))</f>
        <v/>
      </c>
      <c r="J112" s="5">
        <f>IF(F112="","",ROUND(F112*0.1,2))</f>
        <v/>
      </c>
      <c r="K112" s="5">
        <f>IF(G112="","",ROUND(G112*0.04,2))</f>
        <v/>
      </c>
      <c r="L112" s="4" t="n"/>
      <c r="M112" s="4" t="n"/>
      <c r="N112" s="5">
        <f>IF(A112="","",SUM(E112:K112)-N(L112))</f>
        <v/>
      </c>
      <c r="O112">
        <f>IF(OR(A112="",M112=""),"",IF(ABS(M112-N112)&lt;=0.02,"OK","REVISAR"))</f>
        <v/>
      </c>
      <c r="P112">
        <f>IF(D112="","",IF(LEN(TRIM(D112))&lt;&gt;9,"REVISAR",IFERROR(IF(OR(ISNUMBER(VALUE(LEFT(UPPER(TRIM(D112)),1))),LEFT(UPPER(TRIM(D112)),1)="X",LEFT(UPPER(TRIM(D112)),1)="Y",LEFT(UPPER(TRIM(D112)),1)="Z"),IF(MID("TRWAGMYFPDXBNJZSQVHLCKE",MOD(VALUE(SUBSTITUTE(SUBSTITUTE(SUBSTITUTE(LEFT(UPPER(TRIM(D112)),8),"X","0"),"Y","1"),"Z","2")),23)+1,1)=RIGHT(UPPER(TRIM(D112)),1),"OK","REVISAR"),IF(OR(RIGHT(UPPER(TRIM(D112)),1)=TEXT(MOD(10-MOD((VALUE(MID(UPPER(TRIM(D112)),3,1))+VALUE(MID(UPPER(TRIM(D112)),5,1))+VALUE(MID(UPPER(TRIM(D112)),7,1)))+(INT(2*VALUE(MID(UPPER(TRIM(D112)),2,1))/10)+MOD(2*VALUE(MID(UPPER(TRIM(D112)),2,1)),10))+(INT(2*VALUE(MID(UPPER(TRIM(D112)),4,1))/10)+MOD(2*VALUE(MID(UPPER(TRIM(D112)),4,1)),10))+(INT(2*VALUE(MID(UPPER(TRIM(D112)),6,1))/10)+MOD(2*VALUE(MID(UPPER(TRIM(D112)),6,1)),10))+(INT(2*VALUE(MID(UPPER(TRIM(D112)),8,1))/10)+MOD(2*VALUE(MID(UPPER(TRIM(D112)),8,1)),10)),10),10),"0"),RIGHT(UPPER(TRIM(D112)),1)=MID("JABCDEFGHI",MOD(10-MOD((VALUE(MID(UPPER(TRIM(D112)),3,1))+VALUE(MID(UPPER(TRIM(D112)),5,1))+VALUE(MID(UPPER(TRIM(D112)),7,1)))+(INT(2*VALUE(MID(UPPER(TRIM(D112)),2,1))/10)+MOD(2*VALUE(MID(UPPER(TRIM(D112)),2,1)),10))+(INT(2*VALUE(MID(UPPER(TRIM(D112)),4,1))/10)+MOD(2*VALUE(MID(UPPER(TRIM(D112)),4,1)),10))+(INT(2*VALUE(MID(UPPER(TRIM(D112)),6,1))/10)+MOD(2*VALUE(MID(UPPER(TRIM(D112)),6,1)),10))+(INT(2*VALUE(MID(UPPER(TRIM(D112)),8,1))/10)+MOD(2*VALUE(MID(UPPER(TRIM(D112)),8,1)),10)),10),10)+1,1)),"OK","REVISAR")),"REVISAR")))</f>
        <v/>
      </c>
      <c r="Q112">
        <f>IF(B112="","",IF(COUNTIFS($B$2:$B$501,B112,$D$2:$D$501,D112)&gt;1,"DUPLICADA",""))</f>
        <v/>
      </c>
      <c r="R112">
        <f>IF(A112="","",ROUNDUP(MONTH(A112)/3,0))</f>
        <v/>
      </c>
      <c r="S112" s="3" t="n"/>
    </row>
    <row r="113">
      <c r="A113" s="2" t="n"/>
      <c r="B113" s="3" t="n"/>
      <c r="C113" s="3" t="n"/>
      <c r="D113" s="3" t="n"/>
      <c r="E113" s="4" t="n"/>
      <c r="F113" s="4" t="n"/>
      <c r="G113" s="4" t="n"/>
      <c r="H113" s="4" t="n"/>
      <c r="I113" s="5">
        <f>IF(E113="","",ROUND(E113*0.21,2))</f>
        <v/>
      </c>
      <c r="J113" s="5">
        <f>IF(F113="","",ROUND(F113*0.1,2))</f>
        <v/>
      </c>
      <c r="K113" s="5">
        <f>IF(G113="","",ROUND(G113*0.04,2))</f>
        <v/>
      </c>
      <c r="L113" s="4" t="n"/>
      <c r="M113" s="4" t="n"/>
      <c r="N113" s="5">
        <f>IF(A113="","",SUM(E113:K113)-N(L113))</f>
        <v/>
      </c>
      <c r="O113">
        <f>IF(OR(A113="",M113=""),"",IF(ABS(M113-N113)&lt;=0.02,"OK","REVISAR"))</f>
        <v/>
      </c>
      <c r="P113">
        <f>IF(D113="","",IF(LEN(TRIM(D113))&lt;&gt;9,"REVISAR",IFERROR(IF(OR(ISNUMBER(VALUE(LEFT(UPPER(TRIM(D113)),1))),LEFT(UPPER(TRIM(D113)),1)="X",LEFT(UPPER(TRIM(D113)),1)="Y",LEFT(UPPER(TRIM(D113)),1)="Z"),IF(MID("TRWAGMYFPDXBNJZSQVHLCKE",MOD(VALUE(SUBSTITUTE(SUBSTITUTE(SUBSTITUTE(LEFT(UPPER(TRIM(D113)),8),"X","0"),"Y","1"),"Z","2")),23)+1,1)=RIGHT(UPPER(TRIM(D113)),1),"OK","REVISAR"),IF(OR(RIGHT(UPPER(TRIM(D113)),1)=TEXT(MOD(10-MOD((VALUE(MID(UPPER(TRIM(D113)),3,1))+VALUE(MID(UPPER(TRIM(D113)),5,1))+VALUE(MID(UPPER(TRIM(D113)),7,1)))+(INT(2*VALUE(MID(UPPER(TRIM(D113)),2,1))/10)+MOD(2*VALUE(MID(UPPER(TRIM(D113)),2,1)),10))+(INT(2*VALUE(MID(UPPER(TRIM(D113)),4,1))/10)+MOD(2*VALUE(MID(UPPER(TRIM(D113)),4,1)),10))+(INT(2*VALUE(MID(UPPER(TRIM(D113)),6,1))/10)+MOD(2*VALUE(MID(UPPER(TRIM(D113)),6,1)),10))+(INT(2*VALUE(MID(UPPER(TRIM(D113)),8,1))/10)+MOD(2*VALUE(MID(UPPER(TRIM(D113)),8,1)),10)),10),10),"0"),RIGHT(UPPER(TRIM(D113)),1)=MID("JABCDEFGHI",MOD(10-MOD((VALUE(MID(UPPER(TRIM(D113)),3,1))+VALUE(MID(UPPER(TRIM(D113)),5,1))+VALUE(MID(UPPER(TRIM(D113)),7,1)))+(INT(2*VALUE(MID(UPPER(TRIM(D113)),2,1))/10)+MOD(2*VALUE(MID(UPPER(TRIM(D113)),2,1)),10))+(INT(2*VALUE(MID(UPPER(TRIM(D113)),4,1))/10)+MOD(2*VALUE(MID(UPPER(TRIM(D113)),4,1)),10))+(INT(2*VALUE(MID(UPPER(TRIM(D113)),6,1))/10)+MOD(2*VALUE(MID(UPPER(TRIM(D113)),6,1)),10))+(INT(2*VALUE(MID(UPPER(TRIM(D113)),8,1))/10)+MOD(2*VALUE(MID(UPPER(TRIM(D113)),8,1)),10)),10),10)+1,1)),"OK","REVISAR")),"REVISAR")))</f>
        <v/>
      </c>
      <c r="Q113">
        <f>IF(B113="","",IF(COUNTIFS($B$2:$B$501,B113,$D$2:$D$501,D113)&gt;1,"DUPLICADA",""))</f>
        <v/>
      </c>
      <c r="R113">
        <f>IF(A113="","",ROUNDUP(MONTH(A113)/3,0))</f>
        <v/>
      </c>
      <c r="S113" s="3" t="n"/>
    </row>
    <row r="114">
      <c r="A114" s="2" t="n"/>
      <c r="B114" s="3" t="n"/>
      <c r="C114" s="3" t="n"/>
      <c r="D114" s="3" t="n"/>
      <c r="E114" s="4" t="n"/>
      <c r="F114" s="4" t="n"/>
      <c r="G114" s="4" t="n"/>
      <c r="H114" s="4" t="n"/>
      <c r="I114" s="5">
        <f>IF(E114="","",ROUND(E114*0.21,2))</f>
        <v/>
      </c>
      <c r="J114" s="5">
        <f>IF(F114="","",ROUND(F114*0.1,2))</f>
        <v/>
      </c>
      <c r="K114" s="5">
        <f>IF(G114="","",ROUND(G114*0.04,2))</f>
        <v/>
      </c>
      <c r="L114" s="4" t="n"/>
      <c r="M114" s="4" t="n"/>
      <c r="N114" s="5">
        <f>IF(A114="","",SUM(E114:K114)-N(L114))</f>
        <v/>
      </c>
      <c r="O114">
        <f>IF(OR(A114="",M114=""),"",IF(ABS(M114-N114)&lt;=0.02,"OK","REVISAR"))</f>
        <v/>
      </c>
      <c r="P114">
        <f>IF(D114="","",IF(LEN(TRIM(D114))&lt;&gt;9,"REVISAR",IFERROR(IF(OR(ISNUMBER(VALUE(LEFT(UPPER(TRIM(D114)),1))),LEFT(UPPER(TRIM(D114)),1)="X",LEFT(UPPER(TRIM(D114)),1)="Y",LEFT(UPPER(TRIM(D114)),1)="Z"),IF(MID("TRWAGMYFPDXBNJZSQVHLCKE",MOD(VALUE(SUBSTITUTE(SUBSTITUTE(SUBSTITUTE(LEFT(UPPER(TRIM(D114)),8),"X","0"),"Y","1"),"Z","2")),23)+1,1)=RIGHT(UPPER(TRIM(D114)),1),"OK","REVISAR"),IF(OR(RIGHT(UPPER(TRIM(D114)),1)=TEXT(MOD(10-MOD((VALUE(MID(UPPER(TRIM(D114)),3,1))+VALUE(MID(UPPER(TRIM(D114)),5,1))+VALUE(MID(UPPER(TRIM(D114)),7,1)))+(INT(2*VALUE(MID(UPPER(TRIM(D114)),2,1))/10)+MOD(2*VALUE(MID(UPPER(TRIM(D114)),2,1)),10))+(INT(2*VALUE(MID(UPPER(TRIM(D114)),4,1))/10)+MOD(2*VALUE(MID(UPPER(TRIM(D114)),4,1)),10))+(INT(2*VALUE(MID(UPPER(TRIM(D114)),6,1))/10)+MOD(2*VALUE(MID(UPPER(TRIM(D114)),6,1)),10))+(INT(2*VALUE(MID(UPPER(TRIM(D114)),8,1))/10)+MOD(2*VALUE(MID(UPPER(TRIM(D114)),8,1)),10)),10),10),"0"),RIGHT(UPPER(TRIM(D114)),1)=MID("JABCDEFGHI",MOD(10-MOD((VALUE(MID(UPPER(TRIM(D114)),3,1))+VALUE(MID(UPPER(TRIM(D114)),5,1))+VALUE(MID(UPPER(TRIM(D114)),7,1)))+(INT(2*VALUE(MID(UPPER(TRIM(D114)),2,1))/10)+MOD(2*VALUE(MID(UPPER(TRIM(D114)),2,1)),10))+(INT(2*VALUE(MID(UPPER(TRIM(D114)),4,1))/10)+MOD(2*VALUE(MID(UPPER(TRIM(D114)),4,1)),10))+(INT(2*VALUE(MID(UPPER(TRIM(D114)),6,1))/10)+MOD(2*VALUE(MID(UPPER(TRIM(D114)),6,1)),10))+(INT(2*VALUE(MID(UPPER(TRIM(D114)),8,1))/10)+MOD(2*VALUE(MID(UPPER(TRIM(D114)),8,1)),10)),10),10)+1,1)),"OK","REVISAR")),"REVISAR")))</f>
        <v/>
      </c>
      <c r="Q114">
        <f>IF(B114="","",IF(COUNTIFS($B$2:$B$501,B114,$D$2:$D$501,D114)&gt;1,"DUPLICADA",""))</f>
        <v/>
      </c>
      <c r="R114">
        <f>IF(A114="","",ROUNDUP(MONTH(A114)/3,0))</f>
        <v/>
      </c>
      <c r="S114" s="3" t="n"/>
    </row>
    <row r="115">
      <c r="A115" s="2" t="n"/>
      <c r="B115" s="3" t="n"/>
      <c r="C115" s="3" t="n"/>
      <c r="D115" s="3" t="n"/>
      <c r="E115" s="4" t="n"/>
      <c r="F115" s="4" t="n"/>
      <c r="G115" s="4" t="n"/>
      <c r="H115" s="4" t="n"/>
      <c r="I115" s="5">
        <f>IF(E115="","",ROUND(E115*0.21,2))</f>
        <v/>
      </c>
      <c r="J115" s="5">
        <f>IF(F115="","",ROUND(F115*0.1,2))</f>
        <v/>
      </c>
      <c r="K115" s="5">
        <f>IF(G115="","",ROUND(G115*0.04,2))</f>
        <v/>
      </c>
      <c r="L115" s="4" t="n"/>
      <c r="M115" s="4" t="n"/>
      <c r="N115" s="5">
        <f>IF(A115="","",SUM(E115:K115)-N(L115))</f>
        <v/>
      </c>
      <c r="O115">
        <f>IF(OR(A115="",M115=""),"",IF(ABS(M115-N115)&lt;=0.02,"OK","REVISAR"))</f>
        <v/>
      </c>
      <c r="P115">
        <f>IF(D115="","",IF(LEN(TRIM(D115))&lt;&gt;9,"REVISAR",IFERROR(IF(OR(ISNUMBER(VALUE(LEFT(UPPER(TRIM(D115)),1))),LEFT(UPPER(TRIM(D115)),1)="X",LEFT(UPPER(TRIM(D115)),1)="Y",LEFT(UPPER(TRIM(D115)),1)="Z"),IF(MID("TRWAGMYFPDXBNJZSQVHLCKE",MOD(VALUE(SUBSTITUTE(SUBSTITUTE(SUBSTITUTE(LEFT(UPPER(TRIM(D115)),8),"X","0"),"Y","1"),"Z","2")),23)+1,1)=RIGHT(UPPER(TRIM(D115)),1),"OK","REVISAR"),IF(OR(RIGHT(UPPER(TRIM(D115)),1)=TEXT(MOD(10-MOD((VALUE(MID(UPPER(TRIM(D115)),3,1))+VALUE(MID(UPPER(TRIM(D115)),5,1))+VALUE(MID(UPPER(TRIM(D115)),7,1)))+(INT(2*VALUE(MID(UPPER(TRIM(D115)),2,1))/10)+MOD(2*VALUE(MID(UPPER(TRIM(D115)),2,1)),10))+(INT(2*VALUE(MID(UPPER(TRIM(D115)),4,1))/10)+MOD(2*VALUE(MID(UPPER(TRIM(D115)),4,1)),10))+(INT(2*VALUE(MID(UPPER(TRIM(D115)),6,1))/10)+MOD(2*VALUE(MID(UPPER(TRIM(D115)),6,1)),10))+(INT(2*VALUE(MID(UPPER(TRIM(D115)),8,1))/10)+MOD(2*VALUE(MID(UPPER(TRIM(D115)),8,1)),10)),10),10),"0"),RIGHT(UPPER(TRIM(D115)),1)=MID("JABCDEFGHI",MOD(10-MOD((VALUE(MID(UPPER(TRIM(D115)),3,1))+VALUE(MID(UPPER(TRIM(D115)),5,1))+VALUE(MID(UPPER(TRIM(D115)),7,1)))+(INT(2*VALUE(MID(UPPER(TRIM(D115)),2,1))/10)+MOD(2*VALUE(MID(UPPER(TRIM(D115)),2,1)),10))+(INT(2*VALUE(MID(UPPER(TRIM(D115)),4,1))/10)+MOD(2*VALUE(MID(UPPER(TRIM(D115)),4,1)),10))+(INT(2*VALUE(MID(UPPER(TRIM(D115)),6,1))/10)+MOD(2*VALUE(MID(UPPER(TRIM(D115)),6,1)),10))+(INT(2*VALUE(MID(UPPER(TRIM(D115)),8,1))/10)+MOD(2*VALUE(MID(UPPER(TRIM(D115)),8,1)),10)),10),10)+1,1)),"OK","REVISAR")),"REVISAR")))</f>
        <v/>
      </c>
      <c r="Q115">
        <f>IF(B115="","",IF(COUNTIFS($B$2:$B$501,B115,$D$2:$D$501,D115)&gt;1,"DUPLICADA",""))</f>
        <v/>
      </c>
      <c r="R115">
        <f>IF(A115="","",ROUNDUP(MONTH(A115)/3,0))</f>
        <v/>
      </c>
      <c r="S115" s="3" t="n"/>
    </row>
    <row r="116">
      <c r="A116" s="2" t="n"/>
      <c r="B116" s="3" t="n"/>
      <c r="C116" s="3" t="n"/>
      <c r="D116" s="3" t="n"/>
      <c r="E116" s="4" t="n"/>
      <c r="F116" s="4" t="n"/>
      <c r="G116" s="4" t="n"/>
      <c r="H116" s="4" t="n"/>
      <c r="I116" s="5">
        <f>IF(E116="","",ROUND(E116*0.21,2))</f>
        <v/>
      </c>
      <c r="J116" s="5">
        <f>IF(F116="","",ROUND(F116*0.1,2))</f>
        <v/>
      </c>
      <c r="K116" s="5">
        <f>IF(G116="","",ROUND(G116*0.04,2))</f>
        <v/>
      </c>
      <c r="L116" s="4" t="n"/>
      <c r="M116" s="4" t="n"/>
      <c r="N116" s="5">
        <f>IF(A116="","",SUM(E116:K116)-N(L116))</f>
        <v/>
      </c>
      <c r="O116">
        <f>IF(OR(A116="",M116=""),"",IF(ABS(M116-N116)&lt;=0.02,"OK","REVISAR"))</f>
        <v/>
      </c>
      <c r="P116">
        <f>IF(D116="","",IF(LEN(TRIM(D116))&lt;&gt;9,"REVISAR",IFERROR(IF(OR(ISNUMBER(VALUE(LEFT(UPPER(TRIM(D116)),1))),LEFT(UPPER(TRIM(D116)),1)="X",LEFT(UPPER(TRIM(D116)),1)="Y",LEFT(UPPER(TRIM(D116)),1)="Z"),IF(MID("TRWAGMYFPDXBNJZSQVHLCKE",MOD(VALUE(SUBSTITUTE(SUBSTITUTE(SUBSTITUTE(LEFT(UPPER(TRIM(D116)),8),"X","0"),"Y","1"),"Z","2")),23)+1,1)=RIGHT(UPPER(TRIM(D116)),1),"OK","REVISAR"),IF(OR(RIGHT(UPPER(TRIM(D116)),1)=TEXT(MOD(10-MOD((VALUE(MID(UPPER(TRIM(D116)),3,1))+VALUE(MID(UPPER(TRIM(D116)),5,1))+VALUE(MID(UPPER(TRIM(D116)),7,1)))+(INT(2*VALUE(MID(UPPER(TRIM(D116)),2,1))/10)+MOD(2*VALUE(MID(UPPER(TRIM(D116)),2,1)),10))+(INT(2*VALUE(MID(UPPER(TRIM(D116)),4,1))/10)+MOD(2*VALUE(MID(UPPER(TRIM(D116)),4,1)),10))+(INT(2*VALUE(MID(UPPER(TRIM(D116)),6,1))/10)+MOD(2*VALUE(MID(UPPER(TRIM(D116)),6,1)),10))+(INT(2*VALUE(MID(UPPER(TRIM(D116)),8,1))/10)+MOD(2*VALUE(MID(UPPER(TRIM(D116)),8,1)),10)),10),10),"0"),RIGHT(UPPER(TRIM(D116)),1)=MID("JABCDEFGHI",MOD(10-MOD((VALUE(MID(UPPER(TRIM(D116)),3,1))+VALUE(MID(UPPER(TRIM(D116)),5,1))+VALUE(MID(UPPER(TRIM(D116)),7,1)))+(INT(2*VALUE(MID(UPPER(TRIM(D116)),2,1))/10)+MOD(2*VALUE(MID(UPPER(TRIM(D116)),2,1)),10))+(INT(2*VALUE(MID(UPPER(TRIM(D116)),4,1))/10)+MOD(2*VALUE(MID(UPPER(TRIM(D116)),4,1)),10))+(INT(2*VALUE(MID(UPPER(TRIM(D116)),6,1))/10)+MOD(2*VALUE(MID(UPPER(TRIM(D116)),6,1)),10))+(INT(2*VALUE(MID(UPPER(TRIM(D116)),8,1))/10)+MOD(2*VALUE(MID(UPPER(TRIM(D116)),8,1)),10)),10),10)+1,1)),"OK","REVISAR")),"REVISAR")))</f>
        <v/>
      </c>
      <c r="Q116">
        <f>IF(B116="","",IF(COUNTIFS($B$2:$B$501,B116,$D$2:$D$501,D116)&gt;1,"DUPLICADA",""))</f>
        <v/>
      </c>
      <c r="R116">
        <f>IF(A116="","",ROUNDUP(MONTH(A116)/3,0))</f>
        <v/>
      </c>
      <c r="S116" s="3" t="n"/>
    </row>
    <row r="117">
      <c r="A117" s="2" t="n"/>
      <c r="B117" s="3" t="n"/>
      <c r="C117" s="3" t="n"/>
      <c r="D117" s="3" t="n"/>
      <c r="E117" s="4" t="n"/>
      <c r="F117" s="4" t="n"/>
      <c r="G117" s="4" t="n"/>
      <c r="H117" s="4" t="n"/>
      <c r="I117" s="5">
        <f>IF(E117="","",ROUND(E117*0.21,2))</f>
        <v/>
      </c>
      <c r="J117" s="5">
        <f>IF(F117="","",ROUND(F117*0.1,2))</f>
        <v/>
      </c>
      <c r="K117" s="5">
        <f>IF(G117="","",ROUND(G117*0.04,2))</f>
        <v/>
      </c>
      <c r="L117" s="4" t="n"/>
      <c r="M117" s="4" t="n"/>
      <c r="N117" s="5">
        <f>IF(A117="","",SUM(E117:K117)-N(L117))</f>
        <v/>
      </c>
      <c r="O117">
        <f>IF(OR(A117="",M117=""),"",IF(ABS(M117-N117)&lt;=0.02,"OK","REVISAR"))</f>
        <v/>
      </c>
      <c r="P117">
        <f>IF(D117="","",IF(LEN(TRIM(D117))&lt;&gt;9,"REVISAR",IFERROR(IF(OR(ISNUMBER(VALUE(LEFT(UPPER(TRIM(D117)),1))),LEFT(UPPER(TRIM(D117)),1)="X",LEFT(UPPER(TRIM(D117)),1)="Y",LEFT(UPPER(TRIM(D117)),1)="Z"),IF(MID("TRWAGMYFPDXBNJZSQVHLCKE",MOD(VALUE(SUBSTITUTE(SUBSTITUTE(SUBSTITUTE(LEFT(UPPER(TRIM(D117)),8),"X","0"),"Y","1"),"Z","2")),23)+1,1)=RIGHT(UPPER(TRIM(D117)),1),"OK","REVISAR"),IF(OR(RIGHT(UPPER(TRIM(D117)),1)=TEXT(MOD(10-MOD((VALUE(MID(UPPER(TRIM(D117)),3,1))+VALUE(MID(UPPER(TRIM(D117)),5,1))+VALUE(MID(UPPER(TRIM(D117)),7,1)))+(INT(2*VALUE(MID(UPPER(TRIM(D117)),2,1))/10)+MOD(2*VALUE(MID(UPPER(TRIM(D117)),2,1)),10))+(INT(2*VALUE(MID(UPPER(TRIM(D117)),4,1))/10)+MOD(2*VALUE(MID(UPPER(TRIM(D117)),4,1)),10))+(INT(2*VALUE(MID(UPPER(TRIM(D117)),6,1))/10)+MOD(2*VALUE(MID(UPPER(TRIM(D117)),6,1)),10))+(INT(2*VALUE(MID(UPPER(TRIM(D117)),8,1))/10)+MOD(2*VALUE(MID(UPPER(TRIM(D117)),8,1)),10)),10),10),"0"),RIGHT(UPPER(TRIM(D117)),1)=MID("JABCDEFGHI",MOD(10-MOD((VALUE(MID(UPPER(TRIM(D117)),3,1))+VALUE(MID(UPPER(TRIM(D117)),5,1))+VALUE(MID(UPPER(TRIM(D117)),7,1)))+(INT(2*VALUE(MID(UPPER(TRIM(D117)),2,1))/10)+MOD(2*VALUE(MID(UPPER(TRIM(D117)),2,1)),10))+(INT(2*VALUE(MID(UPPER(TRIM(D117)),4,1))/10)+MOD(2*VALUE(MID(UPPER(TRIM(D117)),4,1)),10))+(INT(2*VALUE(MID(UPPER(TRIM(D117)),6,1))/10)+MOD(2*VALUE(MID(UPPER(TRIM(D117)),6,1)),10))+(INT(2*VALUE(MID(UPPER(TRIM(D117)),8,1))/10)+MOD(2*VALUE(MID(UPPER(TRIM(D117)),8,1)),10)),10),10)+1,1)),"OK","REVISAR")),"REVISAR")))</f>
        <v/>
      </c>
      <c r="Q117">
        <f>IF(B117="","",IF(COUNTIFS($B$2:$B$501,B117,$D$2:$D$501,D117)&gt;1,"DUPLICADA",""))</f>
        <v/>
      </c>
      <c r="R117">
        <f>IF(A117="","",ROUNDUP(MONTH(A117)/3,0))</f>
        <v/>
      </c>
      <c r="S117" s="3" t="n"/>
    </row>
    <row r="118">
      <c r="A118" s="2" t="n"/>
      <c r="B118" s="3" t="n"/>
      <c r="C118" s="3" t="n"/>
      <c r="D118" s="3" t="n"/>
      <c r="E118" s="4" t="n"/>
      <c r="F118" s="4" t="n"/>
      <c r="G118" s="4" t="n"/>
      <c r="H118" s="4" t="n"/>
      <c r="I118" s="5">
        <f>IF(E118="","",ROUND(E118*0.21,2))</f>
        <v/>
      </c>
      <c r="J118" s="5">
        <f>IF(F118="","",ROUND(F118*0.1,2))</f>
        <v/>
      </c>
      <c r="K118" s="5">
        <f>IF(G118="","",ROUND(G118*0.04,2))</f>
        <v/>
      </c>
      <c r="L118" s="4" t="n"/>
      <c r="M118" s="4" t="n"/>
      <c r="N118" s="5">
        <f>IF(A118="","",SUM(E118:K118)-N(L118))</f>
        <v/>
      </c>
      <c r="O118">
        <f>IF(OR(A118="",M118=""),"",IF(ABS(M118-N118)&lt;=0.02,"OK","REVISAR"))</f>
        <v/>
      </c>
      <c r="P118">
        <f>IF(D118="","",IF(LEN(TRIM(D118))&lt;&gt;9,"REVISAR",IFERROR(IF(OR(ISNUMBER(VALUE(LEFT(UPPER(TRIM(D118)),1))),LEFT(UPPER(TRIM(D118)),1)="X",LEFT(UPPER(TRIM(D118)),1)="Y",LEFT(UPPER(TRIM(D118)),1)="Z"),IF(MID("TRWAGMYFPDXBNJZSQVHLCKE",MOD(VALUE(SUBSTITUTE(SUBSTITUTE(SUBSTITUTE(LEFT(UPPER(TRIM(D118)),8),"X","0"),"Y","1"),"Z","2")),23)+1,1)=RIGHT(UPPER(TRIM(D118)),1),"OK","REVISAR"),IF(OR(RIGHT(UPPER(TRIM(D118)),1)=TEXT(MOD(10-MOD((VALUE(MID(UPPER(TRIM(D118)),3,1))+VALUE(MID(UPPER(TRIM(D118)),5,1))+VALUE(MID(UPPER(TRIM(D118)),7,1)))+(INT(2*VALUE(MID(UPPER(TRIM(D118)),2,1))/10)+MOD(2*VALUE(MID(UPPER(TRIM(D118)),2,1)),10))+(INT(2*VALUE(MID(UPPER(TRIM(D118)),4,1))/10)+MOD(2*VALUE(MID(UPPER(TRIM(D118)),4,1)),10))+(INT(2*VALUE(MID(UPPER(TRIM(D118)),6,1))/10)+MOD(2*VALUE(MID(UPPER(TRIM(D118)),6,1)),10))+(INT(2*VALUE(MID(UPPER(TRIM(D118)),8,1))/10)+MOD(2*VALUE(MID(UPPER(TRIM(D118)),8,1)),10)),10),10),"0"),RIGHT(UPPER(TRIM(D118)),1)=MID("JABCDEFGHI",MOD(10-MOD((VALUE(MID(UPPER(TRIM(D118)),3,1))+VALUE(MID(UPPER(TRIM(D118)),5,1))+VALUE(MID(UPPER(TRIM(D118)),7,1)))+(INT(2*VALUE(MID(UPPER(TRIM(D118)),2,1))/10)+MOD(2*VALUE(MID(UPPER(TRIM(D118)),2,1)),10))+(INT(2*VALUE(MID(UPPER(TRIM(D118)),4,1))/10)+MOD(2*VALUE(MID(UPPER(TRIM(D118)),4,1)),10))+(INT(2*VALUE(MID(UPPER(TRIM(D118)),6,1))/10)+MOD(2*VALUE(MID(UPPER(TRIM(D118)),6,1)),10))+(INT(2*VALUE(MID(UPPER(TRIM(D118)),8,1))/10)+MOD(2*VALUE(MID(UPPER(TRIM(D118)),8,1)),10)),10),10)+1,1)),"OK","REVISAR")),"REVISAR")))</f>
        <v/>
      </c>
      <c r="Q118">
        <f>IF(B118="","",IF(COUNTIFS($B$2:$B$501,B118,$D$2:$D$501,D118)&gt;1,"DUPLICADA",""))</f>
        <v/>
      </c>
      <c r="R118">
        <f>IF(A118="","",ROUNDUP(MONTH(A118)/3,0))</f>
        <v/>
      </c>
      <c r="S118" s="3" t="n"/>
    </row>
    <row r="119">
      <c r="A119" s="2" t="n"/>
      <c r="B119" s="3" t="n"/>
      <c r="C119" s="3" t="n"/>
      <c r="D119" s="3" t="n"/>
      <c r="E119" s="4" t="n"/>
      <c r="F119" s="4" t="n"/>
      <c r="G119" s="4" t="n"/>
      <c r="H119" s="4" t="n"/>
      <c r="I119" s="5">
        <f>IF(E119="","",ROUND(E119*0.21,2))</f>
        <v/>
      </c>
      <c r="J119" s="5">
        <f>IF(F119="","",ROUND(F119*0.1,2))</f>
        <v/>
      </c>
      <c r="K119" s="5">
        <f>IF(G119="","",ROUND(G119*0.04,2))</f>
        <v/>
      </c>
      <c r="L119" s="4" t="n"/>
      <c r="M119" s="4" t="n"/>
      <c r="N119" s="5">
        <f>IF(A119="","",SUM(E119:K119)-N(L119))</f>
        <v/>
      </c>
      <c r="O119">
        <f>IF(OR(A119="",M119=""),"",IF(ABS(M119-N119)&lt;=0.02,"OK","REVISAR"))</f>
        <v/>
      </c>
      <c r="P119">
        <f>IF(D119="","",IF(LEN(TRIM(D119))&lt;&gt;9,"REVISAR",IFERROR(IF(OR(ISNUMBER(VALUE(LEFT(UPPER(TRIM(D119)),1))),LEFT(UPPER(TRIM(D119)),1)="X",LEFT(UPPER(TRIM(D119)),1)="Y",LEFT(UPPER(TRIM(D119)),1)="Z"),IF(MID("TRWAGMYFPDXBNJZSQVHLCKE",MOD(VALUE(SUBSTITUTE(SUBSTITUTE(SUBSTITUTE(LEFT(UPPER(TRIM(D119)),8),"X","0"),"Y","1"),"Z","2")),23)+1,1)=RIGHT(UPPER(TRIM(D119)),1),"OK","REVISAR"),IF(OR(RIGHT(UPPER(TRIM(D119)),1)=TEXT(MOD(10-MOD((VALUE(MID(UPPER(TRIM(D119)),3,1))+VALUE(MID(UPPER(TRIM(D119)),5,1))+VALUE(MID(UPPER(TRIM(D119)),7,1)))+(INT(2*VALUE(MID(UPPER(TRIM(D119)),2,1))/10)+MOD(2*VALUE(MID(UPPER(TRIM(D119)),2,1)),10))+(INT(2*VALUE(MID(UPPER(TRIM(D119)),4,1))/10)+MOD(2*VALUE(MID(UPPER(TRIM(D119)),4,1)),10))+(INT(2*VALUE(MID(UPPER(TRIM(D119)),6,1))/10)+MOD(2*VALUE(MID(UPPER(TRIM(D119)),6,1)),10))+(INT(2*VALUE(MID(UPPER(TRIM(D119)),8,1))/10)+MOD(2*VALUE(MID(UPPER(TRIM(D119)),8,1)),10)),10),10),"0"),RIGHT(UPPER(TRIM(D119)),1)=MID("JABCDEFGHI",MOD(10-MOD((VALUE(MID(UPPER(TRIM(D119)),3,1))+VALUE(MID(UPPER(TRIM(D119)),5,1))+VALUE(MID(UPPER(TRIM(D119)),7,1)))+(INT(2*VALUE(MID(UPPER(TRIM(D119)),2,1))/10)+MOD(2*VALUE(MID(UPPER(TRIM(D119)),2,1)),10))+(INT(2*VALUE(MID(UPPER(TRIM(D119)),4,1))/10)+MOD(2*VALUE(MID(UPPER(TRIM(D119)),4,1)),10))+(INT(2*VALUE(MID(UPPER(TRIM(D119)),6,1))/10)+MOD(2*VALUE(MID(UPPER(TRIM(D119)),6,1)),10))+(INT(2*VALUE(MID(UPPER(TRIM(D119)),8,1))/10)+MOD(2*VALUE(MID(UPPER(TRIM(D119)),8,1)),10)),10),10)+1,1)),"OK","REVISAR")),"REVISAR")))</f>
        <v/>
      </c>
      <c r="Q119">
        <f>IF(B119="","",IF(COUNTIFS($B$2:$B$501,B119,$D$2:$D$501,D119)&gt;1,"DUPLICADA",""))</f>
        <v/>
      </c>
      <c r="R119">
        <f>IF(A119="","",ROUNDUP(MONTH(A119)/3,0))</f>
        <v/>
      </c>
      <c r="S119" s="3" t="n"/>
    </row>
    <row r="120">
      <c r="A120" s="2" t="n"/>
      <c r="B120" s="3" t="n"/>
      <c r="C120" s="3" t="n"/>
      <c r="D120" s="3" t="n"/>
      <c r="E120" s="4" t="n"/>
      <c r="F120" s="4" t="n"/>
      <c r="G120" s="4" t="n"/>
      <c r="H120" s="4" t="n"/>
      <c r="I120" s="5">
        <f>IF(E120="","",ROUND(E120*0.21,2))</f>
        <v/>
      </c>
      <c r="J120" s="5">
        <f>IF(F120="","",ROUND(F120*0.1,2))</f>
        <v/>
      </c>
      <c r="K120" s="5">
        <f>IF(G120="","",ROUND(G120*0.04,2))</f>
        <v/>
      </c>
      <c r="L120" s="4" t="n"/>
      <c r="M120" s="4" t="n"/>
      <c r="N120" s="5">
        <f>IF(A120="","",SUM(E120:K120)-N(L120))</f>
        <v/>
      </c>
      <c r="O120">
        <f>IF(OR(A120="",M120=""),"",IF(ABS(M120-N120)&lt;=0.02,"OK","REVISAR"))</f>
        <v/>
      </c>
      <c r="P120">
        <f>IF(D120="","",IF(LEN(TRIM(D120))&lt;&gt;9,"REVISAR",IFERROR(IF(OR(ISNUMBER(VALUE(LEFT(UPPER(TRIM(D120)),1))),LEFT(UPPER(TRIM(D120)),1)="X",LEFT(UPPER(TRIM(D120)),1)="Y",LEFT(UPPER(TRIM(D120)),1)="Z"),IF(MID("TRWAGMYFPDXBNJZSQVHLCKE",MOD(VALUE(SUBSTITUTE(SUBSTITUTE(SUBSTITUTE(LEFT(UPPER(TRIM(D120)),8),"X","0"),"Y","1"),"Z","2")),23)+1,1)=RIGHT(UPPER(TRIM(D120)),1),"OK","REVISAR"),IF(OR(RIGHT(UPPER(TRIM(D120)),1)=TEXT(MOD(10-MOD((VALUE(MID(UPPER(TRIM(D120)),3,1))+VALUE(MID(UPPER(TRIM(D120)),5,1))+VALUE(MID(UPPER(TRIM(D120)),7,1)))+(INT(2*VALUE(MID(UPPER(TRIM(D120)),2,1))/10)+MOD(2*VALUE(MID(UPPER(TRIM(D120)),2,1)),10))+(INT(2*VALUE(MID(UPPER(TRIM(D120)),4,1))/10)+MOD(2*VALUE(MID(UPPER(TRIM(D120)),4,1)),10))+(INT(2*VALUE(MID(UPPER(TRIM(D120)),6,1))/10)+MOD(2*VALUE(MID(UPPER(TRIM(D120)),6,1)),10))+(INT(2*VALUE(MID(UPPER(TRIM(D120)),8,1))/10)+MOD(2*VALUE(MID(UPPER(TRIM(D120)),8,1)),10)),10),10),"0"),RIGHT(UPPER(TRIM(D120)),1)=MID("JABCDEFGHI",MOD(10-MOD((VALUE(MID(UPPER(TRIM(D120)),3,1))+VALUE(MID(UPPER(TRIM(D120)),5,1))+VALUE(MID(UPPER(TRIM(D120)),7,1)))+(INT(2*VALUE(MID(UPPER(TRIM(D120)),2,1))/10)+MOD(2*VALUE(MID(UPPER(TRIM(D120)),2,1)),10))+(INT(2*VALUE(MID(UPPER(TRIM(D120)),4,1))/10)+MOD(2*VALUE(MID(UPPER(TRIM(D120)),4,1)),10))+(INT(2*VALUE(MID(UPPER(TRIM(D120)),6,1))/10)+MOD(2*VALUE(MID(UPPER(TRIM(D120)),6,1)),10))+(INT(2*VALUE(MID(UPPER(TRIM(D120)),8,1))/10)+MOD(2*VALUE(MID(UPPER(TRIM(D120)),8,1)),10)),10),10)+1,1)),"OK","REVISAR")),"REVISAR")))</f>
        <v/>
      </c>
      <c r="Q120">
        <f>IF(B120="","",IF(COUNTIFS($B$2:$B$501,B120,$D$2:$D$501,D120)&gt;1,"DUPLICADA",""))</f>
        <v/>
      </c>
      <c r="R120">
        <f>IF(A120="","",ROUNDUP(MONTH(A120)/3,0))</f>
        <v/>
      </c>
      <c r="S120" s="3" t="n"/>
    </row>
    <row r="121">
      <c r="A121" s="2" t="n"/>
      <c r="B121" s="3" t="n"/>
      <c r="C121" s="3" t="n"/>
      <c r="D121" s="3" t="n"/>
      <c r="E121" s="4" t="n"/>
      <c r="F121" s="4" t="n"/>
      <c r="G121" s="4" t="n"/>
      <c r="H121" s="4" t="n"/>
      <c r="I121" s="5">
        <f>IF(E121="","",ROUND(E121*0.21,2))</f>
        <v/>
      </c>
      <c r="J121" s="5">
        <f>IF(F121="","",ROUND(F121*0.1,2))</f>
        <v/>
      </c>
      <c r="K121" s="5">
        <f>IF(G121="","",ROUND(G121*0.04,2))</f>
        <v/>
      </c>
      <c r="L121" s="4" t="n"/>
      <c r="M121" s="4" t="n"/>
      <c r="N121" s="5">
        <f>IF(A121="","",SUM(E121:K121)-N(L121))</f>
        <v/>
      </c>
      <c r="O121">
        <f>IF(OR(A121="",M121=""),"",IF(ABS(M121-N121)&lt;=0.02,"OK","REVISAR"))</f>
        <v/>
      </c>
      <c r="P121">
        <f>IF(D121="","",IF(LEN(TRIM(D121))&lt;&gt;9,"REVISAR",IFERROR(IF(OR(ISNUMBER(VALUE(LEFT(UPPER(TRIM(D121)),1))),LEFT(UPPER(TRIM(D121)),1)="X",LEFT(UPPER(TRIM(D121)),1)="Y",LEFT(UPPER(TRIM(D121)),1)="Z"),IF(MID("TRWAGMYFPDXBNJZSQVHLCKE",MOD(VALUE(SUBSTITUTE(SUBSTITUTE(SUBSTITUTE(LEFT(UPPER(TRIM(D121)),8),"X","0"),"Y","1"),"Z","2")),23)+1,1)=RIGHT(UPPER(TRIM(D121)),1),"OK","REVISAR"),IF(OR(RIGHT(UPPER(TRIM(D121)),1)=TEXT(MOD(10-MOD((VALUE(MID(UPPER(TRIM(D121)),3,1))+VALUE(MID(UPPER(TRIM(D121)),5,1))+VALUE(MID(UPPER(TRIM(D121)),7,1)))+(INT(2*VALUE(MID(UPPER(TRIM(D121)),2,1))/10)+MOD(2*VALUE(MID(UPPER(TRIM(D121)),2,1)),10))+(INT(2*VALUE(MID(UPPER(TRIM(D121)),4,1))/10)+MOD(2*VALUE(MID(UPPER(TRIM(D121)),4,1)),10))+(INT(2*VALUE(MID(UPPER(TRIM(D121)),6,1))/10)+MOD(2*VALUE(MID(UPPER(TRIM(D121)),6,1)),10))+(INT(2*VALUE(MID(UPPER(TRIM(D121)),8,1))/10)+MOD(2*VALUE(MID(UPPER(TRIM(D121)),8,1)),10)),10),10),"0"),RIGHT(UPPER(TRIM(D121)),1)=MID("JABCDEFGHI",MOD(10-MOD((VALUE(MID(UPPER(TRIM(D121)),3,1))+VALUE(MID(UPPER(TRIM(D121)),5,1))+VALUE(MID(UPPER(TRIM(D121)),7,1)))+(INT(2*VALUE(MID(UPPER(TRIM(D121)),2,1))/10)+MOD(2*VALUE(MID(UPPER(TRIM(D121)),2,1)),10))+(INT(2*VALUE(MID(UPPER(TRIM(D121)),4,1))/10)+MOD(2*VALUE(MID(UPPER(TRIM(D121)),4,1)),10))+(INT(2*VALUE(MID(UPPER(TRIM(D121)),6,1))/10)+MOD(2*VALUE(MID(UPPER(TRIM(D121)),6,1)),10))+(INT(2*VALUE(MID(UPPER(TRIM(D121)),8,1))/10)+MOD(2*VALUE(MID(UPPER(TRIM(D121)),8,1)),10)),10),10)+1,1)),"OK","REVISAR")),"REVISAR")))</f>
        <v/>
      </c>
      <c r="Q121">
        <f>IF(B121="","",IF(COUNTIFS($B$2:$B$501,B121,$D$2:$D$501,D121)&gt;1,"DUPLICADA",""))</f>
        <v/>
      </c>
      <c r="R121">
        <f>IF(A121="","",ROUNDUP(MONTH(A121)/3,0))</f>
        <v/>
      </c>
      <c r="S121" s="3" t="n"/>
    </row>
    <row r="122">
      <c r="A122" s="2" t="n"/>
      <c r="B122" s="3" t="n"/>
      <c r="C122" s="3" t="n"/>
      <c r="D122" s="3" t="n"/>
      <c r="E122" s="4" t="n"/>
      <c r="F122" s="4" t="n"/>
      <c r="G122" s="4" t="n"/>
      <c r="H122" s="4" t="n"/>
      <c r="I122" s="5">
        <f>IF(E122="","",ROUND(E122*0.21,2))</f>
        <v/>
      </c>
      <c r="J122" s="5">
        <f>IF(F122="","",ROUND(F122*0.1,2))</f>
        <v/>
      </c>
      <c r="K122" s="5">
        <f>IF(G122="","",ROUND(G122*0.04,2))</f>
        <v/>
      </c>
      <c r="L122" s="4" t="n"/>
      <c r="M122" s="4" t="n"/>
      <c r="N122" s="5">
        <f>IF(A122="","",SUM(E122:K122)-N(L122))</f>
        <v/>
      </c>
      <c r="O122">
        <f>IF(OR(A122="",M122=""),"",IF(ABS(M122-N122)&lt;=0.02,"OK","REVISAR"))</f>
        <v/>
      </c>
      <c r="P122">
        <f>IF(D122="","",IF(LEN(TRIM(D122))&lt;&gt;9,"REVISAR",IFERROR(IF(OR(ISNUMBER(VALUE(LEFT(UPPER(TRIM(D122)),1))),LEFT(UPPER(TRIM(D122)),1)="X",LEFT(UPPER(TRIM(D122)),1)="Y",LEFT(UPPER(TRIM(D122)),1)="Z"),IF(MID("TRWAGMYFPDXBNJZSQVHLCKE",MOD(VALUE(SUBSTITUTE(SUBSTITUTE(SUBSTITUTE(LEFT(UPPER(TRIM(D122)),8),"X","0"),"Y","1"),"Z","2")),23)+1,1)=RIGHT(UPPER(TRIM(D122)),1),"OK","REVISAR"),IF(OR(RIGHT(UPPER(TRIM(D122)),1)=TEXT(MOD(10-MOD((VALUE(MID(UPPER(TRIM(D122)),3,1))+VALUE(MID(UPPER(TRIM(D122)),5,1))+VALUE(MID(UPPER(TRIM(D122)),7,1)))+(INT(2*VALUE(MID(UPPER(TRIM(D122)),2,1))/10)+MOD(2*VALUE(MID(UPPER(TRIM(D122)),2,1)),10))+(INT(2*VALUE(MID(UPPER(TRIM(D122)),4,1))/10)+MOD(2*VALUE(MID(UPPER(TRIM(D122)),4,1)),10))+(INT(2*VALUE(MID(UPPER(TRIM(D122)),6,1))/10)+MOD(2*VALUE(MID(UPPER(TRIM(D122)),6,1)),10))+(INT(2*VALUE(MID(UPPER(TRIM(D122)),8,1))/10)+MOD(2*VALUE(MID(UPPER(TRIM(D122)),8,1)),10)),10),10),"0"),RIGHT(UPPER(TRIM(D122)),1)=MID("JABCDEFGHI",MOD(10-MOD((VALUE(MID(UPPER(TRIM(D122)),3,1))+VALUE(MID(UPPER(TRIM(D122)),5,1))+VALUE(MID(UPPER(TRIM(D122)),7,1)))+(INT(2*VALUE(MID(UPPER(TRIM(D122)),2,1))/10)+MOD(2*VALUE(MID(UPPER(TRIM(D122)),2,1)),10))+(INT(2*VALUE(MID(UPPER(TRIM(D122)),4,1))/10)+MOD(2*VALUE(MID(UPPER(TRIM(D122)),4,1)),10))+(INT(2*VALUE(MID(UPPER(TRIM(D122)),6,1))/10)+MOD(2*VALUE(MID(UPPER(TRIM(D122)),6,1)),10))+(INT(2*VALUE(MID(UPPER(TRIM(D122)),8,1))/10)+MOD(2*VALUE(MID(UPPER(TRIM(D122)),8,1)),10)),10),10)+1,1)),"OK","REVISAR")),"REVISAR")))</f>
        <v/>
      </c>
      <c r="Q122">
        <f>IF(B122="","",IF(COUNTIFS($B$2:$B$501,B122,$D$2:$D$501,D122)&gt;1,"DUPLICADA",""))</f>
        <v/>
      </c>
      <c r="R122">
        <f>IF(A122="","",ROUNDUP(MONTH(A122)/3,0))</f>
        <v/>
      </c>
      <c r="S122" s="3" t="n"/>
    </row>
    <row r="123">
      <c r="A123" s="2" t="n"/>
      <c r="B123" s="3" t="n"/>
      <c r="C123" s="3" t="n"/>
      <c r="D123" s="3" t="n"/>
      <c r="E123" s="4" t="n"/>
      <c r="F123" s="4" t="n"/>
      <c r="G123" s="4" t="n"/>
      <c r="H123" s="4" t="n"/>
      <c r="I123" s="5">
        <f>IF(E123="","",ROUND(E123*0.21,2))</f>
        <v/>
      </c>
      <c r="J123" s="5">
        <f>IF(F123="","",ROUND(F123*0.1,2))</f>
        <v/>
      </c>
      <c r="K123" s="5">
        <f>IF(G123="","",ROUND(G123*0.04,2))</f>
        <v/>
      </c>
      <c r="L123" s="4" t="n"/>
      <c r="M123" s="4" t="n"/>
      <c r="N123" s="5">
        <f>IF(A123="","",SUM(E123:K123)-N(L123))</f>
        <v/>
      </c>
      <c r="O123">
        <f>IF(OR(A123="",M123=""),"",IF(ABS(M123-N123)&lt;=0.02,"OK","REVISAR"))</f>
        <v/>
      </c>
      <c r="P123">
        <f>IF(D123="","",IF(LEN(TRIM(D123))&lt;&gt;9,"REVISAR",IFERROR(IF(OR(ISNUMBER(VALUE(LEFT(UPPER(TRIM(D123)),1))),LEFT(UPPER(TRIM(D123)),1)="X",LEFT(UPPER(TRIM(D123)),1)="Y",LEFT(UPPER(TRIM(D123)),1)="Z"),IF(MID("TRWAGMYFPDXBNJZSQVHLCKE",MOD(VALUE(SUBSTITUTE(SUBSTITUTE(SUBSTITUTE(LEFT(UPPER(TRIM(D123)),8),"X","0"),"Y","1"),"Z","2")),23)+1,1)=RIGHT(UPPER(TRIM(D123)),1),"OK","REVISAR"),IF(OR(RIGHT(UPPER(TRIM(D123)),1)=TEXT(MOD(10-MOD((VALUE(MID(UPPER(TRIM(D123)),3,1))+VALUE(MID(UPPER(TRIM(D123)),5,1))+VALUE(MID(UPPER(TRIM(D123)),7,1)))+(INT(2*VALUE(MID(UPPER(TRIM(D123)),2,1))/10)+MOD(2*VALUE(MID(UPPER(TRIM(D123)),2,1)),10))+(INT(2*VALUE(MID(UPPER(TRIM(D123)),4,1))/10)+MOD(2*VALUE(MID(UPPER(TRIM(D123)),4,1)),10))+(INT(2*VALUE(MID(UPPER(TRIM(D123)),6,1))/10)+MOD(2*VALUE(MID(UPPER(TRIM(D123)),6,1)),10))+(INT(2*VALUE(MID(UPPER(TRIM(D123)),8,1))/10)+MOD(2*VALUE(MID(UPPER(TRIM(D123)),8,1)),10)),10),10),"0"),RIGHT(UPPER(TRIM(D123)),1)=MID("JABCDEFGHI",MOD(10-MOD((VALUE(MID(UPPER(TRIM(D123)),3,1))+VALUE(MID(UPPER(TRIM(D123)),5,1))+VALUE(MID(UPPER(TRIM(D123)),7,1)))+(INT(2*VALUE(MID(UPPER(TRIM(D123)),2,1))/10)+MOD(2*VALUE(MID(UPPER(TRIM(D123)),2,1)),10))+(INT(2*VALUE(MID(UPPER(TRIM(D123)),4,1))/10)+MOD(2*VALUE(MID(UPPER(TRIM(D123)),4,1)),10))+(INT(2*VALUE(MID(UPPER(TRIM(D123)),6,1))/10)+MOD(2*VALUE(MID(UPPER(TRIM(D123)),6,1)),10))+(INT(2*VALUE(MID(UPPER(TRIM(D123)),8,1))/10)+MOD(2*VALUE(MID(UPPER(TRIM(D123)),8,1)),10)),10),10)+1,1)),"OK","REVISAR")),"REVISAR")))</f>
        <v/>
      </c>
      <c r="Q123">
        <f>IF(B123="","",IF(COUNTIFS($B$2:$B$501,B123,$D$2:$D$501,D123)&gt;1,"DUPLICADA",""))</f>
        <v/>
      </c>
      <c r="R123">
        <f>IF(A123="","",ROUNDUP(MONTH(A123)/3,0))</f>
        <v/>
      </c>
      <c r="S123" s="3" t="n"/>
    </row>
    <row r="124">
      <c r="A124" s="2" t="n"/>
      <c r="B124" s="3" t="n"/>
      <c r="C124" s="3" t="n"/>
      <c r="D124" s="3" t="n"/>
      <c r="E124" s="4" t="n"/>
      <c r="F124" s="4" t="n"/>
      <c r="G124" s="4" t="n"/>
      <c r="H124" s="4" t="n"/>
      <c r="I124" s="5">
        <f>IF(E124="","",ROUND(E124*0.21,2))</f>
        <v/>
      </c>
      <c r="J124" s="5">
        <f>IF(F124="","",ROUND(F124*0.1,2))</f>
        <v/>
      </c>
      <c r="K124" s="5">
        <f>IF(G124="","",ROUND(G124*0.04,2))</f>
        <v/>
      </c>
      <c r="L124" s="4" t="n"/>
      <c r="M124" s="4" t="n"/>
      <c r="N124" s="5">
        <f>IF(A124="","",SUM(E124:K124)-N(L124))</f>
        <v/>
      </c>
      <c r="O124">
        <f>IF(OR(A124="",M124=""),"",IF(ABS(M124-N124)&lt;=0.02,"OK","REVISAR"))</f>
        <v/>
      </c>
      <c r="P124">
        <f>IF(D124="","",IF(LEN(TRIM(D124))&lt;&gt;9,"REVISAR",IFERROR(IF(OR(ISNUMBER(VALUE(LEFT(UPPER(TRIM(D124)),1))),LEFT(UPPER(TRIM(D124)),1)="X",LEFT(UPPER(TRIM(D124)),1)="Y",LEFT(UPPER(TRIM(D124)),1)="Z"),IF(MID("TRWAGMYFPDXBNJZSQVHLCKE",MOD(VALUE(SUBSTITUTE(SUBSTITUTE(SUBSTITUTE(LEFT(UPPER(TRIM(D124)),8),"X","0"),"Y","1"),"Z","2")),23)+1,1)=RIGHT(UPPER(TRIM(D124)),1),"OK","REVISAR"),IF(OR(RIGHT(UPPER(TRIM(D124)),1)=TEXT(MOD(10-MOD((VALUE(MID(UPPER(TRIM(D124)),3,1))+VALUE(MID(UPPER(TRIM(D124)),5,1))+VALUE(MID(UPPER(TRIM(D124)),7,1)))+(INT(2*VALUE(MID(UPPER(TRIM(D124)),2,1))/10)+MOD(2*VALUE(MID(UPPER(TRIM(D124)),2,1)),10))+(INT(2*VALUE(MID(UPPER(TRIM(D124)),4,1))/10)+MOD(2*VALUE(MID(UPPER(TRIM(D124)),4,1)),10))+(INT(2*VALUE(MID(UPPER(TRIM(D124)),6,1))/10)+MOD(2*VALUE(MID(UPPER(TRIM(D124)),6,1)),10))+(INT(2*VALUE(MID(UPPER(TRIM(D124)),8,1))/10)+MOD(2*VALUE(MID(UPPER(TRIM(D124)),8,1)),10)),10),10),"0"),RIGHT(UPPER(TRIM(D124)),1)=MID("JABCDEFGHI",MOD(10-MOD((VALUE(MID(UPPER(TRIM(D124)),3,1))+VALUE(MID(UPPER(TRIM(D124)),5,1))+VALUE(MID(UPPER(TRIM(D124)),7,1)))+(INT(2*VALUE(MID(UPPER(TRIM(D124)),2,1))/10)+MOD(2*VALUE(MID(UPPER(TRIM(D124)),2,1)),10))+(INT(2*VALUE(MID(UPPER(TRIM(D124)),4,1))/10)+MOD(2*VALUE(MID(UPPER(TRIM(D124)),4,1)),10))+(INT(2*VALUE(MID(UPPER(TRIM(D124)),6,1))/10)+MOD(2*VALUE(MID(UPPER(TRIM(D124)),6,1)),10))+(INT(2*VALUE(MID(UPPER(TRIM(D124)),8,1))/10)+MOD(2*VALUE(MID(UPPER(TRIM(D124)),8,1)),10)),10),10)+1,1)),"OK","REVISAR")),"REVISAR")))</f>
        <v/>
      </c>
      <c r="Q124">
        <f>IF(B124="","",IF(COUNTIFS($B$2:$B$501,B124,$D$2:$D$501,D124)&gt;1,"DUPLICADA",""))</f>
        <v/>
      </c>
      <c r="R124">
        <f>IF(A124="","",ROUNDUP(MONTH(A124)/3,0))</f>
        <v/>
      </c>
      <c r="S124" s="3" t="n"/>
    </row>
    <row r="125">
      <c r="A125" s="2" t="n"/>
      <c r="B125" s="3" t="n"/>
      <c r="C125" s="3" t="n"/>
      <c r="D125" s="3" t="n"/>
      <c r="E125" s="4" t="n"/>
      <c r="F125" s="4" t="n"/>
      <c r="G125" s="4" t="n"/>
      <c r="H125" s="4" t="n"/>
      <c r="I125" s="5">
        <f>IF(E125="","",ROUND(E125*0.21,2))</f>
        <v/>
      </c>
      <c r="J125" s="5">
        <f>IF(F125="","",ROUND(F125*0.1,2))</f>
        <v/>
      </c>
      <c r="K125" s="5">
        <f>IF(G125="","",ROUND(G125*0.04,2))</f>
        <v/>
      </c>
      <c r="L125" s="4" t="n"/>
      <c r="M125" s="4" t="n"/>
      <c r="N125" s="5">
        <f>IF(A125="","",SUM(E125:K125)-N(L125))</f>
        <v/>
      </c>
      <c r="O125">
        <f>IF(OR(A125="",M125=""),"",IF(ABS(M125-N125)&lt;=0.02,"OK","REVISAR"))</f>
        <v/>
      </c>
      <c r="P125">
        <f>IF(D125="","",IF(LEN(TRIM(D125))&lt;&gt;9,"REVISAR",IFERROR(IF(OR(ISNUMBER(VALUE(LEFT(UPPER(TRIM(D125)),1))),LEFT(UPPER(TRIM(D125)),1)="X",LEFT(UPPER(TRIM(D125)),1)="Y",LEFT(UPPER(TRIM(D125)),1)="Z"),IF(MID("TRWAGMYFPDXBNJZSQVHLCKE",MOD(VALUE(SUBSTITUTE(SUBSTITUTE(SUBSTITUTE(LEFT(UPPER(TRIM(D125)),8),"X","0"),"Y","1"),"Z","2")),23)+1,1)=RIGHT(UPPER(TRIM(D125)),1),"OK","REVISAR"),IF(OR(RIGHT(UPPER(TRIM(D125)),1)=TEXT(MOD(10-MOD((VALUE(MID(UPPER(TRIM(D125)),3,1))+VALUE(MID(UPPER(TRIM(D125)),5,1))+VALUE(MID(UPPER(TRIM(D125)),7,1)))+(INT(2*VALUE(MID(UPPER(TRIM(D125)),2,1))/10)+MOD(2*VALUE(MID(UPPER(TRIM(D125)),2,1)),10))+(INT(2*VALUE(MID(UPPER(TRIM(D125)),4,1))/10)+MOD(2*VALUE(MID(UPPER(TRIM(D125)),4,1)),10))+(INT(2*VALUE(MID(UPPER(TRIM(D125)),6,1))/10)+MOD(2*VALUE(MID(UPPER(TRIM(D125)),6,1)),10))+(INT(2*VALUE(MID(UPPER(TRIM(D125)),8,1))/10)+MOD(2*VALUE(MID(UPPER(TRIM(D125)),8,1)),10)),10),10),"0"),RIGHT(UPPER(TRIM(D125)),1)=MID("JABCDEFGHI",MOD(10-MOD((VALUE(MID(UPPER(TRIM(D125)),3,1))+VALUE(MID(UPPER(TRIM(D125)),5,1))+VALUE(MID(UPPER(TRIM(D125)),7,1)))+(INT(2*VALUE(MID(UPPER(TRIM(D125)),2,1))/10)+MOD(2*VALUE(MID(UPPER(TRIM(D125)),2,1)),10))+(INT(2*VALUE(MID(UPPER(TRIM(D125)),4,1))/10)+MOD(2*VALUE(MID(UPPER(TRIM(D125)),4,1)),10))+(INT(2*VALUE(MID(UPPER(TRIM(D125)),6,1))/10)+MOD(2*VALUE(MID(UPPER(TRIM(D125)),6,1)),10))+(INT(2*VALUE(MID(UPPER(TRIM(D125)),8,1))/10)+MOD(2*VALUE(MID(UPPER(TRIM(D125)),8,1)),10)),10),10)+1,1)),"OK","REVISAR")),"REVISAR")))</f>
        <v/>
      </c>
      <c r="Q125">
        <f>IF(B125="","",IF(COUNTIFS($B$2:$B$501,B125,$D$2:$D$501,D125)&gt;1,"DUPLICADA",""))</f>
        <v/>
      </c>
      <c r="R125">
        <f>IF(A125="","",ROUNDUP(MONTH(A125)/3,0))</f>
        <v/>
      </c>
      <c r="S125" s="3" t="n"/>
    </row>
    <row r="126">
      <c r="A126" s="2" t="n"/>
      <c r="B126" s="3" t="n"/>
      <c r="C126" s="3" t="n"/>
      <c r="D126" s="3" t="n"/>
      <c r="E126" s="4" t="n"/>
      <c r="F126" s="4" t="n"/>
      <c r="G126" s="4" t="n"/>
      <c r="H126" s="4" t="n"/>
      <c r="I126" s="5">
        <f>IF(E126="","",ROUND(E126*0.21,2))</f>
        <v/>
      </c>
      <c r="J126" s="5">
        <f>IF(F126="","",ROUND(F126*0.1,2))</f>
        <v/>
      </c>
      <c r="K126" s="5">
        <f>IF(G126="","",ROUND(G126*0.04,2))</f>
        <v/>
      </c>
      <c r="L126" s="4" t="n"/>
      <c r="M126" s="4" t="n"/>
      <c r="N126" s="5">
        <f>IF(A126="","",SUM(E126:K126)-N(L126))</f>
        <v/>
      </c>
      <c r="O126">
        <f>IF(OR(A126="",M126=""),"",IF(ABS(M126-N126)&lt;=0.02,"OK","REVISAR"))</f>
        <v/>
      </c>
      <c r="P126">
        <f>IF(D126="","",IF(LEN(TRIM(D126))&lt;&gt;9,"REVISAR",IFERROR(IF(OR(ISNUMBER(VALUE(LEFT(UPPER(TRIM(D126)),1))),LEFT(UPPER(TRIM(D126)),1)="X",LEFT(UPPER(TRIM(D126)),1)="Y",LEFT(UPPER(TRIM(D126)),1)="Z"),IF(MID("TRWAGMYFPDXBNJZSQVHLCKE",MOD(VALUE(SUBSTITUTE(SUBSTITUTE(SUBSTITUTE(LEFT(UPPER(TRIM(D126)),8),"X","0"),"Y","1"),"Z","2")),23)+1,1)=RIGHT(UPPER(TRIM(D126)),1),"OK","REVISAR"),IF(OR(RIGHT(UPPER(TRIM(D126)),1)=TEXT(MOD(10-MOD((VALUE(MID(UPPER(TRIM(D126)),3,1))+VALUE(MID(UPPER(TRIM(D126)),5,1))+VALUE(MID(UPPER(TRIM(D126)),7,1)))+(INT(2*VALUE(MID(UPPER(TRIM(D126)),2,1))/10)+MOD(2*VALUE(MID(UPPER(TRIM(D126)),2,1)),10))+(INT(2*VALUE(MID(UPPER(TRIM(D126)),4,1))/10)+MOD(2*VALUE(MID(UPPER(TRIM(D126)),4,1)),10))+(INT(2*VALUE(MID(UPPER(TRIM(D126)),6,1))/10)+MOD(2*VALUE(MID(UPPER(TRIM(D126)),6,1)),10))+(INT(2*VALUE(MID(UPPER(TRIM(D126)),8,1))/10)+MOD(2*VALUE(MID(UPPER(TRIM(D126)),8,1)),10)),10),10),"0"),RIGHT(UPPER(TRIM(D126)),1)=MID("JABCDEFGHI",MOD(10-MOD((VALUE(MID(UPPER(TRIM(D126)),3,1))+VALUE(MID(UPPER(TRIM(D126)),5,1))+VALUE(MID(UPPER(TRIM(D126)),7,1)))+(INT(2*VALUE(MID(UPPER(TRIM(D126)),2,1))/10)+MOD(2*VALUE(MID(UPPER(TRIM(D126)),2,1)),10))+(INT(2*VALUE(MID(UPPER(TRIM(D126)),4,1))/10)+MOD(2*VALUE(MID(UPPER(TRIM(D126)),4,1)),10))+(INT(2*VALUE(MID(UPPER(TRIM(D126)),6,1))/10)+MOD(2*VALUE(MID(UPPER(TRIM(D126)),6,1)),10))+(INT(2*VALUE(MID(UPPER(TRIM(D126)),8,1))/10)+MOD(2*VALUE(MID(UPPER(TRIM(D126)),8,1)),10)),10),10)+1,1)),"OK","REVISAR")),"REVISAR")))</f>
        <v/>
      </c>
      <c r="Q126">
        <f>IF(B126="","",IF(COUNTIFS($B$2:$B$501,B126,$D$2:$D$501,D126)&gt;1,"DUPLICADA",""))</f>
        <v/>
      </c>
      <c r="R126">
        <f>IF(A126="","",ROUNDUP(MONTH(A126)/3,0))</f>
        <v/>
      </c>
      <c r="S126" s="3" t="n"/>
    </row>
    <row r="127">
      <c r="A127" s="2" t="n"/>
      <c r="B127" s="3" t="n"/>
      <c r="C127" s="3" t="n"/>
      <c r="D127" s="3" t="n"/>
      <c r="E127" s="4" t="n"/>
      <c r="F127" s="4" t="n"/>
      <c r="G127" s="4" t="n"/>
      <c r="H127" s="4" t="n"/>
      <c r="I127" s="5">
        <f>IF(E127="","",ROUND(E127*0.21,2))</f>
        <v/>
      </c>
      <c r="J127" s="5">
        <f>IF(F127="","",ROUND(F127*0.1,2))</f>
        <v/>
      </c>
      <c r="K127" s="5">
        <f>IF(G127="","",ROUND(G127*0.04,2))</f>
        <v/>
      </c>
      <c r="L127" s="4" t="n"/>
      <c r="M127" s="4" t="n"/>
      <c r="N127" s="5">
        <f>IF(A127="","",SUM(E127:K127)-N(L127))</f>
        <v/>
      </c>
      <c r="O127">
        <f>IF(OR(A127="",M127=""),"",IF(ABS(M127-N127)&lt;=0.02,"OK","REVISAR"))</f>
        <v/>
      </c>
      <c r="P127">
        <f>IF(D127="","",IF(LEN(TRIM(D127))&lt;&gt;9,"REVISAR",IFERROR(IF(OR(ISNUMBER(VALUE(LEFT(UPPER(TRIM(D127)),1))),LEFT(UPPER(TRIM(D127)),1)="X",LEFT(UPPER(TRIM(D127)),1)="Y",LEFT(UPPER(TRIM(D127)),1)="Z"),IF(MID("TRWAGMYFPDXBNJZSQVHLCKE",MOD(VALUE(SUBSTITUTE(SUBSTITUTE(SUBSTITUTE(LEFT(UPPER(TRIM(D127)),8),"X","0"),"Y","1"),"Z","2")),23)+1,1)=RIGHT(UPPER(TRIM(D127)),1),"OK","REVISAR"),IF(OR(RIGHT(UPPER(TRIM(D127)),1)=TEXT(MOD(10-MOD((VALUE(MID(UPPER(TRIM(D127)),3,1))+VALUE(MID(UPPER(TRIM(D127)),5,1))+VALUE(MID(UPPER(TRIM(D127)),7,1)))+(INT(2*VALUE(MID(UPPER(TRIM(D127)),2,1))/10)+MOD(2*VALUE(MID(UPPER(TRIM(D127)),2,1)),10))+(INT(2*VALUE(MID(UPPER(TRIM(D127)),4,1))/10)+MOD(2*VALUE(MID(UPPER(TRIM(D127)),4,1)),10))+(INT(2*VALUE(MID(UPPER(TRIM(D127)),6,1))/10)+MOD(2*VALUE(MID(UPPER(TRIM(D127)),6,1)),10))+(INT(2*VALUE(MID(UPPER(TRIM(D127)),8,1))/10)+MOD(2*VALUE(MID(UPPER(TRIM(D127)),8,1)),10)),10),10),"0"),RIGHT(UPPER(TRIM(D127)),1)=MID("JABCDEFGHI",MOD(10-MOD((VALUE(MID(UPPER(TRIM(D127)),3,1))+VALUE(MID(UPPER(TRIM(D127)),5,1))+VALUE(MID(UPPER(TRIM(D127)),7,1)))+(INT(2*VALUE(MID(UPPER(TRIM(D127)),2,1))/10)+MOD(2*VALUE(MID(UPPER(TRIM(D127)),2,1)),10))+(INT(2*VALUE(MID(UPPER(TRIM(D127)),4,1))/10)+MOD(2*VALUE(MID(UPPER(TRIM(D127)),4,1)),10))+(INT(2*VALUE(MID(UPPER(TRIM(D127)),6,1))/10)+MOD(2*VALUE(MID(UPPER(TRIM(D127)),6,1)),10))+(INT(2*VALUE(MID(UPPER(TRIM(D127)),8,1))/10)+MOD(2*VALUE(MID(UPPER(TRIM(D127)),8,1)),10)),10),10)+1,1)),"OK","REVISAR")),"REVISAR")))</f>
        <v/>
      </c>
      <c r="Q127">
        <f>IF(B127="","",IF(COUNTIFS($B$2:$B$501,B127,$D$2:$D$501,D127)&gt;1,"DUPLICADA",""))</f>
        <v/>
      </c>
      <c r="R127">
        <f>IF(A127="","",ROUNDUP(MONTH(A127)/3,0))</f>
        <v/>
      </c>
      <c r="S127" s="3" t="n"/>
    </row>
    <row r="128">
      <c r="A128" s="2" t="n"/>
      <c r="B128" s="3" t="n"/>
      <c r="C128" s="3" t="n"/>
      <c r="D128" s="3" t="n"/>
      <c r="E128" s="4" t="n"/>
      <c r="F128" s="4" t="n"/>
      <c r="G128" s="4" t="n"/>
      <c r="H128" s="4" t="n"/>
      <c r="I128" s="5">
        <f>IF(E128="","",ROUND(E128*0.21,2))</f>
        <v/>
      </c>
      <c r="J128" s="5">
        <f>IF(F128="","",ROUND(F128*0.1,2))</f>
        <v/>
      </c>
      <c r="K128" s="5">
        <f>IF(G128="","",ROUND(G128*0.04,2))</f>
        <v/>
      </c>
      <c r="L128" s="4" t="n"/>
      <c r="M128" s="4" t="n"/>
      <c r="N128" s="5">
        <f>IF(A128="","",SUM(E128:K128)-N(L128))</f>
        <v/>
      </c>
      <c r="O128">
        <f>IF(OR(A128="",M128=""),"",IF(ABS(M128-N128)&lt;=0.02,"OK","REVISAR"))</f>
        <v/>
      </c>
      <c r="P128">
        <f>IF(D128="","",IF(LEN(TRIM(D128))&lt;&gt;9,"REVISAR",IFERROR(IF(OR(ISNUMBER(VALUE(LEFT(UPPER(TRIM(D128)),1))),LEFT(UPPER(TRIM(D128)),1)="X",LEFT(UPPER(TRIM(D128)),1)="Y",LEFT(UPPER(TRIM(D128)),1)="Z"),IF(MID("TRWAGMYFPDXBNJZSQVHLCKE",MOD(VALUE(SUBSTITUTE(SUBSTITUTE(SUBSTITUTE(LEFT(UPPER(TRIM(D128)),8),"X","0"),"Y","1"),"Z","2")),23)+1,1)=RIGHT(UPPER(TRIM(D128)),1),"OK","REVISAR"),IF(OR(RIGHT(UPPER(TRIM(D128)),1)=TEXT(MOD(10-MOD((VALUE(MID(UPPER(TRIM(D128)),3,1))+VALUE(MID(UPPER(TRIM(D128)),5,1))+VALUE(MID(UPPER(TRIM(D128)),7,1)))+(INT(2*VALUE(MID(UPPER(TRIM(D128)),2,1))/10)+MOD(2*VALUE(MID(UPPER(TRIM(D128)),2,1)),10))+(INT(2*VALUE(MID(UPPER(TRIM(D128)),4,1))/10)+MOD(2*VALUE(MID(UPPER(TRIM(D128)),4,1)),10))+(INT(2*VALUE(MID(UPPER(TRIM(D128)),6,1))/10)+MOD(2*VALUE(MID(UPPER(TRIM(D128)),6,1)),10))+(INT(2*VALUE(MID(UPPER(TRIM(D128)),8,1))/10)+MOD(2*VALUE(MID(UPPER(TRIM(D128)),8,1)),10)),10),10),"0"),RIGHT(UPPER(TRIM(D128)),1)=MID("JABCDEFGHI",MOD(10-MOD((VALUE(MID(UPPER(TRIM(D128)),3,1))+VALUE(MID(UPPER(TRIM(D128)),5,1))+VALUE(MID(UPPER(TRIM(D128)),7,1)))+(INT(2*VALUE(MID(UPPER(TRIM(D128)),2,1))/10)+MOD(2*VALUE(MID(UPPER(TRIM(D128)),2,1)),10))+(INT(2*VALUE(MID(UPPER(TRIM(D128)),4,1))/10)+MOD(2*VALUE(MID(UPPER(TRIM(D128)),4,1)),10))+(INT(2*VALUE(MID(UPPER(TRIM(D128)),6,1))/10)+MOD(2*VALUE(MID(UPPER(TRIM(D128)),6,1)),10))+(INT(2*VALUE(MID(UPPER(TRIM(D128)),8,1))/10)+MOD(2*VALUE(MID(UPPER(TRIM(D128)),8,1)),10)),10),10)+1,1)),"OK","REVISAR")),"REVISAR")))</f>
        <v/>
      </c>
      <c r="Q128">
        <f>IF(B128="","",IF(COUNTIFS($B$2:$B$501,B128,$D$2:$D$501,D128)&gt;1,"DUPLICADA",""))</f>
        <v/>
      </c>
      <c r="R128">
        <f>IF(A128="","",ROUNDUP(MONTH(A128)/3,0))</f>
        <v/>
      </c>
      <c r="S128" s="3" t="n"/>
    </row>
    <row r="129">
      <c r="A129" s="2" t="n"/>
      <c r="B129" s="3" t="n"/>
      <c r="C129" s="3" t="n"/>
      <c r="D129" s="3" t="n"/>
      <c r="E129" s="4" t="n"/>
      <c r="F129" s="4" t="n"/>
      <c r="G129" s="4" t="n"/>
      <c r="H129" s="4" t="n"/>
      <c r="I129" s="5">
        <f>IF(E129="","",ROUND(E129*0.21,2))</f>
        <v/>
      </c>
      <c r="J129" s="5">
        <f>IF(F129="","",ROUND(F129*0.1,2))</f>
        <v/>
      </c>
      <c r="K129" s="5">
        <f>IF(G129="","",ROUND(G129*0.04,2))</f>
        <v/>
      </c>
      <c r="L129" s="4" t="n"/>
      <c r="M129" s="4" t="n"/>
      <c r="N129" s="5">
        <f>IF(A129="","",SUM(E129:K129)-N(L129))</f>
        <v/>
      </c>
      <c r="O129">
        <f>IF(OR(A129="",M129=""),"",IF(ABS(M129-N129)&lt;=0.02,"OK","REVISAR"))</f>
        <v/>
      </c>
      <c r="P129">
        <f>IF(D129="","",IF(LEN(TRIM(D129))&lt;&gt;9,"REVISAR",IFERROR(IF(OR(ISNUMBER(VALUE(LEFT(UPPER(TRIM(D129)),1))),LEFT(UPPER(TRIM(D129)),1)="X",LEFT(UPPER(TRIM(D129)),1)="Y",LEFT(UPPER(TRIM(D129)),1)="Z"),IF(MID("TRWAGMYFPDXBNJZSQVHLCKE",MOD(VALUE(SUBSTITUTE(SUBSTITUTE(SUBSTITUTE(LEFT(UPPER(TRIM(D129)),8),"X","0"),"Y","1"),"Z","2")),23)+1,1)=RIGHT(UPPER(TRIM(D129)),1),"OK","REVISAR"),IF(OR(RIGHT(UPPER(TRIM(D129)),1)=TEXT(MOD(10-MOD((VALUE(MID(UPPER(TRIM(D129)),3,1))+VALUE(MID(UPPER(TRIM(D129)),5,1))+VALUE(MID(UPPER(TRIM(D129)),7,1)))+(INT(2*VALUE(MID(UPPER(TRIM(D129)),2,1))/10)+MOD(2*VALUE(MID(UPPER(TRIM(D129)),2,1)),10))+(INT(2*VALUE(MID(UPPER(TRIM(D129)),4,1))/10)+MOD(2*VALUE(MID(UPPER(TRIM(D129)),4,1)),10))+(INT(2*VALUE(MID(UPPER(TRIM(D129)),6,1))/10)+MOD(2*VALUE(MID(UPPER(TRIM(D129)),6,1)),10))+(INT(2*VALUE(MID(UPPER(TRIM(D129)),8,1))/10)+MOD(2*VALUE(MID(UPPER(TRIM(D129)),8,1)),10)),10),10),"0"),RIGHT(UPPER(TRIM(D129)),1)=MID("JABCDEFGHI",MOD(10-MOD((VALUE(MID(UPPER(TRIM(D129)),3,1))+VALUE(MID(UPPER(TRIM(D129)),5,1))+VALUE(MID(UPPER(TRIM(D129)),7,1)))+(INT(2*VALUE(MID(UPPER(TRIM(D129)),2,1))/10)+MOD(2*VALUE(MID(UPPER(TRIM(D129)),2,1)),10))+(INT(2*VALUE(MID(UPPER(TRIM(D129)),4,1))/10)+MOD(2*VALUE(MID(UPPER(TRIM(D129)),4,1)),10))+(INT(2*VALUE(MID(UPPER(TRIM(D129)),6,1))/10)+MOD(2*VALUE(MID(UPPER(TRIM(D129)),6,1)),10))+(INT(2*VALUE(MID(UPPER(TRIM(D129)),8,1))/10)+MOD(2*VALUE(MID(UPPER(TRIM(D129)),8,1)),10)),10),10)+1,1)),"OK","REVISAR")),"REVISAR")))</f>
        <v/>
      </c>
      <c r="Q129">
        <f>IF(B129="","",IF(COUNTIFS($B$2:$B$501,B129,$D$2:$D$501,D129)&gt;1,"DUPLICADA",""))</f>
        <v/>
      </c>
      <c r="R129">
        <f>IF(A129="","",ROUNDUP(MONTH(A129)/3,0))</f>
        <v/>
      </c>
      <c r="S129" s="3" t="n"/>
    </row>
    <row r="130">
      <c r="A130" s="2" t="n"/>
      <c r="B130" s="3" t="n"/>
      <c r="C130" s="3" t="n"/>
      <c r="D130" s="3" t="n"/>
      <c r="E130" s="4" t="n"/>
      <c r="F130" s="4" t="n"/>
      <c r="G130" s="4" t="n"/>
      <c r="H130" s="4" t="n"/>
      <c r="I130" s="5">
        <f>IF(E130="","",ROUND(E130*0.21,2))</f>
        <v/>
      </c>
      <c r="J130" s="5">
        <f>IF(F130="","",ROUND(F130*0.1,2))</f>
        <v/>
      </c>
      <c r="K130" s="5">
        <f>IF(G130="","",ROUND(G130*0.04,2))</f>
        <v/>
      </c>
      <c r="L130" s="4" t="n"/>
      <c r="M130" s="4" t="n"/>
      <c r="N130" s="5">
        <f>IF(A130="","",SUM(E130:K130)-N(L130))</f>
        <v/>
      </c>
      <c r="O130">
        <f>IF(OR(A130="",M130=""),"",IF(ABS(M130-N130)&lt;=0.02,"OK","REVISAR"))</f>
        <v/>
      </c>
      <c r="P130">
        <f>IF(D130="","",IF(LEN(TRIM(D130))&lt;&gt;9,"REVISAR",IFERROR(IF(OR(ISNUMBER(VALUE(LEFT(UPPER(TRIM(D130)),1))),LEFT(UPPER(TRIM(D130)),1)="X",LEFT(UPPER(TRIM(D130)),1)="Y",LEFT(UPPER(TRIM(D130)),1)="Z"),IF(MID("TRWAGMYFPDXBNJZSQVHLCKE",MOD(VALUE(SUBSTITUTE(SUBSTITUTE(SUBSTITUTE(LEFT(UPPER(TRIM(D130)),8),"X","0"),"Y","1"),"Z","2")),23)+1,1)=RIGHT(UPPER(TRIM(D130)),1),"OK","REVISAR"),IF(OR(RIGHT(UPPER(TRIM(D130)),1)=TEXT(MOD(10-MOD((VALUE(MID(UPPER(TRIM(D130)),3,1))+VALUE(MID(UPPER(TRIM(D130)),5,1))+VALUE(MID(UPPER(TRIM(D130)),7,1)))+(INT(2*VALUE(MID(UPPER(TRIM(D130)),2,1))/10)+MOD(2*VALUE(MID(UPPER(TRIM(D130)),2,1)),10))+(INT(2*VALUE(MID(UPPER(TRIM(D130)),4,1))/10)+MOD(2*VALUE(MID(UPPER(TRIM(D130)),4,1)),10))+(INT(2*VALUE(MID(UPPER(TRIM(D130)),6,1))/10)+MOD(2*VALUE(MID(UPPER(TRIM(D130)),6,1)),10))+(INT(2*VALUE(MID(UPPER(TRIM(D130)),8,1))/10)+MOD(2*VALUE(MID(UPPER(TRIM(D130)),8,1)),10)),10),10),"0"),RIGHT(UPPER(TRIM(D130)),1)=MID("JABCDEFGHI",MOD(10-MOD((VALUE(MID(UPPER(TRIM(D130)),3,1))+VALUE(MID(UPPER(TRIM(D130)),5,1))+VALUE(MID(UPPER(TRIM(D130)),7,1)))+(INT(2*VALUE(MID(UPPER(TRIM(D130)),2,1))/10)+MOD(2*VALUE(MID(UPPER(TRIM(D130)),2,1)),10))+(INT(2*VALUE(MID(UPPER(TRIM(D130)),4,1))/10)+MOD(2*VALUE(MID(UPPER(TRIM(D130)),4,1)),10))+(INT(2*VALUE(MID(UPPER(TRIM(D130)),6,1))/10)+MOD(2*VALUE(MID(UPPER(TRIM(D130)),6,1)),10))+(INT(2*VALUE(MID(UPPER(TRIM(D130)),8,1))/10)+MOD(2*VALUE(MID(UPPER(TRIM(D130)),8,1)),10)),10),10)+1,1)),"OK","REVISAR")),"REVISAR")))</f>
        <v/>
      </c>
      <c r="Q130">
        <f>IF(B130="","",IF(COUNTIFS($B$2:$B$501,B130,$D$2:$D$501,D130)&gt;1,"DUPLICADA",""))</f>
        <v/>
      </c>
      <c r="R130">
        <f>IF(A130="","",ROUNDUP(MONTH(A130)/3,0))</f>
        <v/>
      </c>
      <c r="S130" s="3" t="n"/>
    </row>
    <row r="131">
      <c r="A131" s="2" t="n"/>
      <c r="B131" s="3" t="n"/>
      <c r="C131" s="3" t="n"/>
      <c r="D131" s="3" t="n"/>
      <c r="E131" s="4" t="n"/>
      <c r="F131" s="4" t="n"/>
      <c r="G131" s="4" t="n"/>
      <c r="H131" s="4" t="n"/>
      <c r="I131" s="5">
        <f>IF(E131="","",ROUND(E131*0.21,2))</f>
        <v/>
      </c>
      <c r="J131" s="5">
        <f>IF(F131="","",ROUND(F131*0.1,2))</f>
        <v/>
      </c>
      <c r="K131" s="5">
        <f>IF(G131="","",ROUND(G131*0.04,2))</f>
        <v/>
      </c>
      <c r="L131" s="4" t="n"/>
      <c r="M131" s="4" t="n"/>
      <c r="N131" s="5">
        <f>IF(A131="","",SUM(E131:K131)-N(L131))</f>
        <v/>
      </c>
      <c r="O131">
        <f>IF(OR(A131="",M131=""),"",IF(ABS(M131-N131)&lt;=0.02,"OK","REVISAR"))</f>
        <v/>
      </c>
      <c r="P131">
        <f>IF(D131="","",IF(LEN(TRIM(D131))&lt;&gt;9,"REVISAR",IFERROR(IF(OR(ISNUMBER(VALUE(LEFT(UPPER(TRIM(D131)),1))),LEFT(UPPER(TRIM(D131)),1)="X",LEFT(UPPER(TRIM(D131)),1)="Y",LEFT(UPPER(TRIM(D131)),1)="Z"),IF(MID("TRWAGMYFPDXBNJZSQVHLCKE",MOD(VALUE(SUBSTITUTE(SUBSTITUTE(SUBSTITUTE(LEFT(UPPER(TRIM(D131)),8),"X","0"),"Y","1"),"Z","2")),23)+1,1)=RIGHT(UPPER(TRIM(D131)),1),"OK","REVISAR"),IF(OR(RIGHT(UPPER(TRIM(D131)),1)=TEXT(MOD(10-MOD((VALUE(MID(UPPER(TRIM(D131)),3,1))+VALUE(MID(UPPER(TRIM(D131)),5,1))+VALUE(MID(UPPER(TRIM(D131)),7,1)))+(INT(2*VALUE(MID(UPPER(TRIM(D131)),2,1))/10)+MOD(2*VALUE(MID(UPPER(TRIM(D131)),2,1)),10))+(INT(2*VALUE(MID(UPPER(TRIM(D131)),4,1))/10)+MOD(2*VALUE(MID(UPPER(TRIM(D131)),4,1)),10))+(INT(2*VALUE(MID(UPPER(TRIM(D131)),6,1))/10)+MOD(2*VALUE(MID(UPPER(TRIM(D131)),6,1)),10))+(INT(2*VALUE(MID(UPPER(TRIM(D131)),8,1))/10)+MOD(2*VALUE(MID(UPPER(TRIM(D131)),8,1)),10)),10),10),"0"),RIGHT(UPPER(TRIM(D131)),1)=MID("JABCDEFGHI",MOD(10-MOD((VALUE(MID(UPPER(TRIM(D131)),3,1))+VALUE(MID(UPPER(TRIM(D131)),5,1))+VALUE(MID(UPPER(TRIM(D131)),7,1)))+(INT(2*VALUE(MID(UPPER(TRIM(D131)),2,1))/10)+MOD(2*VALUE(MID(UPPER(TRIM(D131)),2,1)),10))+(INT(2*VALUE(MID(UPPER(TRIM(D131)),4,1))/10)+MOD(2*VALUE(MID(UPPER(TRIM(D131)),4,1)),10))+(INT(2*VALUE(MID(UPPER(TRIM(D131)),6,1))/10)+MOD(2*VALUE(MID(UPPER(TRIM(D131)),6,1)),10))+(INT(2*VALUE(MID(UPPER(TRIM(D131)),8,1))/10)+MOD(2*VALUE(MID(UPPER(TRIM(D131)),8,1)),10)),10),10)+1,1)),"OK","REVISAR")),"REVISAR")))</f>
        <v/>
      </c>
      <c r="Q131">
        <f>IF(B131="","",IF(COUNTIFS($B$2:$B$501,B131,$D$2:$D$501,D131)&gt;1,"DUPLICADA",""))</f>
        <v/>
      </c>
      <c r="R131">
        <f>IF(A131="","",ROUNDUP(MONTH(A131)/3,0))</f>
        <v/>
      </c>
      <c r="S131" s="3" t="n"/>
    </row>
    <row r="132">
      <c r="A132" s="2" t="n"/>
      <c r="B132" s="3" t="n"/>
      <c r="C132" s="3" t="n"/>
      <c r="D132" s="3" t="n"/>
      <c r="E132" s="4" t="n"/>
      <c r="F132" s="4" t="n"/>
      <c r="G132" s="4" t="n"/>
      <c r="H132" s="4" t="n"/>
      <c r="I132" s="5">
        <f>IF(E132="","",ROUND(E132*0.21,2))</f>
        <v/>
      </c>
      <c r="J132" s="5">
        <f>IF(F132="","",ROUND(F132*0.1,2))</f>
        <v/>
      </c>
      <c r="K132" s="5">
        <f>IF(G132="","",ROUND(G132*0.04,2))</f>
        <v/>
      </c>
      <c r="L132" s="4" t="n"/>
      <c r="M132" s="4" t="n"/>
      <c r="N132" s="5">
        <f>IF(A132="","",SUM(E132:K132)-N(L132))</f>
        <v/>
      </c>
      <c r="O132">
        <f>IF(OR(A132="",M132=""),"",IF(ABS(M132-N132)&lt;=0.02,"OK","REVISAR"))</f>
        <v/>
      </c>
      <c r="P132">
        <f>IF(D132="","",IF(LEN(TRIM(D132))&lt;&gt;9,"REVISAR",IFERROR(IF(OR(ISNUMBER(VALUE(LEFT(UPPER(TRIM(D132)),1))),LEFT(UPPER(TRIM(D132)),1)="X",LEFT(UPPER(TRIM(D132)),1)="Y",LEFT(UPPER(TRIM(D132)),1)="Z"),IF(MID("TRWAGMYFPDXBNJZSQVHLCKE",MOD(VALUE(SUBSTITUTE(SUBSTITUTE(SUBSTITUTE(LEFT(UPPER(TRIM(D132)),8),"X","0"),"Y","1"),"Z","2")),23)+1,1)=RIGHT(UPPER(TRIM(D132)),1),"OK","REVISAR"),IF(OR(RIGHT(UPPER(TRIM(D132)),1)=TEXT(MOD(10-MOD((VALUE(MID(UPPER(TRIM(D132)),3,1))+VALUE(MID(UPPER(TRIM(D132)),5,1))+VALUE(MID(UPPER(TRIM(D132)),7,1)))+(INT(2*VALUE(MID(UPPER(TRIM(D132)),2,1))/10)+MOD(2*VALUE(MID(UPPER(TRIM(D132)),2,1)),10))+(INT(2*VALUE(MID(UPPER(TRIM(D132)),4,1))/10)+MOD(2*VALUE(MID(UPPER(TRIM(D132)),4,1)),10))+(INT(2*VALUE(MID(UPPER(TRIM(D132)),6,1))/10)+MOD(2*VALUE(MID(UPPER(TRIM(D132)),6,1)),10))+(INT(2*VALUE(MID(UPPER(TRIM(D132)),8,1))/10)+MOD(2*VALUE(MID(UPPER(TRIM(D132)),8,1)),10)),10),10),"0"),RIGHT(UPPER(TRIM(D132)),1)=MID("JABCDEFGHI",MOD(10-MOD((VALUE(MID(UPPER(TRIM(D132)),3,1))+VALUE(MID(UPPER(TRIM(D132)),5,1))+VALUE(MID(UPPER(TRIM(D132)),7,1)))+(INT(2*VALUE(MID(UPPER(TRIM(D132)),2,1))/10)+MOD(2*VALUE(MID(UPPER(TRIM(D132)),2,1)),10))+(INT(2*VALUE(MID(UPPER(TRIM(D132)),4,1))/10)+MOD(2*VALUE(MID(UPPER(TRIM(D132)),4,1)),10))+(INT(2*VALUE(MID(UPPER(TRIM(D132)),6,1))/10)+MOD(2*VALUE(MID(UPPER(TRIM(D132)),6,1)),10))+(INT(2*VALUE(MID(UPPER(TRIM(D132)),8,1))/10)+MOD(2*VALUE(MID(UPPER(TRIM(D132)),8,1)),10)),10),10)+1,1)),"OK","REVISAR")),"REVISAR")))</f>
        <v/>
      </c>
      <c r="Q132">
        <f>IF(B132="","",IF(COUNTIFS($B$2:$B$501,B132,$D$2:$D$501,D132)&gt;1,"DUPLICADA",""))</f>
        <v/>
      </c>
      <c r="R132">
        <f>IF(A132="","",ROUNDUP(MONTH(A132)/3,0))</f>
        <v/>
      </c>
      <c r="S132" s="3" t="n"/>
    </row>
    <row r="133">
      <c r="A133" s="2" t="n"/>
      <c r="B133" s="3" t="n"/>
      <c r="C133" s="3" t="n"/>
      <c r="D133" s="3" t="n"/>
      <c r="E133" s="4" t="n"/>
      <c r="F133" s="4" t="n"/>
      <c r="G133" s="4" t="n"/>
      <c r="H133" s="4" t="n"/>
      <c r="I133" s="5">
        <f>IF(E133="","",ROUND(E133*0.21,2))</f>
        <v/>
      </c>
      <c r="J133" s="5">
        <f>IF(F133="","",ROUND(F133*0.1,2))</f>
        <v/>
      </c>
      <c r="K133" s="5">
        <f>IF(G133="","",ROUND(G133*0.04,2))</f>
        <v/>
      </c>
      <c r="L133" s="4" t="n"/>
      <c r="M133" s="4" t="n"/>
      <c r="N133" s="5">
        <f>IF(A133="","",SUM(E133:K133)-N(L133))</f>
        <v/>
      </c>
      <c r="O133">
        <f>IF(OR(A133="",M133=""),"",IF(ABS(M133-N133)&lt;=0.02,"OK","REVISAR"))</f>
        <v/>
      </c>
      <c r="P133">
        <f>IF(D133="","",IF(LEN(TRIM(D133))&lt;&gt;9,"REVISAR",IFERROR(IF(OR(ISNUMBER(VALUE(LEFT(UPPER(TRIM(D133)),1))),LEFT(UPPER(TRIM(D133)),1)="X",LEFT(UPPER(TRIM(D133)),1)="Y",LEFT(UPPER(TRIM(D133)),1)="Z"),IF(MID("TRWAGMYFPDXBNJZSQVHLCKE",MOD(VALUE(SUBSTITUTE(SUBSTITUTE(SUBSTITUTE(LEFT(UPPER(TRIM(D133)),8),"X","0"),"Y","1"),"Z","2")),23)+1,1)=RIGHT(UPPER(TRIM(D133)),1),"OK","REVISAR"),IF(OR(RIGHT(UPPER(TRIM(D133)),1)=TEXT(MOD(10-MOD((VALUE(MID(UPPER(TRIM(D133)),3,1))+VALUE(MID(UPPER(TRIM(D133)),5,1))+VALUE(MID(UPPER(TRIM(D133)),7,1)))+(INT(2*VALUE(MID(UPPER(TRIM(D133)),2,1))/10)+MOD(2*VALUE(MID(UPPER(TRIM(D133)),2,1)),10))+(INT(2*VALUE(MID(UPPER(TRIM(D133)),4,1))/10)+MOD(2*VALUE(MID(UPPER(TRIM(D133)),4,1)),10))+(INT(2*VALUE(MID(UPPER(TRIM(D133)),6,1))/10)+MOD(2*VALUE(MID(UPPER(TRIM(D133)),6,1)),10))+(INT(2*VALUE(MID(UPPER(TRIM(D133)),8,1))/10)+MOD(2*VALUE(MID(UPPER(TRIM(D133)),8,1)),10)),10),10),"0"),RIGHT(UPPER(TRIM(D133)),1)=MID("JABCDEFGHI",MOD(10-MOD((VALUE(MID(UPPER(TRIM(D133)),3,1))+VALUE(MID(UPPER(TRIM(D133)),5,1))+VALUE(MID(UPPER(TRIM(D133)),7,1)))+(INT(2*VALUE(MID(UPPER(TRIM(D133)),2,1))/10)+MOD(2*VALUE(MID(UPPER(TRIM(D133)),2,1)),10))+(INT(2*VALUE(MID(UPPER(TRIM(D133)),4,1))/10)+MOD(2*VALUE(MID(UPPER(TRIM(D133)),4,1)),10))+(INT(2*VALUE(MID(UPPER(TRIM(D133)),6,1))/10)+MOD(2*VALUE(MID(UPPER(TRIM(D133)),6,1)),10))+(INT(2*VALUE(MID(UPPER(TRIM(D133)),8,1))/10)+MOD(2*VALUE(MID(UPPER(TRIM(D133)),8,1)),10)),10),10)+1,1)),"OK","REVISAR")),"REVISAR")))</f>
        <v/>
      </c>
      <c r="Q133">
        <f>IF(B133="","",IF(COUNTIFS($B$2:$B$501,B133,$D$2:$D$501,D133)&gt;1,"DUPLICADA",""))</f>
        <v/>
      </c>
      <c r="R133">
        <f>IF(A133="","",ROUNDUP(MONTH(A133)/3,0))</f>
        <v/>
      </c>
      <c r="S133" s="3" t="n"/>
    </row>
    <row r="134">
      <c r="A134" s="2" t="n"/>
      <c r="B134" s="3" t="n"/>
      <c r="C134" s="3" t="n"/>
      <c r="D134" s="3" t="n"/>
      <c r="E134" s="4" t="n"/>
      <c r="F134" s="4" t="n"/>
      <c r="G134" s="4" t="n"/>
      <c r="H134" s="4" t="n"/>
      <c r="I134" s="5">
        <f>IF(E134="","",ROUND(E134*0.21,2))</f>
        <v/>
      </c>
      <c r="J134" s="5">
        <f>IF(F134="","",ROUND(F134*0.1,2))</f>
        <v/>
      </c>
      <c r="K134" s="5">
        <f>IF(G134="","",ROUND(G134*0.04,2))</f>
        <v/>
      </c>
      <c r="L134" s="4" t="n"/>
      <c r="M134" s="4" t="n"/>
      <c r="N134" s="5">
        <f>IF(A134="","",SUM(E134:K134)-N(L134))</f>
        <v/>
      </c>
      <c r="O134">
        <f>IF(OR(A134="",M134=""),"",IF(ABS(M134-N134)&lt;=0.02,"OK","REVISAR"))</f>
        <v/>
      </c>
      <c r="P134">
        <f>IF(D134="","",IF(LEN(TRIM(D134))&lt;&gt;9,"REVISAR",IFERROR(IF(OR(ISNUMBER(VALUE(LEFT(UPPER(TRIM(D134)),1))),LEFT(UPPER(TRIM(D134)),1)="X",LEFT(UPPER(TRIM(D134)),1)="Y",LEFT(UPPER(TRIM(D134)),1)="Z"),IF(MID("TRWAGMYFPDXBNJZSQVHLCKE",MOD(VALUE(SUBSTITUTE(SUBSTITUTE(SUBSTITUTE(LEFT(UPPER(TRIM(D134)),8),"X","0"),"Y","1"),"Z","2")),23)+1,1)=RIGHT(UPPER(TRIM(D134)),1),"OK","REVISAR"),IF(OR(RIGHT(UPPER(TRIM(D134)),1)=TEXT(MOD(10-MOD((VALUE(MID(UPPER(TRIM(D134)),3,1))+VALUE(MID(UPPER(TRIM(D134)),5,1))+VALUE(MID(UPPER(TRIM(D134)),7,1)))+(INT(2*VALUE(MID(UPPER(TRIM(D134)),2,1))/10)+MOD(2*VALUE(MID(UPPER(TRIM(D134)),2,1)),10))+(INT(2*VALUE(MID(UPPER(TRIM(D134)),4,1))/10)+MOD(2*VALUE(MID(UPPER(TRIM(D134)),4,1)),10))+(INT(2*VALUE(MID(UPPER(TRIM(D134)),6,1))/10)+MOD(2*VALUE(MID(UPPER(TRIM(D134)),6,1)),10))+(INT(2*VALUE(MID(UPPER(TRIM(D134)),8,1))/10)+MOD(2*VALUE(MID(UPPER(TRIM(D134)),8,1)),10)),10),10),"0"),RIGHT(UPPER(TRIM(D134)),1)=MID("JABCDEFGHI",MOD(10-MOD((VALUE(MID(UPPER(TRIM(D134)),3,1))+VALUE(MID(UPPER(TRIM(D134)),5,1))+VALUE(MID(UPPER(TRIM(D134)),7,1)))+(INT(2*VALUE(MID(UPPER(TRIM(D134)),2,1))/10)+MOD(2*VALUE(MID(UPPER(TRIM(D134)),2,1)),10))+(INT(2*VALUE(MID(UPPER(TRIM(D134)),4,1))/10)+MOD(2*VALUE(MID(UPPER(TRIM(D134)),4,1)),10))+(INT(2*VALUE(MID(UPPER(TRIM(D134)),6,1))/10)+MOD(2*VALUE(MID(UPPER(TRIM(D134)),6,1)),10))+(INT(2*VALUE(MID(UPPER(TRIM(D134)),8,1))/10)+MOD(2*VALUE(MID(UPPER(TRIM(D134)),8,1)),10)),10),10)+1,1)),"OK","REVISAR")),"REVISAR")))</f>
        <v/>
      </c>
      <c r="Q134">
        <f>IF(B134="","",IF(COUNTIFS($B$2:$B$501,B134,$D$2:$D$501,D134)&gt;1,"DUPLICADA",""))</f>
        <v/>
      </c>
      <c r="R134">
        <f>IF(A134="","",ROUNDUP(MONTH(A134)/3,0))</f>
        <v/>
      </c>
      <c r="S134" s="3" t="n"/>
    </row>
    <row r="135">
      <c r="A135" s="2" t="n"/>
      <c r="B135" s="3" t="n"/>
      <c r="C135" s="3" t="n"/>
      <c r="D135" s="3" t="n"/>
      <c r="E135" s="4" t="n"/>
      <c r="F135" s="4" t="n"/>
      <c r="G135" s="4" t="n"/>
      <c r="H135" s="4" t="n"/>
      <c r="I135" s="5">
        <f>IF(E135="","",ROUND(E135*0.21,2))</f>
        <v/>
      </c>
      <c r="J135" s="5">
        <f>IF(F135="","",ROUND(F135*0.1,2))</f>
        <v/>
      </c>
      <c r="K135" s="5">
        <f>IF(G135="","",ROUND(G135*0.04,2))</f>
        <v/>
      </c>
      <c r="L135" s="4" t="n"/>
      <c r="M135" s="4" t="n"/>
      <c r="N135" s="5">
        <f>IF(A135="","",SUM(E135:K135)-N(L135))</f>
        <v/>
      </c>
      <c r="O135">
        <f>IF(OR(A135="",M135=""),"",IF(ABS(M135-N135)&lt;=0.02,"OK","REVISAR"))</f>
        <v/>
      </c>
      <c r="P135">
        <f>IF(D135="","",IF(LEN(TRIM(D135))&lt;&gt;9,"REVISAR",IFERROR(IF(OR(ISNUMBER(VALUE(LEFT(UPPER(TRIM(D135)),1))),LEFT(UPPER(TRIM(D135)),1)="X",LEFT(UPPER(TRIM(D135)),1)="Y",LEFT(UPPER(TRIM(D135)),1)="Z"),IF(MID("TRWAGMYFPDXBNJZSQVHLCKE",MOD(VALUE(SUBSTITUTE(SUBSTITUTE(SUBSTITUTE(LEFT(UPPER(TRIM(D135)),8),"X","0"),"Y","1"),"Z","2")),23)+1,1)=RIGHT(UPPER(TRIM(D135)),1),"OK","REVISAR"),IF(OR(RIGHT(UPPER(TRIM(D135)),1)=TEXT(MOD(10-MOD((VALUE(MID(UPPER(TRIM(D135)),3,1))+VALUE(MID(UPPER(TRIM(D135)),5,1))+VALUE(MID(UPPER(TRIM(D135)),7,1)))+(INT(2*VALUE(MID(UPPER(TRIM(D135)),2,1))/10)+MOD(2*VALUE(MID(UPPER(TRIM(D135)),2,1)),10))+(INT(2*VALUE(MID(UPPER(TRIM(D135)),4,1))/10)+MOD(2*VALUE(MID(UPPER(TRIM(D135)),4,1)),10))+(INT(2*VALUE(MID(UPPER(TRIM(D135)),6,1))/10)+MOD(2*VALUE(MID(UPPER(TRIM(D135)),6,1)),10))+(INT(2*VALUE(MID(UPPER(TRIM(D135)),8,1))/10)+MOD(2*VALUE(MID(UPPER(TRIM(D135)),8,1)),10)),10),10),"0"),RIGHT(UPPER(TRIM(D135)),1)=MID("JABCDEFGHI",MOD(10-MOD((VALUE(MID(UPPER(TRIM(D135)),3,1))+VALUE(MID(UPPER(TRIM(D135)),5,1))+VALUE(MID(UPPER(TRIM(D135)),7,1)))+(INT(2*VALUE(MID(UPPER(TRIM(D135)),2,1))/10)+MOD(2*VALUE(MID(UPPER(TRIM(D135)),2,1)),10))+(INT(2*VALUE(MID(UPPER(TRIM(D135)),4,1))/10)+MOD(2*VALUE(MID(UPPER(TRIM(D135)),4,1)),10))+(INT(2*VALUE(MID(UPPER(TRIM(D135)),6,1))/10)+MOD(2*VALUE(MID(UPPER(TRIM(D135)),6,1)),10))+(INT(2*VALUE(MID(UPPER(TRIM(D135)),8,1))/10)+MOD(2*VALUE(MID(UPPER(TRIM(D135)),8,1)),10)),10),10)+1,1)),"OK","REVISAR")),"REVISAR")))</f>
        <v/>
      </c>
      <c r="Q135">
        <f>IF(B135="","",IF(COUNTIFS($B$2:$B$501,B135,$D$2:$D$501,D135)&gt;1,"DUPLICADA",""))</f>
        <v/>
      </c>
      <c r="R135">
        <f>IF(A135="","",ROUNDUP(MONTH(A135)/3,0))</f>
        <v/>
      </c>
      <c r="S135" s="3" t="n"/>
    </row>
    <row r="136">
      <c r="A136" s="2" t="n"/>
      <c r="B136" s="3" t="n"/>
      <c r="C136" s="3" t="n"/>
      <c r="D136" s="3" t="n"/>
      <c r="E136" s="4" t="n"/>
      <c r="F136" s="4" t="n"/>
      <c r="G136" s="4" t="n"/>
      <c r="H136" s="4" t="n"/>
      <c r="I136" s="5">
        <f>IF(E136="","",ROUND(E136*0.21,2))</f>
        <v/>
      </c>
      <c r="J136" s="5">
        <f>IF(F136="","",ROUND(F136*0.1,2))</f>
        <v/>
      </c>
      <c r="K136" s="5">
        <f>IF(G136="","",ROUND(G136*0.04,2))</f>
        <v/>
      </c>
      <c r="L136" s="4" t="n"/>
      <c r="M136" s="4" t="n"/>
      <c r="N136" s="5">
        <f>IF(A136="","",SUM(E136:K136)-N(L136))</f>
        <v/>
      </c>
      <c r="O136">
        <f>IF(OR(A136="",M136=""),"",IF(ABS(M136-N136)&lt;=0.02,"OK","REVISAR"))</f>
        <v/>
      </c>
      <c r="P136">
        <f>IF(D136="","",IF(LEN(TRIM(D136))&lt;&gt;9,"REVISAR",IFERROR(IF(OR(ISNUMBER(VALUE(LEFT(UPPER(TRIM(D136)),1))),LEFT(UPPER(TRIM(D136)),1)="X",LEFT(UPPER(TRIM(D136)),1)="Y",LEFT(UPPER(TRIM(D136)),1)="Z"),IF(MID("TRWAGMYFPDXBNJZSQVHLCKE",MOD(VALUE(SUBSTITUTE(SUBSTITUTE(SUBSTITUTE(LEFT(UPPER(TRIM(D136)),8),"X","0"),"Y","1"),"Z","2")),23)+1,1)=RIGHT(UPPER(TRIM(D136)),1),"OK","REVISAR"),IF(OR(RIGHT(UPPER(TRIM(D136)),1)=TEXT(MOD(10-MOD((VALUE(MID(UPPER(TRIM(D136)),3,1))+VALUE(MID(UPPER(TRIM(D136)),5,1))+VALUE(MID(UPPER(TRIM(D136)),7,1)))+(INT(2*VALUE(MID(UPPER(TRIM(D136)),2,1))/10)+MOD(2*VALUE(MID(UPPER(TRIM(D136)),2,1)),10))+(INT(2*VALUE(MID(UPPER(TRIM(D136)),4,1))/10)+MOD(2*VALUE(MID(UPPER(TRIM(D136)),4,1)),10))+(INT(2*VALUE(MID(UPPER(TRIM(D136)),6,1))/10)+MOD(2*VALUE(MID(UPPER(TRIM(D136)),6,1)),10))+(INT(2*VALUE(MID(UPPER(TRIM(D136)),8,1))/10)+MOD(2*VALUE(MID(UPPER(TRIM(D136)),8,1)),10)),10),10),"0"),RIGHT(UPPER(TRIM(D136)),1)=MID("JABCDEFGHI",MOD(10-MOD((VALUE(MID(UPPER(TRIM(D136)),3,1))+VALUE(MID(UPPER(TRIM(D136)),5,1))+VALUE(MID(UPPER(TRIM(D136)),7,1)))+(INT(2*VALUE(MID(UPPER(TRIM(D136)),2,1))/10)+MOD(2*VALUE(MID(UPPER(TRIM(D136)),2,1)),10))+(INT(2*VALUE(MID(UPPER(TRIM(D136)),4,1))/10)+MOD(2*VALUE(MID(UPPER(TRIM(D136)),4,1)),10))+(INT(2*VALUE(MID(UPPER(TRIM(D136)),6,1))/10)+MOD(2*VALUE(MID(UPPER(TRIM(D136)),6,1)),10))+(INT(2*VALUE(MID(UPPER(TRIM(D136)),8,1))/10)+MOD(2*VALUE(MID(UPPER(TRIM(D136)),8,1)),10)),10),10)+1,1)),"OK","REVISAR")),"REVISAR")))</f>
        <v/>
      </c>
      <c r="Q136">
        <f>IF(B136="","",IF(COUNTIFS($B$2:$B$501,B136,$D$2:$D$501,D136)&gt;1,"DUPLICADA",""))</f>
        <v/>
      </c>
      <c r="R136">
        <f>IF(A136="","",ROUNDUP(MONTH(A136)/3,0))</f>
        <v/>
      </c>
      <c r="S136" s="3" t="n"/>
    </row>
    <row r="137">
      <c r="A137" s="2" t="n"/>
      <c r="B137" s="3" t="n"/>
      <c r="C137" s="3" t="n"/>
      <c r="D137" s="3" t="n"/>
      <c r="E137" s="4" t="n"/>
      <c r="F137" s="4" t="n"/>
      <c r="G137" s="4" t="n"/>
      <c r="H137" s="4" t="n"/>
      <c r="I137" s="5">
        <f>IF(E137="","",ROUND(E137*0.21,2))</f>
        <v/>
      </c>
      <c r="J137" s="5">
        <f>IF(F137="","",ROUND(F137*0.1,2))</f>
        <v/>
      </c>
      <c r="K137" s="5">
        <f>IF(G137="","",ROUND(G137*0.04,2))</f>
        <v/>
      </c>
      <c r="L137" s="4" t="n"/>
      <c r="M137" s="4" t="n"/>
      <c r="N137" s="5">
        <f>IF(A137="","",SUM(E137:K137)-N(L137))</f>
        <v/>
      </c>
      <c r="O137">
        <f>IF(OR(A137="",M137=""),"",IF(ABS(M137-N137)&lt;=0.02,"OK","REVISAR"))</f>
        <v/>
      </c>
      <c r="P137">
        <f>IF(D137="","",IF(LEN(TRIM(D137))&lt;&gt;9,"REVISAR",IFERROR(IF(OR(ISNUMBER(VALUE(LEFT(UPPER(TRIM(D137)),1))),LEFT(UPPER(TRIM(D137)),1)="X",LEFT(UPPER(TRIM(D137)),1)="Y",LEFT(UPPER(TRIM(D137)),1)="Z"),IF(MID("TRWAGMYFPDXBNJZSQVHLCKE",MOD(VALUE(SUBSTITUTE(SUBSTITUTE(SUBSTITUTE(LEFT(UPPER(TRIM(D137)),8),"X","0"),"Y","1"),"Z","2")),23)+1,1)=RIGHT(UPPER(TRIM(D137)),1),"OK","REVISAR"),IF(OR(RIGHT(UPPER(TRIM(D137)),1)=TEXT(MOD(10-MOD((VALUE(MID(UPPER(TRIM(D137)),3,1))+VALUE(MID(UPPER(TRIM(D137)),5,1))+VALUE(MID(UPPER(TRIM(D137)),7,1)))+(INT(2*VALUE(MID(UPPER(TRIM(D137)),2,1))/10)+MOD(2*VALUE(MID(UPPER(TRIM(D137)),2,1)),10))+(INT(2*VALUE(MID(UPPER(TRIM(D137)),4,1))/10)+MOD(2*VALUE(MID(UPPER(TRIM(D137)),4,1)),10))+(INT(2*VALUE(MID(UPPER(TRIM(D137)),6,1))/10)+MOD(2*VALUE(MID(UPPER(TRIM(D137)),6,1)),10))+(INT(2*VALUE(MID(UPPER(TRIM(D137)),8,1))/10)+MOD(2*VALUE(MID(UPPER(TRIM(D137)),8,1)),10)),10),10),"0"),RIGHT(UPPER(TRIM(D137)),1)=MID("JABCDEFGHI",MOD(10-MOD((VALUE(MID(UPPER(TRIM(D137)),3,1))+VALUE(MID(UPPER(TRIM(D137)),5,1))+VALUE(MID(UPPER(TRIM(D137)),7,1)))+(INT(2*VALUE(MID(UPPER(TRIM(D137)),2,1))/10)+MOD(2*VALUE(MID(UPPER(TRIM(D137)),2,1)),10))+(INT(2*VALUE(MID(UPPER(TRIM(D137)),4,1))/10)+MOD(2*VALUE(MID(UPPER(TRIM(D137)),4,1)),10))+(INT(2*VALUE(MID(UPPER(TRIM(D137)),6,1))/10)+MOD(2*VALUE(MID(UPPER(TRIM(D137)),6,1)),10))+(INT(2*VALUE(MID(UPPER(TRIM(D137)),8,1))/10)+MOD(2*VALUE(MID(UPPER(TRIM(D137)),8,1)),10)),10),10)+1,1)),"OK","REVISAR")),"REVISAR")))</f>
        <v/>
      </c>
      <c r="Q137">
        <f>IF(B137="","",IF(COUNTIFS($B$2:$B$501,B137,$D$2:$D$501,D137)&gt;1,"DUPLICADA",""))</f>
        <v/>
      </c>
      <c r="R137">
        <f>IF(A137="","",ROUNDUP(MONTH(A137)/3,0))</f>
        <v/>
      </c>
      <c r="S137" s="3" t="n"/>
    </row>
    <row r="138">
      <c r="A138" s="2" t="n"/>
      <c r="B138" s="3" t="n"/>
      <c r="C138" s="3" t="n"/>
      <c r="D138" s="3" t="n"/>
      <c r="E138" s="4" t="n"/>
      <c r="F138" s="4" t="n"/>
      <c r="G138" s="4" t="n"/>
      <c r="H138" s="4" t="n"/>
      <c r="I138" s="5">
        <f>IF(E138="","",ROUND(E138*0.21,2))</f>
        <v/>
      </c>
      <c r="J138" s="5">
        <f>IF(F138="","",ROUND(F138*0.1,2))</f>
        <v/>
      </c>
      <c r="K138" s="5">
        <f>IF(G138="","",ROUND(G138*0.04,2))</f>
        <v/>
      </c>
      <c r="L138" s="4" t="n"/>
      <c r="M138" s="4" t="n"/>
      <c r="N138" s="5">
        <f>IF(A138="","",SUM(E138:K138)-N(L138))</f>
        <v/>
      </c>
      <c r="O138">
        <f>IF(OR(A138="",M138=""),"",IF(ABS(M138-N138)&lt;=0.02,"OK","REVISAR"))</f>
        <v/>
      </c>
      <c r="P138">
        <f>IF(D138="","",IF(LEN(TRIM(D138))&lt;&gt;9,"REVISAR",IFERROR(IF(OR(ISNUMBER(VALUE(LEFT(UPPER(TRIM(D138)),1))),LEFT(UPPER(TRIM(D138)),1)="X",LEFT(UPPER(TRIM(D138)),1)="Y",LEFT(UPPER(TRIM(D138)),1)="Z"),IF(MID("TRWAGMYFPDXBNJZSQVHLCKE",MOD(VALUE(SUBSTITUTE(SUBSTITUTE(SUBSTITUTE(LEFT(UPPER(TRIM(D138)),8),"X","0"),"Y","1"),"Z","2")),23)+1,1)=RIGHT(UPPER(TRIM(D138)),1),"OK","REVISAR"),IF(OR(RIGHT(UPPER(TRIM(D138)),1)=TEXT(MOD(10-MOD((VALUE(MID(UPPER(TRIM(D138)),3,1))+VALUE(MID(UPPER(TRIM(D138)),5,1))+VALUE(MID(UPPER(TRIM(D138)),7,1)))+(INT(2*VALUE(MID(UPPER(TRIM(D138)),2,1))/10)+MOD(2*VALUE(MID(UPPER(TRIM(D138)),2,1)),10))+(INT(2*VALUE(MID(UPPER(TRIM(D138)),4,1))/10)+MOD(2*VALUE(MID(UPPER(TRIM(D138)),4,1)),10))+(INT(2*VALUE(MID(UPPER(TRIM(D138)),6,1))/10)+MOD(2*VALUE(MID(UPPER(TRIM(D138)),6,1)),10))+(INT(2*VALUE(MID(UPPER(TRIM(D138)),8,1))/10)+MOD(2*VALUE(MID(UPPER(TRIM(D138)),8,1)),10)),10),10),"0"),RIGHT(UPPER(TRIM(D138)),1)=MID("JABCDEFGHI",MOD(10-MOD((VALUE(MID(UPPER(TRIM(D138)),3,1))+VALUE(MID(UPPER(TRIM(D138)),5,1))+VALUE(MID(UPPER(TRIM(D138)),7,1)))+(INT(2*VALUE(MID(UPPER(TRIM(D138)),2,1))/10)+MOD(2*VALUE(MID(UPPER(TRIM(D138)),2,1)),10))+(INT(2*VALUE(MID(UPPER(TRIM(D138)),4,1))/10)+MOD(2*VALUE(MID(UPPER(TRIM(D138)),4,1)),10))+(INT(2*VALUE(MID(UPPER(TRIM(D138)),6,1))/10)+MOD(2*VALUE(MID(UPPER(TRIM(D138)),6,1)),10))+(INT(2*VALUE(MID(UPPER(TRIM(D138)),8,1))/10)+MOD(2*VALUE(MID(UPPER(TRIM(D138)),8,1)),10)),10),10)+1,1)),"OK","REVISAR")),"REVISAR")))</f>
        <v/>
      </c>
      <c r="Q138">
        <f>IF(B138="","",IF(COUNTIFS($B$2:$B$501,B138,$D$2:$D$501,D138)&gt;1,"DUPLICADA",""))</f>
        <v/>
      </c>
      <c r="R138">
        <f>IF(A138="","",ROUNDUP(MONTH(A138)/3,0))</f>
        <v/>
      </c>
      <c r="S138" s="3" t="n"/>
    </row>
    <row r="139">
      <c r="A139" s="2" t="n"/>
      <c r="B139" s="3" t="n"/>
      <c r="C139" s="3" t="n"/>
      <c r="D139" s="3" t="n"/>
      <c r="E139" s="4" t="n"/>
      <c r="F139" s="4" t="n"/>
      <c r="G139" s="4" t="n"/>
      <c r="H139" s="4" t="n"/>
      <c r="I139" s="5">
        <f>IF(E139="","",ROUND(E139*0.21,2))</f>
        <v/>
      </c>
      <c r="J139" s="5">
        <f>IF(F139="","",ROUND(F139*0.1,2))</f>
        <v/>
      </c>
      <c r="K139" s="5">
        <f>IF(G139="","",ROUND(G139*0.04,2))</f>
        <v/>
      </c>
      <c r="L139" s="4" t="n"/>
      <c r="M139" s="4" t="n"/>
      <c r="N139" s="5">
        <f>IF(A139="","",SUM(E139:K139)-N(L139))</f>
        <v/>
      </c>
      <c r="O139">
        <f>IF(OR(A139="",M139=""),"",IF(ABS(M139-N139)&lt;=0.02,"OK","REVISAR"))</f>
        <v/>
      </c>
      <c r="P139">
        <f>IF(D139="","",IF(LEN(TRIM(D139))&lt;&gt;9,"REVISAR",IFERROR(IF(OR(ISNUMBER(VALUE(LEFT(UPPER(TRIM(D139)),1))),LEFT(UPPER(TRIM(D139)),1)="X",LEFT(UPPER(TRIM(D139)),1)="Y",LEFT(UPPER(TRIM(D139)),1)="Z"),IF(MID("TRWAGMYFPDXBNJZSQVHLCKE",MOD(VALUE(SUBSTITUTE(SUBSTITUTE(SUBSTITUTE(LEFT(UPPER(TRIM(D139)),8),"X","0"),"Y","1"),"Z","2")),23)+1,1)=RIGHT(UPPER(TRIM(D139)),1),"OK","REVISAR"),IF(OR(RIGHT(UPPER(TRIM(D139)),1)=TEXT(MOD(10-MOD((VALUE(MID(UPPER(TRIM(D139)),3,1))+VALUE(MID(UPPER(TRIM(D139)),5,1))+VALUE(MID(UPPER(TRIM(D139)),7,1)))+(INT(2*VALUE(MID(UPPER(TRIM(D139)),2,1))/10)+MOD(2*VALUE(MID(UPPER(TRIM(D139)),2,1)),10))+(INT(2*VALUE(MID(UPPER(TRIM(D139)),4,1))/10)+MOD(2*VALUE(MID(UPPER(TRIM(D139)),4,1)),10))+(INT(2*VALUE(MID(UPPER(TRIM(D139)),6,1))/10)+MOD(2*VALUE(MID(UPPER(TRIM(D139)),6,1)),10))+(INT(2*VALUE(MID(UPPER(TRIM(D139)),8,1))/10)+MOD(2*VALUE(MID(UPPER(TRIM(D139)),8,1)),10)),10),10),"0"),RIGHT(UPPER(TRIM(D139)),1)=MID("JABCDEFGHI",MOD(10-MOD((VALUE(MID(UPPER(TRIM(D139)),3,1))+VALUE(MID(UPPER(TRIM(D139)),5,1))+VALUE(MID(UPPER(TRIM(D139)),7,1)))+(INT(2*VALUE(MID(UPPER(TRIM(D139)),2,1))/10)+MOD(2*VALUE(MID(UPPER(TRIM(D139)),2,1)),10))+(INT(2*VALUE(MID(UPPER(TRIM(D139)),4,1))/10)+MOD(2*VALUE(MID(UPPER(TRIM(D139)),4,1)),10))+(INT(2*VALUE(MID(UPPER(TRIM(D139)),6,1))/10)+MOD(2*VALUE(MID(UPPER(TRIM(D139)),6,1)),10))+(INT(2*VALUE(MID(UPPER(TRIM(D139)),8,1))/10)+MOD(2*VALUE(MID(UPPER(TRIM(D139)),8,1)),10)),10),10)+1,1)),"OK","REVISAR")),"REVISAR")))</f>
        <v/>
      </c>
      <c r="Q139">
        <f>IF(B139="","",IF(COUNTIFS($B$2:$B$501,B139,$D$2:$D$501,D139)&gt;1,"DUPLICADA",""))</f>
        <v/>
      </c>
      <c r="R139">
        <f>IF(A139="","",ROUNDUP(MONTH(A139)/3,0))</f>
        <v/>
      </c>
      <c r="S139" s="3" t="n"/>
    </row>
    <row r="140">
      <c r="A140" s="2" t="n"/>
      <c r="B140" s="3" t="n"/>
      <c r="C140" s="3" t="n"/>
      <c r="D140" s="3" t="n"/>
      <c r="E140" s="4" t="n"/>
      <c r="F140" s="4" t="n"/>
      <c r="G140" s="4" t="n"/>
      <c r="H140" s="4" t="n"/>
      <c r="I140" s="5">
        <f>IF(E140="","",ROUND(E140*0.21,2))</f>
        <v/>
      </c>
      <c r="J140" s="5">
        <f>IF(F140="","",ROUND(F140*0.1,2))</f>
        <v/>
      </c>
      <c r="K140" s="5">
        <f>IF(G140="","",ROUND(G140*0.04,2))</f>
        <v/>
      </c>
      <c r="L140" s="4" t="n"/>
      <c r="M140" s="4" t="n"/>
      <c r="N140" s="5">
        <f>IF(A140="","",SUM(E140:K140)-N(L140))</f>
        <v/>
      </c>
      <c r="O140">
        <f>IF(OR(A140="",M140=""),"",IF(ABS(M140-N140)&lt;=0.02,"OK","REVISAR"))</f>
        <v/>
      </c>
      <c r="P140">
        <f>IF(D140="","",IF(LEN(TRIM(D140))&lt;&gt;9,"REVISAR",IFERROR(IF(OR(ISNUMBER(VALUE(LEFT(UPPER(TRIM(D140)),1))),LEFT(UPPER(TRIM(D140)),1)="X",LEFT(UPPER(TRIM(D140)),1)="Y",LEFT(UPPER(TRIM(D140)),1)="Z"),IF(MID("TRWAGMYFPDXBNJZSQVHLCKE",MOD(VALUE(SUBSTITUTE(SUBSTITUTE(SUBSTITUTE(LEFT(UPPER(TRIM(D140)),8),"X","0"),"Y","1"),"Z","2")),23)+1,1)=RIGHT(UPPER(TRIM(D140)),1),"OK","REVISAR"),IF(OR(RIGHT(UPPER(TRIM(D140)),1)=TEXT(MOD(10-MOD((VALUE(MID(UPPER(TRIM(D140)),3,1))+VALUE(MID(UPPER(TRIM(D140)),5,1))+VALUE(MID(UPPER(TRIM(D140)),7,1)))+(INT(2*VALUE(MID(UPPER(TRIM(D140)),2,1))/10)+MOD(2*VALUE(MID(UPPER(TRIM(D140)),2,1)),10))+(INT(2*VALUE(MID(UPPER(TRIM(D140)),4,1))/10)+MOD(2*VALUE(MID(UPPER(TRIM(D140)),4,1)),10))+(INT(2*VALUE(MID(UPPER(TRIM(D140)),6,1))/10)+MOD(2*VALUE(MID(UPPER(TRIM(D140)),6,1)),10))+(INT(2*VALUE(MID(UPPER(TRIM(D140)),8,1))/10)+MOD(2*VALUE(MID(UPPER(TRIM(D140)),8,1)),10)),10),10),"0"),RIGHT(UPPER(TRIM(D140)),1)=MID("JABCDEFGHI",MOD(10-MOD((VALUE(MID(UPPER(TRIM(D140)),3,1))+VALUE(MID(UPPER(TRIM(D140)),5,1))+VALUE(MID(UPPER(TRIM(D140)),7,1)))+(INT(2*VALUE(MID(UPPER(TRIM(D140)),2,1))/10)+MOD(2*VALUE(MID(UPPER(TRIM(D140)),2,1)),10))+(INT(2*VALUE(MID(UPPER(TRIM(D140)),4,1))/10)+MOD(2*VALUE(MID(UPPER(TRIM(D140)),4,1)),10))+(INT(2*VALUE(MID(UPPER(TRIM(D140)),6,1))/10)+MOD(2*VALUE(MID(UPPER(TRIM(D140)),6,1)),10))+(INT(2*VALUE(MID(UPPER(TRIM(D140)),8,1))/10)+MOD(2*VALUE(MID(UPPER(TRIM(D140)),8,1)),10)),10),10)+1,1)),"OK","REVISAR")),"REVISAR")))</f>
        <v/>
      </c>
      <c r="Q140">
        <f>IF(B140="","",IF(COUNTIFS($B$2:$B$501,B140,$D$2:$D$501,D140)&gt;1,"DUPLICADA",""))</f>
        <v/>
      </c>
      <c r="R140">
        <f>IF(A140="","",ROUNDUP(MONTH(A140)/3,0))</f>
        <v/>
      </c>
      <c r="S140" s="3" t="n"/>
    </row>
    <row r="141">
      <c r="A141" s="2" t="n"/>
      <c r="B141" s="3" t="n"/>
      <c r="C141" s="3" t="n"/>
      <c r="D141" s="3" t="n"/>
      <c r="E141" s="4" t="n"/>
      <c r="F141" s="4" t="n"/>
      <c r="G141" s="4" t="n"/>
      <c r="H141" s="4" t="n"/>
      <c r="I141" s="5">
        <f>IF(E141="","",ROUND(E141*0.21,2))</f>
        <v/>
      </c>
      <c r="J141" s="5">
        <f>IF(F141="","",ROUND(F141*0.1,2))</f>
        <v/>
      </c>
      <c r="K141" s="5">
        <f>IF(G141="","",ROUND(G141*0.04,2))</f>
        <v/>
      </c>
      <c r="L141" s="4" t="n"/>
      <c r="M141" s="4" t="n"/>
      <c r="N141" s="5">
        <f>IF(A141="","",SUM(E141:K141)-N(L141))</f>
        <v/>
      </c>
      <c r="O141">
        <f>IF(OR(A141="",M141=""),"",IF(ABS(M141-N141)&lt;=0.02,"OK","REVISAR"))</f>
        <v/>
      </c>
      <c r="P141">
        <f>IF(D141="","",IF(LEN(TRIM(D141))&lt;&gt;9,"REVISAR",IFERROR(IF(OR(ISNUMBER(VALUE(LEFT(UPPER(TRIM(D141)),1))),LEFT(UPPER(TRIM(D141)),1)="X",LEFT(UPPER(TRIM(D141)),1)="Y",LEFT(UPPER(TRIM(D141)),1)="Z"),IF(MID("TRWAGMYFPDXBNJZSQVHLCKE",MOD(VALUE(SUBSTITUTE(SUBSTITUTE(SUBSTITUTE(LEFT(UPPER(TRIM(D141)),8),"X","0"),"Y","1"),"Z","2")),23)+1,1)=RIGHT(UPPER(TRIM(D141)),1),"OK","REVISAR"),IF(OR(RIGHT(UPPER(TRIM(D141)),1)=TEXT(MOD(10-MOD((VALUE(MID(UPPER(TRIM(D141)),3,1))+VALUE(MID(UPPER(TRIM(D141)),5,1))+VALUE(MID(UPPER(TRIM(D141)),7,1)))+(INT(2*VALUE(MID(UPPER(TRIM(D141)),2,1))/10)+MOD(2*VALUE(MID(UPPER(TRIM(D141)),2,1)),10))+(INT(2*VALUE(MID(UPPER(TRIM(D141)),4,1))/10)+MOD(2*VALUE(MID(UPPER(TRIM(D141)),4,1)),10))+(INT(2*VALUE(MID(UPPER(TRIM(D141)),6,1))/10)+MOD(2*VALUE(MID(UPPER(TRIM(D141)),6,1)),10))+(INT(2*VALUE(MID(UPPER(TRIM(D141)),8,1))/10)+MOD(2*VALUE(MID(UPPER(TRIM(D141)),8,1)),10)),10),10),"0"),RIGHT(UPPER(TRIM(D141)),1)=MID("JABCDEFGHI",MOD(10-MOD((VALUE(MID(UPPER(TRIM(D141)),3,1))+VALUE(MID(UPPER(TRIM(D141)),5,1))+VALUE(MID(UPPER(TRIM(D141)),7,1)))+(INT(2*VALUE(MID(UPPER(TRIM(D141)),2,1))/10)+MOD(2*VALUE(MID(UPPER(TRIM(D141)),2,1)),10))+(INT(2*VALUE(MID(UPPER(TRIM(D141)),4,1))/10)+MOD(2*VALUE(MID(UPPER(TRIM(D141)),4,1)),10))+(INT(2*VALUE(MID(UPPER(TRIM(D141)),6,1))/10)+MOD(2*VALUE(MID(UPPER(TRIM(D141)),6,1)),10))+(INT(2*VALUE(MID(UPPER(TRIM(D141)),8,1))/10)+MOD(2*VALUE(MID(UPPER(TRIM(D141)),8,1)),10)),10),10)+1,1)),"OK","REVISAR")),"REVISAR")))</f>
        <v/>
      </c>
      <c r="Q141">
        <f>IF(B141="","",IF(COUNTIFS($B$2:$B$501,B141,$D$2:$D$501,D141)&gt;1,"DUPLICADA",""))</f>
        <v/>
      </c>
      <c r="R141">
        <f>IF(A141="","",ROUNDUP(MONTH(A141)/3,0))</f>
        <v/>
      </c>
      <c r="S141" s="3" t="n"/>
    </row>
    <row r="142">
      <c r="A142" s="2" t="n"/>
      <c r="B142" s="3" t="n"/>
      <c r="C142" s="3" t="n"/>
      <c r="D142" s="3" t="n"/>
      <c r="E142" s="4" t="n"/>
      <c r="F142" s="4" t="n"/>
      <c r="G142" s="4" t="n"/>
      <c r="H142" s="4" t="n"/>
      <c r="I142" s="5">
        <f>IF(E142="","",ROUND(E142*0.21,2))</f>
        <v/>
      </c>
      <c r="J142" s="5">
        <f>IF(F142="","",ROUND(F142*0.1,2))</f>
        <v/>
      </c>
      <c r="K142" s="5">
        <f>IF(G142="","",ROUND(G142*0.04,2))</f>
        <v/>
      </c>
      <c r="L142" s="4" t="n"/>
      <c r="M142" s="4" t="n"/>
      <c r="N142" s="5">
        <f>IF(A142="","",SUM(E142:K142)-N(L142))</f>
        <v/>
      </c>
      <c r="O142">
        <f>IF(OR(A142="",M142=""),"",IF(ABS(M142-N142)&lt;=0.02,"OK","REVISAR"))</f>
        <v/>
      </c>
      <c r="P142">
        <f>IF(D142="","",IF(LEN(TRIM(D142))&lt;&gt;9,"REVISAR",IFERROR(IF(OR(ISNUMBER(VALUE(LEFT(UPPER(TRIM(D142)),1))),LEFT(UPPER(TRIM(D142)),1)="X",LEFT(UPPER(TRIM(D142)),1)="Y",LEFT(UPPER(TRIM(D142)),1)="Z"),IF(MID("TRWAGMYFPDXBNJZSQVHLCKE",MOD(VALUE(SUBSTITUTE(SUBSTITUTE(SUBSTITUTE(LEFT(UPPER(TRIM(D142)),8),"X","0"),"Y","1"),"Z","2")),23)+1,1)=RIGHT(UPPER(TRIM(D142)),1),"OK","REVISAR"),IF(OR(RIGHT(UPPER(TRIM(D142)),1)=TEXT(MOD(10-MOD((VALUE(MID(UPPER(TRIM(D142)),3,1))+VALUE(MID(UPPER(TRIM(D142)),5,1))+VALUE(MID(UPPER(TRIM(D142)),7,1)))+(INT(2*VALUE(MID(UPPER(TRIM(D142)),2,1))/10)+MOD(2*VALUE(MID(UPPER(TRIM(D142)),2,1)),10))+(INT(2*VALUE(MID(UPPER(TRIM(D142)),4,1))/10)+MOD(2*VALUE(MID(UPPER(TRIM(D142)),4,1)),10))+(INT(2*VALUE(MID(UPPER(TRIM(D142)),6,1))/10)+MOD(2*VALUE(MID(UPPER(TRIM(D142)),6,1)),10))+(INT(2*VALUE(MID(UPPER(TRIM(D142)),8,1))/10)+MOD(2*VALUE(MID(UPPER(TRIM(D142)),8,1)),10)),10),10),"0"),RIGHT(UPPER(TRIM(D142)),1)=MID("JABCDEFGHI",MOD(10-MOD((VALUE(MID(UPPER(TRIM(D142)),3,1))+VALUE(MID(UPPER(TRIM(D142)),5,1))+VALUE(MID(UPPER(TRIM(D142)),7,1)))+(INT(2*VALUE(MID(UPPER(TRIM(D142)),2,1))/10)+MOD(2*VALUE(MID(UPPER(TRIM(D142)),2,1)),10))+(INT(2*VALUE(MID(UPPER(TRIM(D142)),4,1))/10)+MOD(2*VALUE(MID(UPPER(TRIM(D142)),4,1)),10))+(INT(2*VALUE(MID(UPPER(TRIM(D142)),6,1))/10)+MOD(2*VALUE(MID(UPPER(TRIM(D142)),6,1)),10))+(INT(2*VALUE(MID(UPPER(TRIM(D142)),8,1))/10)+MOD(2*VALUE(MID(UPPER(TRIM(D142)),8,1)),10)),10),10)+1,1)),"OK","REVISAR")),"REVISAR")))</f>
        <v/>
      </c>
      <c r="Q142">
        <f>IF(B142="","",IF(COUNTIFS($B$2:$B$501,B142,$D$2:$D$501,D142)&gt;1,"DUPLICADA",""))</f>
        <v/>
      </c>
      <c r="R142">
        <f>IF(A142="","",ROUNDUP(MONTH(A142)/3,0))</f>
        <v/>
      </c>
      <c r="S142" s="3" t="n"/>
    </row>
    <row r="143">
      <c r="A143" s="2" t="n"/>
      <c r="B143" s="3" t="n"/>
      <c r="C143" s="3" t="n"/>
      <c r="D143" s="3" t="n"/>
      <c r="E143" s="4" t="n"/>
      <c r="F143" s="4" t="n"/>
      <c r="G143" s="4" t="n"/>
      <c r="H143" s="4" t="n"/>
      <c r="I143" s="5">
        <f>IF(E143="","",ROUND(E143*0.21,2))</f>
        <v/>
      </c>
      <c r="J143" s="5">
        <f>IF(F143="","",ROUND(F143*0.1,2))</f>
        <v/>
      </c>
      <c r="K143" s="5">
        <f>IF(G143="","",ROUND(G143*0.04,2))</f>
        <v/>
      </c>
      <c r="L143" s="4" t="n"/>
      <c r="M143" s="4" t="n"/>
      <c r="N143" s="5">
        <f>IF(A143="","",SUM(E143:K143)-N(L143))</f>
        <v/>
      </c>
      <c r="O143">
        <f>IF(OR(A143="",M143=""),"",IF(ABS(M143-N143)&lt;=0.02,"OK","REVISAR"))</f>
        <v/>
      </c>
      <c r="P143">
        <f>IF(D143="","",IF(LEN(TRIM(D143))&lt;&gt;9,"REVISAR",IFERROR(IF(OR(ISNUMBER(VALUE(LEFT(UPPER(TRIM(D143)),1))),LEFT(UPPER(TRIM(D143)),1)="X",LEFT(UPPER(TRIM(D143)),1)="Y",LEFT(UPPER(TRIM(D143)),1)="Z"),IF(MID("TRWAGMYFPDXBNJZSQVHLCKE",MOD(VALUE(SUBSTITUTE(SUBSTITUTE(SUBSTITUTE(LEFT(UPPER(TRIM(D143)),8),"X","0"),"Y","1"),"Z","2")),23)+1,1)=RIGHT(UPPER(TRIM(D143)),1),"OK","REVISAR"),IF(OR(RIGHT(UPPER(TRIM(D143)),1)=TEXT(MOD(10-MOD((VALUE(MID(UPPER(TRIM(D143)),3,1))+VALUE(MID(UPPER(TRIM(D143)),5,1))+VALUE(MID(UPPER(TRIM(D143)),7,1)))+(INT(2*VALUE(MID(UPPER(TRIM(D143)),2,1))/10)+MOD(2*VALUE(MID(UPPER(TRIM(D143)),2,1)),10))+(INT(2*VALUE(MID(UPPER(TRIM(D143)),4,1))/10)+MOD(2*VALUE(MID(UPPER(TRIM(D143)),4,1)),10))+(INT(2*VALUE(MID(UPPER(TRIM(D143)),6,1))/10)+MOD(2*VALUE(MID(UPPER(TRIM(D143)),6,1)),10))+(INT(2*VALUE(MID(UPPER(TRIM(D143)),8,1))/10)+MOD(2*VALUE(MID(UPPER(TRIM(D143)),8,1)),10)),10),10),"0"),RIGHT(UPPER(TRIM(D143)),1)=MID("JABCDEFGHI",MOD(10-MOD((VALUE(MID(UPPER(TRIM(D143)),3,1))+VALUE(MID(UPPER(TRIM(D143)),5,1))+VALUE(MID(UPPER(TRIM(D143)),7,1)))+(INT(2*VALUE(MID(UPPER(TRIM(D143)),2,1))/10)+MOD(2*VALUE(MID(UPPER(TRIM(D143)),2,1)),10))+(INT(2*VALUE(MID(UPPER(TRIM(D143)),4,1))/10)+MOD(2*VALUE(MID(UPPER(TRIM(D143)),4,1)),10))+(INT(2*VALUE(MID(UPPER(TRIM(D143)),6,1))/10)+MOD(2*VALUE(MID(UPPER(TRIM(D143)),6,1)),10))+(INT(2*VALUE(MID(UPPER(TRIM(D143)),8,1))/10)+MOD(2*VALUE(MID(UPPER(TRIM(D143)),8,1)),10)),10),10)+1,1)),"OK","REVISAR")),"REVISAR")))</f>
        <v/>
      </c>
      <c r="Q143">
        <f>IF(B143="","",IF(COUNTIFS($B$2:$B$501,B143,$D$2:$D$501,D143)&gt;1,"DUPLICADA",""))</f>
        <v/>
      </c>
      <c r="R143">
        <f>IF(A143="","",ROUNDUP(MONTH(A143)/3,0))</f>
        <v/>
      </c>
      <c r="S143" s="3" t="n"/>
    </row>
    <row r="144">
      <c r="A144" s="2" t="n"/>
      <c r="B144" s="3" t="n"/>
      <c r="C144" s="3" t="n"/>
      <c r="D144" s="3" t="n"/>
      <c r="E144" s="4" t="n"/>
      <c r="F144" s="4" t="n"/>
      <c r="G144" s="4" t="n"/>
      <c r="H144" s="4" t="n"/>
      <c r="I144" s="5">
        <f>IF(E144="","",ROUND(E144*0.21,2))</f>
        <v/>
      </c>
      <c r="J144" s="5">
        <f>IF(F144="","",ROUND(F144*0.1,2))</f>
        <v/>
      </c>
      <c r="K144" s="5">
        <f>IF(G144="","",ROUND(G144*0.04,2))</f>
        <v/>
      </c>
      <c r="L144" s="4" t="n"/>
      <c r="M144" s="4" t="n"/>
      <c r="N144" s="5">
        <f>IF(A144="","",SUM(E144:K144)-N(L144))</f>
        <v/>
      </c>
      <c r="O144">
        <f>IF(OR(A144="",M144=""),"",IF(ABS(M144-N144)&lt;=0.02,"OK","REVISAR"))</f>
        <v/>
      </c>
      <c r="P144">
        <f>IF(D144="","",IF(LEN(TRIM(D144))&lt;&gt;9,"REVISAR",IFERROR(IF(OR(ISNUMBER(VALUE(LEFT(UPPER(TRIM(D144)),1))),LEFT(UPPER(TRIM(D144)),1)="X",LEFT(UPPER(TRIM(D144)),1)="Y",LEFT(UPPER(TRIM(D144)),1)="Z"),IF(MID("TRWAGMYFPDXBNJZSQVHLCKE",MOD(VALUE(SUBSTITUTE(SUBSTITUTE(SUBSTITUTE(LEFT(UPPER(TRIM(D144)),8),"X","0"),"Y","1"),"Z","2")),23)+1,1)=RIGHT(UPPER(TRIM(D144)),1),"OK","REVISAR"),IF(OR(RIGHT(UPPER(TRIM(D144)),1)=TEXT(MOD(10-MOD((VALUE(MID(UPPER(TRIM(D144)),3,1))+VALUE(MID(UPPER(TRIM(D144)),5,1))+VALUE(MID(UPPER(TRIM(D144)),7,1)))+(INT(2*VALUE(MID(UPPER(TRIM(D144)),2,1))/10)+MOD(2*VALUE(MID(UPPER(TRIM(D144)),2,1)),10))+(INT(2*VALUE(MID(UPPER(TRIM(D144)),4,1))/10)+MOD(2*VALUE(MID(UPPER(TRIM(D144)),4,1)),10))+(INT(2*VALUE(MID(UPPER(TRIM(D144)),6,1))/10)+MOD(2*VALUE(MID(UPPER(TRIM(D144)),6,1)),10))+(INT(2*VALUE(MID(UPPER(TRIM(D144)),8,1))/10)+MOD(2*VALUE(MID(UPPER(TRIM(D144)),8,1)),10)),10),10),"0"),RIGHT(UPPER(TRIM(D144)),1)=MID("JABCDEFGHI",MOD(10-MOD((VALUE(MID(UPPER(TRIM(D144)),3,1))+VALUE(MID(UPPER(TRIM(D144)),5,1))+VALUE(MID(UPPER(TRIM(D144)),7,1)))+(INT(2*VALUE(MID(UPPER(TRIM(D144)),2,1))/10)+MOD(2*VALUE(MID(UPPER(TRIM(D144)),2,1)),10))+(INT(2*VALUE(MID(UPPER(TRIM(D144)),4,1))/10)+MOD(2*VALUE(MID(UPPER(TRIM(D144)),4,1)),10))+(INT(2*VALUE(MID(UPPER(TRIM(D144)),6,1))/10)+MOD(2*VALUE(MID(UPPER(TRIM(D144)),6,1)),10))+(INT(2*VALUE(MID(UPPER(TRIM(D144)),8,1))/10)+MOD(2*VALUE(MID(UPPER(TRIM(D144)),8,1)),10)),10),10)+1,1)),"OK","REVISAR")),"REVISAR")))</f>
        <v/>
      </c>
      <c r="Q144">
        <f>IF(B144="","",IF(COUNTIFS($B$2:$B$501,B144,$D$2:$D$501,D144)&gt;1,"DUPLICADA",""))</f>
        <v/>
      </c>
      <c r="R144">
        <f>IF(A144="","",ROUNDUP(MONTH(A144)/3,0))</f>
        <v/>
      </c>
      <c r="S144" s="3" t="n"/>
    </row>
    <row r="145">
      <c r="A145" s="2" t="n"/>
      <c r="B145" s="3" t="n"/>
      <c r="C145" s="3" t="n"/>
      <c r="D145" s="3" t="n"/>
      <c r="E145" s="4" t="n"/>
      <c r="F145" s="4" t="n"/>
      <c r="G145" s="4" t="n"/>
      <c r="H145" s="4" t="n"/>
      <c r="I145" s="5">
        <f>IF(E145="","",ROUND(E145*0.21,2))</f>
        <v/>
      </c>
      <c r="J145" s="5">
        <f>IF(F145="","",ROUND(F145*0.1,2))</f>
        <v/>
      </c>
      <c r="K145" s="5">
        <f>IF(G145="","",ROUND(G145*0.04,2))</f>
        <v/>
      </c>
      <c r="L145" s="4" t="n"/>
      <c r="M145" s="4" t="n"/>
      <c r="N145" s="5">
        <f>IF(A145="","",SUM(E145:K145)-N(L145))</f>
        <v/>
      </c>
      <c r="O145">
        <f>IF(OR(A145="",M145=""),"",IF(ABS(M145-N145)&lt;=0.02,"OK","REVISAR"))</f>
        <v/>
      </c>
      <c r="P145">
        <f>IF(D145="","",IF(LEN(TRIM(D145))&lt;&gt;9,"REVISAR",IFERROR(IF(OR(ISNUMBER(VALUE(LEFT(UPPER(TRIM(D145)),1))),LEFT(UPPER(TRIM(D145)),1)="X",LEFT(UPPER(TRIM(D145)),1)="Y",LEFT(UPPER(TRIM(D145)),1)="Z"),IF(MID("TRWAGMYFPDXBNJZSQVHLCKE",MOD(VALUE(SUBSTITUTE(SUBSTITUTE(SUBSTITUTE(LEFT(UPPER(TRIM(D145)),8),"X","0"),"Y","1"),"Z","2")),23)+1,1)=RIGHT(UPPER(TRIM(D145)),1),"OK","REVISAR"),IF(OR(RIGHT(UPPER(TRIM(D145)),1)=TEXT(MOD(10-MOD((VALUE(MID(UPPER(TRIM(D145)),3,1))+VALUE(MID(UPPER(TRIM(D145)),5,1))+VALUE(MID(UPPER(TRIM(D145)),7,1)))+(INT(2*VALUE(MID(UPPER(TRIM(D145)),2,1))/10)+MOD(2*VALUE(MID(UPPER(TRIM(D145)),2,1)),10))+(INT(2*VALUE(MID(UPPER(TRIM(D145)),4,1))/10)+MOD(2*VALUE(MID(UPPER(TRIM(D145)),4,1)),10))+(INT(2*VALUE(MID(UPPER(TRIM(D145)),6,1))/10)+MOD(2*VALUE(MID(UPPER(TRIM(D145)),6,1)),10))+(INT(2*VALUE(MID(UPPER(TRIM(D145)),8,1))/10)+MOD(2*VALUE(MID(UPPER(TRIM(D145)),8,1)),10)),10),10),"0"),RIGHT(UPPER(TRIM(D145)),1)=MID("JABCDEFGHI",MOD(10-MOD((VALUE(MID(UPPER(TRIM(D145)),3,1))+VALUE(MID(UPPER(TRIM(D145)),5,1))+VALUE(MID(UPPER(TRIM(D145)),7,1)))+(INT(2*VALUE(MID(UPPER(TRIM(D145)),2,1))/10)+MOD(2*VALUE(MID(UPPER(TRIM(D145)),2,1)),10))+(INT(2*VALUE(MID(UPPER(TRIM(D145)),4,1))/10)+MOD(2*VALUE(MID(UPPER(TRIM(D145)),4,1)),10))+(INT(2*VALUE(MID(UPPER(TRIM(D145)),6,1))/10)+MOD(2*VALUE(MID(UPPER(TRIM(D145)),6,1)),10))+(INT(2*VALUE(MID(UPPER(TRIM(D145)),8,1))/10)+MOD(2*VALUE(MID(UPPER(TRIM(D145)),8,1)),10)),10),10)+1,1)),"OK","REVISAR")),"REVISAR")))</f>
        <v/>
      </c>
      <c r="Q145">
        <f>IF(B145="","",IF(COUNTIFS($B$2:$B$501,B145,$D$2:$D$501,D145)&gt;1,"DUPLICADA",""))</f>
        <v/>
      </c>
      <c r="R145">
        <f>IF(A145="","",ROUNDUP(MONTH(A145)/3,0))</f>
        <v/>
      </c>
      <c r="S145" s="3" t="n"/>
    </row>
    <row r="146">
      <c r="A146" s="2" t="n"/>
      <c r="B146" s="3" t="n"/>
      <c r="C146" s="3" t="n"/>
      <c r="D146" s="3" t="n"/>
      <c r="E146" s="4" t="n"/>
      <c r="F146" s="4" t="n"/>
      <c r="G146" s="4" t="n"/>
      <c r="H146" s="4" t="n"/>
      <c r="I146" s="5">
        <f>IF(E146="","",ROUND(E146*0.21,2))</f>
        <v/>
      </c>
      <c r="J146" s="5">
        <f>IF(F146="","",ROUND(F146*0.1,2))</f>
        <v/>
      </c>
      <c r="K146" s="5">
        <f>IF(G146="","",ROUND(G146*0.04,2))</f>
        <v/>
      </c>
      <c r="L146" s="4" t="n"/>
      <c r="M146" s="4" t="n"/>
      <c r="N146" s="5">
        <f>IF(A146="","",SUM(E146:K146)-N(L146))</f>
        <v/>
      </c>
      <c r="O146">
        <f>IF(OR(A146="",M146=""),"",IF(ABS(M146-N146)&lt;=0.02,"OK","REVISAR"))</f>
        <v/>
      </c>
      <c r="P146">
        <f>IF(D146="","",IF(LEN(TRIM(D146))&lt;&gt;9,"REVISAR",IFERROR(IF(OR(ISNUMBER(VALUE(LEFT(UPPER(TRIM(D146)),1))),LEFT(UPPER(TRIM(D146)),1)="X",LEFT(UPPER(TRIM(D146)),1)="Y",LEFT(UPPER(TRIM(D146)),1)="Z"),IF(MID("TRWAGMYFPDXBNJZSQVHLCKE",MOD(VALUE(SUBSTITUTE(SUBSTITUTE(SUBSTITUTE(LEFT(UPPER(TRIM(D146)),8),"X","0"),"Y","1"),"Z","2")),23)+1,1)=RIGHT(UPPER(TRIM(D146)),1),"OK","REVISAR"),IF(OR(RIGHT(UPPER(TRIM(D146)),1)=TEXT(MOD(10-MOD((VALUE(MID(UPPER(TRIM(D146)),3,1))+VALUE(MID(UPPER(TRIM(D146)),5,1))+VALUE(MID(UPPER(TRIM(D146)),7,1)))+(INT(2*VALUE(MID(UPPER(TRIM(D146)),2,1))/10)+MOD(2*VALUE(MID(UPPER(TRIM(D146)),2,1)),10))+(INT(2*VALUE(MID(UPPER(TRIM(D146)),4,1))/10)+MOD(2*VALUE(MID(UPPER(TRIM(D146)),4,1)),10))+(INT(2*VALUE(MID(UPPER(TRIM(D146)),6,1))/10)+MOD(2*VALUE(MID(UPPER(TRIM(D146)),6,1)),10))+(INT(2*VALUE(MID(UPPER(TRIM(D146)),8,1))/10)+MOD(2*VALUE(MID(UPPER(TRIM(D146)),8,1)),10)),10),10),"0"),RIGHT(UPPER(TRIM(D146)),1)=MID("JABCDEFGHI",MOD(10-MOD((VALUE(MID(UPPER(TRIM(D146)),3,1))+VALUE(MID(UPPER(TRIM(D146)),5,1))+VALUE(MID(UPPER(TRIM(D146)),7,1)))+(INT(2*VALUE(MID(UPPER(TRIM(D146)),2,1))/10)+MOD(2*VALUE(MID(UPPER(TRIM(D146)),2,1)),10))+(INT(2*VALUE(MID(UPPER(TRIM(D146)),4,1))/10)+MOD(2*VALUE(MID(UPPER(TRIM(D146)),4,1)),10))+(INT(2*VALUE(MID(UPPER(TRIM(D146)),6,1))/10)+MOD(2*VALUE(MID(UPPER(TRIM(D146)),6,1)),10))+(INT(2*VALUE(MID(UPPER(TRIM(D146)),8,1))/10)+MOD(2*VALUE(MID(UPPER(TRIM(D146)),8,1)),10)),10),10)+1,1)),"OK","REVISAR")),"REVISAR")))</f>
        <v/>
      </c>
      <c r="Q146">
        <f>IF(B146="","",IF(COUNTIFS($B$2:$B$501,B146,$D$2:$D$501,D146)&gt;1,"DUPLICADA",""))</f>
        <v/>
      </c>
      <c r="R146">
        <f>IF(A146="","",ROUNDUP(MONTH(A146)/3,0))</f>
        <v/>
      </c>
      <c r="S146" s="3" t="n"/>
    </row>
    <row r="147">
      <c r="A147" s="2" t="n"/>
      <c r="B147" s="3" t="n"/>
      <c r="C147" s="3" t="n"/>
      <c r="D147" s="3" t="n"/>
      <c r="E147" s="4" t="n"/>
      <c r="F147" s="4" t="n"/>
      <c r="G147" s="4" t="n"/>
      <c r="H147" s="4" t="n"/>
      <c r="I147" s="5">
        <f>IF(E147="","",ROUND(E147*0.21,2))</f>
        <v/>
      </c>
      <c r="J147" s="5">
        <f>IF(F147="","",ROUND(F147*0.1,2))</f>
        <v/>
      </c>
      <c r="K147" s="5">
        <f>IF(G147="","",ROUND(G147*0.04,2))</f>
        <v/>
      </c>
      <c r="L147" s="4" t="n"/>
      <c r="M147" s="4" t="n"/>
      <c r="N147" s="5">
        <f>IF(A147="","",SUM(E147:K147)-N(L147))</f>
        <v/>
      </c>
      <c r="O147">
        <f>IF(OR(A147="",M147=""),"",IF(ABS(M147-N147)&lt;=0.02,"OK","REVISAR"))</f>
        <v/>
      </c>
      <c r="P147">
        <f>IF(D147="","",IF(LEN(TRIM(D147))&lt;&gt;9,"REVISAR",IFERROR(IF(OR(ISNUMBER(VALUE(LEFT(UPPER(TRIM(D147)),1))),LEFT(UPPER(TRIM(D147)),1)="X",LEFT(UPPER(TRIM(D147)),1)="Y",LEFT(UPPER(TRIM(D147)),1)="Z"),IF(MID("TRWAGMYFPDXBNJZSQVHLCKE",MOD(VALUE(SUBSTITUTE(SUBSTITUTE(SUBSTITUTE(LEFT(UPPER(TRIM(D147)),8),"X","0"),"Y","1"),"Z","2")),23)+1,1)=RIGHT(UPPER(TRIM(D147)),1),"OK","REVISAR"),IF(OR(RIGHT(UPPER(TRIM(D147)),1)=TEXT(MOD(10-MOD((VALUE(MID(UPPER(TRIM(D147)),3,1))+VALUE(MID(UPPER(TRIM(D147)),5,1))+VALUE(MID(UPPER(TRIM(D147)),7,1)))+(INT(2*VALUE(MID(UPPER(TRIM(D147)),2,1))/10)+MOD(2*VALUE(MID(UPPER(TRIM(D147)),2,1)),10))+(INT(2*VALUE(MID(UPPER(TRIM(D147)),4,1))/10)+MOD(2*VALUE(MID(UPPER(TRIM(D147)),4,1)),10))+(INT(2*VALUE(MID(UPPER(TRIM(D147)),6,1))/10)+MOD(2*VALUE(MID(UPPER(TRIM(D147)),6,1)),10))+(INT(2*VALUE(MID(UPPER(TRIM(D147)),8,1))/10)+MOD(2*VALUE(MID(UPPER(TRIM(D147)),8,1)),10)),10),10),"0"),RIGHT(UPPER(TRIM(D147)),1)=MID("JABCDEFGHI",MOD(10-MOD((VALUE(MID(UPPER(TRIM(D147)),3,1))+VALUE(MID(UPPER(TRIM(D147)),5,1))+VALUE(MID(UPPER(TRIM(D147)),7,1)))+(INT(2*VALUE(MID(UPPER(TRIM(D147)),2,1))/10)+MOD(2*VALUE(MID(UPPER(TRIM(D147)),2,1)),10))+(INT(2*VALUE(MID(UPPER(TRIM(D147)),4,1))/10)+MOD(2*VALUE(MID(UPPER(TRIM(D147)),4,1)),10))+(INT(2*VALUE(MID(UPPER(TRIM(D147)),6,1))/10)+MOD(2*VALUE(MID(UPPER(TRIM(D147)),6,1)),10))+(INT(2*VALUE(MID(UPPER(TRIM(D147)),8,1))/10)+MOD(2*VALUE(MID(UPPER(TRIM(D147)),8,1)),10)),10),10)+1,1)),"OK","REVISAR")),"REVISAR")))</f>
        <v/>
      </c>
      <c r="Q147">
        <f>IF(B147="","",IF(COUNTIFS($B$2:$B$501,B147,$D$2:$D$501,D147)&gt;1,"DUPLICADA",""))</f>
        <v/>
      </c>
      <c r="R147">
        <f>IF(A147="","",ROUNDUP(MONTH(A147)/3,0))</f>
        <v/>
      </c>
      <c r="S147" s="3" t="n"/>
    </row>
    <row r="148">
      <c r="A148" s="2" t="n"/>
      <c r="B148" s="3" t="n"/>
      <c r="C148" s="3" t="n"/>
      <c r="D148" s="3" t="n"/>
      <c r="E148" s="4" t="n"/>
      <c r="F148" s="4" t="n"/>
      <c r="G148" s="4" t="n"/>
      <c r="H148" s="4" t="n"/>
      <c r="I148" s="5">
        <f>IF(E148="","",ROUND(E148*0.21,2))</f>
        <v/>
      </c>
      <c r="J148" s="5">
        <f>IF(F148="","",ROUND(F148*0.1,2))</f>
        <v/>
      </c>
      <c r="K148" s="5">
        <f>IF(G148="","",ROUND(G148*0.04,2))</f>
        <v/>
      </c>
      <c r="L148" s="4" t="n"/>
      <c r="M148" s="4" t="n"/>
      <c r="N148" s="5">
        <f>IF(A148="","",SUM(E148:K148)-N(L148))</f>
        <v/>
      </c>
      <c r="O148">
        <f>IF(OR(A148="",M148=""),"",IF(ABS(M148-N148)&lt;=0.02,"OK","REVISAR"))</f>
        <v/>
      </c>
      <c r="P148">
        <f>IF(D148="","",IF(LEN(TRIM(D148))&lt;&gt;9,"REVISAR",IFERROR(IF(OR(ISNUMBER(VALUE(LEFT(UPPER(TRIM(D148)),1))),LEFT(UPPER(TRIM(D148)),1)="X",LEFT(UPPER(TRIM(D148)),1)="Y",LEFT(UPPER(TRIM(D148)),1)="Z"),IF(MID("TRWAGMYFPDXBNJZSQVHLCKE",MOD(VALUE(SUBSTITUTE(SUBSTITUTE(SUBSTITUTE(LEFT(UPPER(TRIM(D148)),8),"X","0"),"Y","1"),"Z","2")),23)+1,1)=RIGHT(UPPER(TRIM(D148)),1),"OK","REVISAR"),IF(OR(RIGHT(UPPER(TRIM(D148)),1)=TEXT(MOD(10-MOD((VALUE(MID(UPPER(TRIM(D148)),3,1))+VALUE(MID(UPPER(TRIM(D148)),5,1))+VALUE(MID(UPPER(TRIM(D148)),7,1)))+(INT(2*VALUE(MID(UPPER(TRIM(D148)),2,1))/10)+MOD(2*VALUE(MID(UPPER(TRIM(D148)),2,1)),10))+(INT(2*VALUE(MID(UPPER(TRIM(D148)),4,1))/10)+MOD(2*VALUE(MID(UPPER(TRIM(D148)),4,1)),10))+(INT(2*VALUE(MID(UPPER(TRIM(D148)),6,1))/10)+MOD(2*VALUE(MID(UPPER(TRIM(D148)),6,1)),10))+(INT(2*VALUE(MID(UPPER(TRIM(D148)),8,1))/10)+MOD(2*VALUE(MID(UPPER(TRIM(D148)),8,1)),10)),10),10),"0"),RIGHT(UPPER(TRIM(D148)),1)=MID("JABCDEFGHI",MOD(10-MOD((VALUE(MID(UPPER(TRIM(D148)),3,1))+VALUE(MID(UPPER(TRIM(D148)),5,1))+VALUE(MID(UPPER(TRIM(D148)),7,1)))+(INT(2*VALUE(MID(UPPER(TRIM(D148)),2,1))/10)+MOD(2*VALUE(MID(UPPER(TRIM(D148)),2,1)),10))+(INT(2*VALUE(MID(UPPER(TRIM(D148)),4,1))/10)+MOD(2*VALUE(MID(UPPER(TRIM(D148)),4,1)),10))+(INT(2*VALUE(MID(UPPER(TRIM(D148)),6,1))/10)+MOD(2*VALUE(MID(UPPER(TRIM(D148)),6,1)),10))+(INT(2*VALUE(MID(UPPER(TRIM(D148)),8,1))/10)+MOD(2*VALUE(MID(UPPER(TRIM(D148)),8,1)),10)),10),10)+1,1)),"OK","REVISAR")),"REVISAR")))</f>
        <v/>
      </c>
      <c r="Q148">
        <f>IF(B148="","",IF(COUNTIFS($B$2:$B$501,B148,$D$2:$D$501,D148)&gt;1,"DUPLICADA",""))</f>
        <v/>
      </c>
      <c r="R148">
        <f>IF(A148="","",ROUNDUP(MONTH(A148)/3,0))</f>
        <v/>
      </c>
      <c r="S148" s="3" t="n"/>
    </row>
    <row r="149">
      <c r="A149" s="2" t="n"/>
      <c r="B149" s="3" t="n"/>
      <c r="C149" s="3" t="n"/>
      <c r="D149" s="3" t="n"/>
      <c r="E149" s="4" t="n"/>
      <c r="F149" s="4" t="n"/>
      <c r="G149" s="4" t="n"/>
      <c r="H149" s="4" t="n"/>
      <c r="I149" s="5">
        <f>IF(E149="","",ROUND(E149*0.21,2))</f>
        <v/>
      </c>
      <c r="J149" s="5">
        <f>IF(F149="","",ROUND(F149*0.1,2))</f>
        <v/>
      </c>
      <c r="K149" s="5">
        <f>IF(G149="","",ROUND(G149*0.04,2))</f>
        <v/>
      </c>
      <c r="L149" s="4" t="n"/>
      <c r="M149" s="4" t="n"/>
      <c r="N149" s="5">
        <f>IF(A149="","",SUM(E149:K149)-N(L149))</f>
        <v/>
      </c>
      <c r="O149">
        <f>IF(OR(A149="",M149=""),"",IF(ABS(M149-N149)&lt;=0.02,"OK","REVISAR"))</f>
        <v/>
      </c>
      <c r="P149">
        <f>IF(D149="","",IF(LEN(TRIM(D149))&lt;&gt;9,"REVISAR",IFERROR(IF(OR(ISNUMBER(VALUE(LEFT(UPPER(TRIM(D149)),1))),LEFT(UPPER(TRIM(D149)),1)="X",LEFT(UPPER(TRIM(D149)),1)="Y",LEFT(UPPER(TRIM(D149)),1)="Z"),IF(MID("TRWAGMYFPDXBNJZSQVHLCKE",MOD(VALUE(SUBSTITUTE(SUBSTITUTE(SUBSTITUTE(LEFT(UPPER(TRIM(D149)),8),"X","0"),"Y","1"),"Z","2")),23)+1,1)=RIGHT(UPPER(TRIM(D149)),1),"OK","REVISAR"),IF(OR(RIGHT(UPPER(TRIM(D149)),1)=TEXT(MOD(10-MOD((VALUE(MID(UPPER(TRIM(D149)),3,1))+VALUE(MID(UPPER(TRIM(D149)),5,1))+VALUE(MID(UPPER(TRIM(D149)),7,1)))+(INT(2*VALUE(MID(UPPER(TRIM(D149)),2,1))/10)+MOD(2*VALUE(MID(UPPER(TRIM(D149)),2,1)),10))+(INT(2*VALUE(MID(UPPER(TRIM(D149)),4,1))/10)+MOD(2*VALUE(MID(UPPER(TRIM(D149)),4,1)),10))+(INT(2*VALUE(MID(UPPER(TRIM(D149)),6,1))/10)+MOD(2*VALUE(MID(UPPER(TRIM(D149)),6,1)),10))+(INT(2*VALUE(MID(UPPER(TRIM(D149)),8,1))/10)+MOD(2*VALUE(MID(UPPER(TRIM(D149)),8,1)),10)),10),10),"0"),RIGHT(UPPER(TRIM(D149)),1)=MID("JABCDEFGHI",MOD(10-MOD((VALUE(MID(UPPER(TRIM(D149)),3,1))+VALUE(MID(UPPER(TRIM(D149)),5,1))+VALUE(MID(UPPER(TRIM(D149)),7,1)))+(INT(2*VALUE(MID(UPPER(TRIM(D149)),2,1))/10)+MOD(2*VALUE(MID(UPPER(TRIM(D149)),2,1)),10))+(INT(2*VALUE(MID(UPPER(TRIM(D149)),4,1))/10)+MOD(2*VALUE(MID(UPPER(TRIM(D149)),4,1)),10))+(INT(2*VALUE(MID(UPPER(TRIM(D149)),6,1))/10)+MOD(2*VALUE(MID(UPPER(TRIM(D149)),6,1)),10))+(INT(2*VALUE(MID(UPPER(TRIM(D149)),8,1))/10)+MOD(2*VALUE(MID(UPPER(TRIM(D149)),8,1)),10)),10),10)+1,1)),"OK","REVISAR")),"REVISAR")))</f>
        <v/>
      </c>
      <c r="Q149">
        <f>IF(B149="","",IF(COUNTIFS($B$2:$B$501,B149,$D$2:$D$501,D149)&gt;1,"DUPLICADA",""))</f>
        <v/>
      </c>
      <c r="R149">
        <f>IF(A149="","",ROUNDUP(MONTH(A149)/3,0))</f>
        <v/>
      </c>
      <c r="S149" s="3" t="n"/>
    </row>
    <row r="150">
      <c r="A150" s="2" t="n"/>
      <c r="B150" s="3" t="n"/>
      <c r="C150" s="3" t="n"/>
      <c r="D150" s="3" t="n"/>
      <c r="E150" s="4" t="n"/>
      <c r="F150" s="4" t="n"/>
      <c r="G150" s="4" t="n"/>
      <c r="H150" s="4" t="n"/>
      <c r="I150" s="5">
        <f>IF(E150="","",ROUND(E150*0.21,2))</f>
        <v/>
      </c>
      <c r="J150" s="5">
        <f>IF(F150="","",ROUND(F150*0.1,2))</f>
        <v/>
      </c>
      <c r="K150" s="5">
        <f>IF(G150="","",ROUND(G150*0.04,2))</f>
        <v/>
      </c>
      <c r="L150" s="4" t="n"/>
      <c r="M150" s="4" t="n"/>
      <c r="N150" s="5">
        <f>IF(A150="","",SUM(E150:K150)-N(L150))</f>
        <v/>
      </c>
      <c r="O150">
        <f>IF(OR(A150="",M150=""),"",IF(ABS(M150-N150)&lt;=0.02,"OK","REVISAR"))</f>
        <v/>
      </c>
      <c r="P150">
        <f>IF(D150="","",IF(LEN(TRIM(D150))&lt;&gt;9,"REVISAR",IFERROR(IF(OR(ISNUMBER(VALUE(LEFT(UPPER(TRIM(D150)),1))),LEFT(UPPER(TRIM(D150)),1)="X",LEFT(UPPER(TRIM(D150)),1)="Y",LEFT(UPPER(TRIM(D150)),1)="Z"),IF(MID("TRWAGMYFPDXBNJZSQVHLCKE",MOD(VALUE(SUBSTITUTE(SUBSTITUTE(SUBSTITUTE(LEFT(UPPER(TRIM(D150)),8),"X","0"),"Y","1"),"Z","2")),23)+1,1)=RIGHT(UPPER(TRIM(D150)),1),"OK","REVISAR"),IF(OR(RIGHT(UPPER(TRIM(D150)),1)=TEXT(MOD(10-MOD((VALUE(MID(UPPER(TRIM(D150)),3,1))+VALUE(MID(UPPER(TRIM(D150)),5,1))+VALUE(MID(UPPER(TRIM(D150)),7,1)))+(INT(2*VALUE(MID(UPPER(TRIM(D150)),2,1))/10)+MOD(2*VALUE(MID(UPPER(TRIM(D150)),2,1)),10))+(INT(2*VALUE(MID(UPPER(TRIM(D150)),4,1))/10)+MOD(2*VALUE(MID(UPPER(TRIM(D150)),4,1)),10))+(INT(2*VALUE(MID(UPPER(TRIM(D150)),6,1))/10)+MOD(2*VALUE(MID(UPPER(TRIM(D150)),6,1)),10))+(INT(2*VALUE(MID(UPPER(TRIM(D150)),8,1))/10)+MOD(2*VALUE(MID(UPPER(TRIM(D150)),8,1)),10)),10),10),"0"),RIGHT(UPPER(TRIM(D150)),1)=MID("JABCDEFGHI",MOD(10-MOD((VALUE(MID(UPPER(TRIM(D150)),3,1))+VALUE(MID(UPPER(TRIM(D150)),5,1))+VALUE(MID(UPPER(TRIM(D150)),7,1)))+(INT(2*VALUE(MID(UPPER(TRIM(D150)),2,1))/10)+MOD(2*VALUE(MID(UPPER(TRIM(D150)),2,1)),10))+(INT(2*VALUE(MID(UPPER(TRIM(D150)),4,1))/10)+MOD(2*VALUE(MID(UPPER(TRIM(D150)),4,1)),10))+(INT(2*VALUE(MID(UPPER(TRIM(D150)),6,1))/10)+MOD(2*VALUE(MID(UPPER(TRIM(D150)),6,1)),10))+(INT(2*VALUE(MID(UPPER(TRIM(D150)),8,1))/10)+MOD(2*VALUE(MID(UPPER(TRIM(D150)),8,1)),10)),10),10)+1,1)),"OK","REVISAR")),"REVISAR")))</f>
        <v/>
      </c>
      <c r="Q150">
        <f>IF(B150="","",IF(COUNTIFS($B$2:$B$501,B150,$D$2:$D$501,D150)&gt;1,"DUPLICADA",""))</f>
        <v/>
      </c>
      <c r="R150">
        <f>IF(A150="","",ROUNDUP(MONTH(A150)/3,0))</f>
        <v/>
      </c>
      <c r="S150" s="3" t="n"/>
    </row>
    <row r="151">
      <c r="A151" s="2" t="n"/>
      <c r="B151" s="3" t="n"/>
      <c r="C151" s="3" t="n"/>
      <c r="D151" s="3" t="n"/>
      <c r="E151" s="4" t="n"/>
      <c r="F151" s="4" t="n"/>
      <c r="G151" s="4" t="n"/>
      <c r="H151" s="4" t="n"/>
      <c r="I151" s="5">
        <f>IF(E151="","",ROUND(E151*0.21,2))</f>
        <v/>
      </c>
      <c r="J151" s="5">
        <f>IF(F151="","",ROUND(F151*0.1,2))</f>
        <v/>
      </c>
      <c r="K151" s="5">
        <f>IF(G151="","",ROUND(G151*0.04,2))</f>
        <v/>
      </c>
      <c r="L151" s="4" t="n"/>
      <c r="M151" s="4" t="n"/>
      <c r="N151" s="5">
        <f>IF(A151="","",SUM(E151:K151)-N(L151))</f>
        <v/>
      </c>
      <c r="O151">
        <f>IF(OR(A151="",M151=""),"",IF(ABS(M151-N151)&lt;=0.02,"OK","REVISAR"))</f>
        <v/>
      </c>
      <c r="P151">
        <f>IF(D151="","",IF(LEN(TRIM(D151))&lt;&gt;9,"REVISAR",IFERROR(IF(OR(ISNUMBER(VALUE(LEFT(UPPER(TRIM(D151)),1))),LEFT(UPPER(TRIM(D151)),1)="X",LEFT(UPPER(TRIM(D151)),1)="Y",LEFT(UPPER(TRIM(D151)),1)="Z"),IF(MID("TRWAGMYFPDXBNJZSQVHLCKE",MOD(VALUE(SUBSTITUTE(SUBSTITUTE(SUBSTITUTE(LEFT(UPPER(TRIM(D151)),8),"X","0"),"Y","1"),"Z","2")),23)+1,1)=RIGHT(UPPER(TRIM(D151)),1),"OK","REVISAR"),IF(OR(RIGHT(UPPER(TRIM(D151)),1)=TEXT(MOD(10-MOD((VALUE(MID(UPPER(TRIM(D151)),3,1))+VALUE(MID(UPPER(TRIM(D151)),5,1))+VALUE(MID(UPPER(TRIM(D151)),7,1)))+(INT(2*VALUE(MID(UPPER(TRIM(D151)),2,1))/10)+MOD(2*VALUE(MID(UPPER(TRIM(D151)),2,1)),10))+(INT(2*VALUE(MID(UPPER(TRIM(D151)),4,1))/10)+MOD(2*VALUE(MID(UPPER(TRIM(D151)),4,1)),10))+(INT(2*VALUE(MID(UPPER(TRIM(D151)),6,1))/10)+MOD(2*VALUE(MID(UPPER(TRIM(D151)),6,1)),10))+(INT(2*VALUE(MID(UPPER(TRIM(D151)),8,1))/10)+MOD(2*VALUE(MID(UPPER(TRIM(D151)),8,1)),10)),10),10),"0"),RIGHT(UPPER(TRIM(D151)),1)=MID("JABCDEFGHI",MOD(10-MOD((VALUE(MID(UPPER(TRIM(D151)),3,1))+VALUE(MID(UPPER(TRIM(D151)),5,1))+VALUE(MID(UPPER(TRIM(D151)),7,1)))+(INT(2*VALUE(MID(UPPER(TRIM(D151)),2,1))/10)+MOD(2*VALUE(MID(UPPER(TRIM(D151)),2,1)),10))+(INT(2*VALUE(MID(UPPER(TRIM(D151)),4,1))/10)+MOD(2*VALUE(MID(UPPER(TRIM(D151)),4,1)),10))+(INT(2*VALUE(MID(UPPER(TRIM(D151)),6,1))/10)+MOD(2*VALUE(MID(UPPER(TRIM(D151)),6,1)),10))+(INT(2*VALUE(MID(UPPER(TRIM(D151)),8,1))/10)+MOD(2*VALUE(MID(UPPER(TRIM(D151)),8,1)),10)),10),10)+1,1)),"OK","REVISAR")),"REVISAR")))</f>
        <v/>
      </c>
      <c r="Q151">
        <f>IF(B151="","",IF(COUNTIFS($B$2:$B$501,B151,$D$2:$D$501,D151)&gt;1,"DUPLICADA",""))</f>
        <v/>
      </c>
      <c r="R151">
        <f>IF(A151="","",ROUNDUP(MONTH(A151)/3,0))</f>
        <v/>
      </c>
      <c r="S151" s="3" t="n"/>
    </row>
    <row r="152">
      <c r="A152" s="2" t="n"/>
      <c r="B152" s="3" t="n"/>
      <c r="C152" s="3" t="n"/>
      <c r="D152" s="3" t="n"/>
      <c r="E152" s="4" t="n"/>
      <c r="F152" s="4" t="n"/>
      <c r="G152" s="4" t="n"/>
      <c r="H152" s="4" t="n"/>
      <c r="I152" s="5">
        <f>IF(E152="","",ROUND(E152*0.21,2))</f>
        <v/>
      </c>
      <c r="J152" s="5">
        <f>IF(F152="","",ROUND(F152*0.1,2))</f>
        <v/>
      </c>
      <c r="K152" s="5">
        <f>IF(G152="","",ROUND(G152*0.04,2))</f>
        <v/>
      </c>
      <c r="L152" s="4" t="n"/>
      <c r="M152" s="4" t="n"/>
      <c r="N152" s="5">
        <f>IF(A152="","",SUM(E152:K152)-N(L152))</f>
        <v/>
      </c>
      <c r="O152">
        <f>IF(OR(A152="",M152=""),"",IF(ABS(M152-N152)&lt;=0.02,"OK","REVISAR"))</f>
        <v/>
      </c>
      <c r="P152">
        <f>IF(D152="","",IF(LEN(TRIM(D152))&lt;&gt;9,"REVISAR",IFERROR(IF(OR(ISNUMBER(VALUE(LEFT(UPPER(TRIM(D152)),1))),LEFT(UPPER(TRIM(D152)),1)="X",LEFT(UPPER(TRIM(D152)),1)="Y",LEFT(UPPER(TRIM(D152)),1)="Z"),IF(MID("TRWAGMYFPDXBNJZSQVHLCKE",MOD(VALUE(SUBSTITUTE(SUBSTITUTE(SUBSTITUTE(LEFT(UPPER(TRIM(D152)),8),"X","0"),"Y","1"),"Z","2")),23)+1,1)=RIGHT(UPPER(TRIM(D152)),1),"OK","REVISAR"),IF(OR(RIGHT(UPPER(TRIM(D152)),1)=TEXT(MOD(10-MOD((VALUE(MID(UPPER(TRIM(D152)),3,1))+VALUE(MID(UPPER(TRIM(D152)),5,1))+VALUE(MID(UPPER(TRIM(D152)),7,1)))+(INT(2*VALUE(MID(UPPER(TRIM(D152)),2,1))/10)+MOD(2*VALUE(MID(UPPER(TRIM(D152)),2,1)),10))+(INT(2*VALUE(MID(UPPER(TRIM(D152)),4,1))/10)+MOD(2*VALUE(MID(UPPER(TRIM(D152)),4,1)),10))+(INT(2*VALUE(MID(UPPER(TRIM(D152)),6,1))/10)+MOD(2*VALUE(MID(UPPER(TRIM(D152)),6,1)),10))+(INT(2*VALUE(MID(UPPER(TRIM(D152)),8,1))/10)+MOD(2*VALUE(MID(UPPER(TRIM(D152)),8,1)),10)),10),10),"0"),RIGHT(UPPER(TRIM(D152)),1)=MID("JABCDEFGHI",MOD(10-MOD((VALUE(MID(UPPER(TRIM(D152)),3,1))+VALUE(MID(UPPER(TRIM(D152)),5,1))+VALUE(MID(UPPER(TRIM(D152)),7,1)))+(INT(2*VALUE(MID(UPPER(TRIM(D152)),2,1))/10)+MOD(2*VALUE(MID(UPPER(TRIM(D152)),2,1)),10))+(INT(2*VALUE(MID(UPPER(TRIM(D152)),4,1))/10)+MOD(2*VALUE(MID(UPPER(TRIM(D152)),4,1)),10))+(INT(2*VALUE(MID(UPPER(TRIM(D152)),6,1))/10)+MOD(2*VALUE(MID(UPPER(TRIM(D152)),6,1)),10))+(INT(2*VALUE(MID(UPPER(TRIM(D152)),8,1))/10)+MOD(2*VALUE(MID(UPPER(TRIM(D152)),8,1)),10)),10),10)+1,1)),"OK","REVISAR")),"REVISAR")))</f>
        <v/>
      </c>
      <c r="Q152">
        <f>IF(B152="","",IF(COUNTIFS($B$2:$B$501,B152,$D$2:$D$501,D152)&gt;1,"DUPLICADA",""))</f>
        <v/>
      </c>
      <c r="R152">
        <f>IF(A152="","",ROUNDUP(MONTH(A152)/3,0))</f>
        <v/>
      </c>
      <c r="S152" s="3" t="n"/>
    </row>
    <row r="153">
      <c r="A153" s="2" t="n"/>
      <c r="B153" s="3" t="n"/>
      <c r="C153" s="3" t="n"/>
      <c r="D153" s="3" t="n"/>
      <c r="E153" s="4" t="n"/>
      <c r="F153" s="4" t="n"/>
      <c r="G153" s="4" t="n"/>
      <c r="H153" s="4" t="n"/>
      <c r="I153" s="5">
        <f>IF(E153="","",ROUND(E153*0.21,2))</f>
        <v/>
      </c>
      <c r="J153" s="5">
        <f>IF(F153="","",ROUND(F153*0.1,2))</f>
        <v/>
      </c>
      <c r="K153" s="5">
        <f>IF(G153="","",ROUND(G153*0.04,2))</f>
        <v/>
      </c>
      <c r="L153" s="4" t="n"/>
      <c r="M153" s="4" t="n"/>
      <c r="N153" s="5">
        <f>IF(A153="","",SUM(E153:K153)-N(L153))</f>
        <v/>
      </c>
      <c r="O153">
        <f>IF(OR(A153="",M153=""),"",IF(ABS(M153-N153)&lt;=0.02,"OK","REVISAR"))</f>
        <v/>
      </c>
      <c r="P153">
        <f>IF(D153="","",IF(LEN(TRIM(D153))&lt;&gt;9,"REVISAR",IFERROR(IF(OR(ISNUMBER(VALUE(LEFT(UPPER(TRIM(D153)),1))),LEFT(UPPER(TRIM(D153)),1)="X",LEFT(UPPER(TRIM(D153)),1)="Y",LEFT(UPPER(TRIM(D153)),1)="Z"),IF(MID("TRWAGMYFPDXBNJZSQVHLCKE",MOD(VALUE(SUBSTITUTE(SUBSTITUTE(SUBSTITUTE(LEFT(UPPER(TRIM(D153)),8),"X","0"),"Y","1"),"Z","2")),23)+1,1)=RIGHT(UPPER(TRIM(D153)),1),"OK","REVISAR"),IF(OR(RIGHT(UPPER(TRIM(D153)),1)=TEXT(MOD(10-MOD((VALUE(MID(UPPER(TRIM(D153)),3,1))+VALUE(MID(UPPER(TRIM(D153)),5,1))+VALUE(MID(UPPER(TRIM(D153)),7,1)))+(INT(2*VALUE(MID(UPPER(TRIM(D153)),2,1))/10)+MOD(2*VALUE(MID(UPPER(TRIM(D153)),2,1)),10))+(INT(2*VALUE(MID(UPPER(TRIM(D153)),4,1))/10)+MOD(2*VALUE(MID(UPPER(TRIM(D153)),4,1)),10))+(INT(2*VALUE(MID(UPPER(TRIM(D153)),6,1))/10)+MOD(2*VALUE(MID(UPPER(TRIM(D153)),6,1)),10))+(INT(2*VALUE(MID(UPPER(TRIM(D153)),8,1))/10)+MOD(2*VALUE(MID(UPPER(TRIM(D153)),8,1)),10)),10),10),"0"),RIGHT(UPPER(TRIM(D153)),1)=MID("JABCDEFGHI",MOD(10-MOD((VALUE(MID(UPPER(TRIM(D153)),3,1))+VALUE(MID(UPPER(TRIM(D153)),5,1))+VALUE(MID(UPPER(TRIM(D153)),7,1)))+(INT(2*VALUE(MID(UPPER(TRIM(D153)),2,1))/10)+MOD(2*VALUE(MID(UPPER(TRIM(D153)),2,1)),10))+(INT(2*VALUE(MID(UPPER(TRIM(D153)),4,1))/10)+MOD(2*VALUE(MID(UPPER(TRIM(D153)),4,1)),10))+(INT(2*VALUE(MID(UPPER(TRIM(D153)),6,1))/10)+MOD(2*VALUE(MID(UPPER(TRIM(D153)),6,1)),10))+(INT(2*VALUE(MID(UPPER(TRIM(D153)),8,1))/10)+MOD(2*VALUE(MID(UPPER(TRIM(D153)),8,1)),10)),10),10)+1,1)),"OK","REVISAR")),"REVISAR")))</f>
        <v/>
      </c>
      <c r="Q153">
        <f>IF(B153="","",IF(COUNTIFS($B$2:$B$501,B153,$D$2:$D$501,D153)&gt;1,"DUPLICADA",""))</f>
        <v/>
      </c>
      <c r="R153">
        <f>IF(A153="","",ROUNDUP(MONTH(A153)/3,0))</f>
        <v/>
      </c>
      <c r="S153" s="3" t="n"/>
    </row>
    <row r="154">
      <c r="A154" s="2" t="n"/>
      <c r="B154" s="3" t="n"/>
      <c r="C154" s="3" t="n"/>
      <c r="D154" s="3" t="n"/>
      <c r="E154" s="4" t="n"/>
      <c r="F154" s="4" t="n"/>
      <c r="G154" s="4" t="n"/>
      <c r="H154" s="4" t="n"/>
      <c r="I154" s="5">
        <f>IF(E154="","",ROUND(E154*0.21,2))</f>
        <v/>
      </c>
      <c r="J154" s="5">
        <f>IF(F154="","",ROUND(F154*0.1,2))</f>
        <v/>
      </c>
      <c r="K154" s="5">
        <f>IF(G154="","",ROUND(G154*0.04,2))</f>
        <v/>
      </c>
      <c r="L154" s="4" t="n"/>
      <c r="M154" s="4" t="n"/>
      <c r="N154" s="5">
        <f>IF(A154="","",SUM(E154:K154)-N(L154))</f>
        <v/>
      </c>
      <c r="O154">
        <f>IF(OR(A154="",M154=""),"",IF(ABS(M154-N154)&lt;=0.02,"OK","REVISAR"))</f>
        <v/>
      </c>
      <c r="P154">
        <f>IF(D154="","",IF(LEN(TRIM(D154))&lt;&gt;9,"REVISAR",IFERROR(IF(OR(ISNUMBER(VALUE(LEFT(UPPER(TRIM(D154)),1))),LEFT(UPPER(TRIM(D154)),1)="X",LEFT(UPPER(TRIM(D154)),1)="Y",LEFT(UPPER(TRIM(D154)),1)="Z"),IF(MID("TRWAGMYFPDXBNJZSQVHLCKE",MOD(VALUE(SUBSTITUTE(SUBSTITUTE(SUBSTITUTE(LEFT(UPPER(TRIM(D154)),8),"X","0"),"Y","1"),"Z","2")),23)+1,1)=RIGHT(UPPER(TRIM(D154)),1),"OK","REVISAR"),IF(OR(RIGHT(UPPER(TRIM(D154)),1)=TEXT(MOD(10-MOD((VALUE(MID(UPPER(TRIM(D154)),3,1))+VALUE(MID(UPPER(TRIM(D154)),5,1))+VALUE(MID(UPPER(TRIM(D154)),7,1)))+(INT(2*VALUE(MID(UPPER(TRIM(D154)),2,1))/10)+MOD(2*VALUE(MID(UPPER(TRIM(D154)),2,1)),10))+(INT(2*VALUE(MID(UPPER(TRIM(D154)),4,1))/10)+MOD(2*VALUE(MID(UPPER(TRIM(D154)),4,1)),10))+(INT(2*VALUE(MID(UPPER(TRIM(D154)),6,1))/10)+MOD(2*VALUE(MID(UPPER(TRIM(D154)),6,1)),10))+(INT(2*VALUE(MID(UPPER(TRIM(D154)),8,1))/10)+MOD(2*VALUE(MID(UPPER(TRIM(D154)),8,1)),10)),10),10),"0"),RIGHT(UPPER(TRIM(D154)),1)=MID("JABCDEFGHI",MOD(10-MOD((VALUE(MID(UPPER(TRIM(D154)),3,1))+VALUE(MID(UPPER(TRIM(D154)),5,1))+VALUE(MID(UPPER(TRIM(D154)),7,1)))+(INT(2*VALUE(MID(UPPER(TRIM(D154)),2,1))/10)+MOD(2*VALUE(MID(UPPER(TRIM(D154)),2,1)),10))+(INT(2*VALUE(MID(UPPER(TRIM(D154)),4,1))/10)+MOD(2*VALUE(MID(UPPER(TRIM(D154)),4,1)),10))+(INT(2*VALUE(MID(UPPER(TRIM(D154)),6,1))/10)+MOD(2*VALUE(MID(UPPER(TRIM(D154)),6,1)),10))+(INT(2*VALUE(MID(UPPER(TRIM(D154)),8,1))/10)+MOD(2*VALUE(MID(UPPER(TRIM(D154)),8,1)),10)),10),10)+1,1)),"OK","REVISAR")),"REVISAR")))</f>
        <v/>
      </c>
      <c r="Q154">
        <f>IF(B154="","",IF(COUNTIFS($B$2:$B$501,B154,$D$2:$D$501,D154)&gt;1,"DUPLICADA",""))</f>
        <v/>
      </c>
      <c r="R154">
        <f>IF(A154="","",ROUNDUP(MONTH(A154)/3,0))</f>
        <v/>
      </c>
      <c r="S154" s="3" t="n"/>
    </row>
    <row r="155">
      <c r="A155" s="2" t="n"/>
      <c r="B155" s="3" t="n"/>
      <c r="C155" s="3" t="n"/>
      <c r="D155" s="3" t="n"/>
      <c r="E155" s="4" t="n"/>
      <c r="F155" s="4" t="n"/>
      <c r="G155" s="4" t="n"/>
      <c r="H155" s="4" t="n"/>
      <c r="I155" s="5">
        <f>IF(E155="","",ROUND(E155*0.21,2))</f>
        <v/>
      </c>
      <c r="J155" s="5">
        <f>IF(F155="","",ROUND(F155*0.1,2))</f>
        <v/>
      </c>
      <c r="K155" s="5">
        <f>IF(G155="","",ROUND(G155*0.04,2))</f>
        <v/>
      </c>
      <c r="L155" s="4" t="n"/>
      <c r="M155" s="4" t="n"/>
      <c r="N155" s="5">
        <f>IF(A155="","",SUM(E155:K155)-N(L155))</f>
        <v/>
      </c>
      <c r="O155">
        <f>IF(OR(A155="",M155=""),"",IF(ABS(M155-N155)&lt;=0.02,"OK","REVISAR"))</f>
        <v/>
      </c>
      <c r="P155">
        <f>IF(D155="","",IF(LEN(TRIM(D155))&lt;&gt;9,"REVISAR",IFERROR(IF(OR(ISNUMBER(VALUE(LEFT(UPPER(TRIM(D155)),1))),LEFT(UPPER(TRIM(D155)),1)="X",LEFT(UPPER(TRIM(D155)),1)="Y",LEFT(UPPER(TRIM(D155)),1)="Z"),IF(MID("TRWAGMYFPDXBNJZSQVHLCKE",MOD(VALUE(SUBSTITUTE(SUBSTITUTE(SUBSTITUTE(LEFT(UPPER(TRIM(D155)),8),"X","0"),"Y","1"),"Z","2")),23)+1,1)=RIGHT(UPPER(TRIM(D155)),1),"OK","REVISAR"),IF(OR(RIGHT(UPPER(TRIM(D155)),1)=TEXT(MOD(10-MOD((VALUE(MID(UPPER(TRIM(D155)),3,1))+VALUE(MID(UPPER(TRIM(D155)),5,1))+VALUE(MID(UPPER(TRIM(D155)),7,1)))+(INT(2*VALUE(MID(UPPER(TRIM(D155)),2,1))/10)+MOD(2*VALUE(MID(UPPER(TRIM(D155)),2,1)),10))+(INT(2*VALUE(MID(UPPER(TRIM(D155)),4,1))/10)+MOD(2*VALUE(MID(UPPER(TRIM(D155)),4,1)),10))+(INT(2*VALUE(MID(UPPER(TRIM(D155)),6,1))/10)+MOD(2*VALUE(MID(UPPER(TRIM(D155)),6,1)),10))+(INT(2*VALUE(MID(UPPER(TRIM(D155)),8,1))/10)+MOD(2*VALUE(MID(UPPER(TRIM(D155)),8,1)),10)),10),10),"0"),RIGHT(UPPER(TRIM(D155)),1)=MID("JABCDEFGHI",MOD(10-MOD((VALUE(MID(UPPER(TRIM(D155)),3,1))+VALUE(MID(UPPER(TRIM(D155)),5,1))+VALUE(MID(UPPER(TRIM(D155)),7,1)))+(INT(2*VALUE(MID(UPPER(TRIM(D155)),2,1))/10)+MOD(2*VALUE(MID(UPPER(TRIM(D155)),2,1)),10))+(INT(2*VALUE(MID(UPPER(TRIM(D155)),4,1))/10)+MOD(2*VALUE(MID(UPPER(TRIM(D155)),4,1)),10))+(INT(2*VALUE(MID(UPPER(TRIM(D155)),6,1))/10)+MOD(2*VALUE(MID(UPPER(TRIM(D155)),6,1)),10))+(INT(2*VALUE(MID(UPPER(TRIM(D155)),8,1))/10)+MOD(2*VALUE(MID(UPPER(TRIM(D155)),8,1)),10)),10),10)+1,1)),"OK","REVISAR")),"REVISAR")))</f>
        <v/>
      </c>
      <c r="Q155">
        <f>IF(B155="","",IF(COUNTIFS($B$2:$B$501,B155,$D$2:$D$501,D155)&gt;1,"DUPLICADA",""))</f>
        <v/>
      </c>
      <c r="R155">
        <f>IF(A155="","",ROUNDUP(MONTH(A155)/3,0))</f>
        <v/>
      </c>
      <c r="S155" s="3" t="n"/>
    </row>
    <row r="156">
      <c r="A156" s="2" t="n"/>
      <c r="B156" s="3" t="n"/>
      <c r="C156" s="3" t="n"/>
      <c r="D156" s="3" t="n"/>
      <c r="E156" s="4" t="n"/>
      <c r="F156" s="4" t="n"/>
      <c r="G156" s="4" t="n"/>
      <c r="H156" s="4" t="n"/>
      <c r="I156" s="5">
        <f>IF(E156="","",ROUND(E156*0.21,2))</f>
        <v/>
      </c>
      <c r="J156" s="5">
        <f>IF(F156="","",ROUND(F156*0.1,2))</f>
        <v/>
      </c>
      <c r="K156" s="5">
        <f>IF(G156="","",ROUND(G156*0.04,2))</f>
        <v/>
      </c>
      <c r="L156" s="4" t="n"/>
      <c r="M156" s="4" t="n"/>
      <c r="N156" s="5">
        <f>IF(A156="","",SUM(E156:K156)-N(L156))</f>
        <v/>
      </c>
      <c r="O156">
        <f>IF(OR(A156="",M156=""),"",IF(ABS(M156-N156)&lt;=0.02,"OK","REVISAR"))</f>
        <v/>
      </c>
      <c r="P156">
        <f>IF(D156="","",IF(LEN(TRIM(D156))&lt;&gt;9,"REVISAR",IFERROR(IF(OR(ISNUMBER(VALUE(LEFT(UPPER(TRIM(D156)),1))),LEFT(UPPER(TRIM(D156)),1)="X",LEFT(UPPER(TRIM(D156)),1)="Y",LEFT(UPPER(TRIM(D156)),1)="Z"),IF(MID("TRWAGMYFPDXBNJZSQVHLCKE",MOD(VALUE(SUBSTITUTE(SUBSTITUTE(SUBSTITUTE(LEFT(UPPER(TRIM(D156)),8),"X","0"),"Y","1"),"Z","2")),23)+1,1)=RIGHT(UPPER(TRIM(D156)),1),"OK","REVISAR"),IF(OR(RIGHT(UPPER(TRIM(D156)),1)=TEXT(MOD(10-MOD((VALUE(MID(UPPER(TRIM(D156)),3,1))+VALUE(MID(UPPER(TRIM(D156)),5,1))+VALUE(MID(UPPER(TRIM(D156)),7,1)))+(INT(2*VALUE(MID(UPPER(TRIM(D156)),2,1))/10)+MOD(2*VALUE(MID(UPPER(TRIM(D156)),2,1)),10))+(INT(2*VALUE(MID(UPPER(TRIM(D156)),4,1))/10)+MOD(2*VALUE(MID(UPPER(TRIM(D156)),4,1)),10))+(INT(2*VALUE(MID(UPPER(TRIM(D156)),6,1))/10)+MOD(2*VALUE(MID(UPPER(TRIM(D156)),6,1)),10))+(INT(2*VALUE(MID(UPPER(TRIM(D156)),8,1))/10)+MOD(2*VALUE(MID(UPPER(TRIM(D156)),8,1)),10)),10),10),"0"),RIGHT(UPPER(TRIM(D156)),1)=MID("JABCDEFGHI",MOD(10-MOD((VALUE(MID(UPPER(TRIM(D156)),3,1))+VALUE(MID(UPPER(TRIM(D156)),5,1))+VALUE(MID(UPPER(TRIM(D156)),7,1)))+(INT(2*VALUE(MID(UPPER(TRIM(D156)),2,1))/10)+MOD(2*VALUE(MID(UPPER(TRIM(D156)),2,1)),10))+(INT(2*VALUE(MID(UPPER(TRIM(D156)),4,1))/10)+MOD(2*VALUE(MID(UPPER(TRIM(D156)),4,1)),10))+(INT(2*VALUE(MID(UPPER(TRIM(D156)),6,1))/10)+MOD(2*VALUE(MID(UPPER(TRIM(D156)),6,1)),10))+(INT(2*VALUE(MID(UPPER(TRIM(D156)),8,1))/10)+MOD(2*VALUE(MID(UPPER(TRIM(D156)),8,1)),10)),10),10)+1,1)),"OK","REVISAR")),"REVISAR")))</f>
        <v/>
      </c>
      <c r="Q156">
        <f>IF(B156="","",IF(COUNTIFS($B$2:$B$501,B156,$D$2:$D$501,D156)&gt;1,"DUPLICADA",""))</f>
        <v/>
      </c>
      <c r="R156">
        <f>IF(A156="","",ROUNDUP(MONTH(A156)/3,0))</f>
        <v/>
      </c>
      <c r="S156" s="3" t="n"/>
    </row>
    <row r="157">
      <c r="A157" s="2" t="n"/>
      <c r="B157" s="3" t="n"/>
      <c r="C157" s="3" t="n"/>
      <c r="D157" s="3" t="n"/>
      <c r="E157" s="4" t="n"/>
      <c r="F157" s="4" t="n"/>
      <c r="G157" s="4" t="n"/>
      <c r="H157" s="4" t="n"/>
      <c r="I157" s="5">
        <f>IF(E157="","",ROUND(E157*0.21,2))</f>
        <v/>
      </c>
      <c r="J157" s="5">
        <f>IF(F157="","",ROUND(F157*0.1,2))</f>
        <v/>
      </c>
      <c r="K157" s="5">
        <f>IF(G157="","",ROUND(G157*0.04,2))</f>
        <v/>
      </c>
      <c r="L157" s="4" t="n"/>
      <c r="M157" s="4" t="n"/>
      <c r="N157" s="5">
        <f>IF(A157="","",SUM(E157:K157)-N(L157))</f>
        <v/>
      </c>
      <c r="O157">
        <f>IF(OR(A157="",M157=""),"",IF(ABS(M157-N157)&lt;=0.02,"OK","REVISAR"))</f>
        <v/>
      </c>
      <c r="P157">
        <f>IF(D157="","",IF(LEN(TRIM(D157))&lt;&gt;9,"REVISAR",IFERROR(IF(OR(ISNUMBER(VALUE(LEFT(UPPER(TRIM(D157)),1))),LEFT(UPPER(TRIM(D157)),1)="X",LEFT(UPPER(TRIM(D157)),1)="Y",LEFT(UPPER(TRIM(D157)),1)="Z"),IF(MID("TRWAGMYFPDXBNJZSQVHLCKE",MOD(VALUE(SUBSTITUTE(SUBSTITUTE(SUBSTITUTE(LEFT(UPPER(TRIM(D157)),8),"X","0"),"Y","1"),"Z","2")),23)+1,1)=RIGHT(UPPER(TRIM(D157)),1),"OK","REVISAR"),IF(OR(RIGHT(UPPER(TRIM(D157)),1)=TEXT(MOD(10-MOD((VALUE(MID(UPPER(TRIM(D157)),3,1))+VALUE(MID(UPPER(TRIM(D157)),5,1))+VALUE(MID(UPPER(TRIM(D157)),7,1)))+(INT(2*VALUE(MID(UPPER(TRIM(D157)),2,1))/10)+MOD(2*VALUE(MID(UPPER(TRIM(D157)),2,1)),10))+(INT(2*VALUE(MID(UPPER(TRIM(D157)),4,1))/10)+MOD(2*VALUE(MID(UPPER(TRIM(D157)),4,1)),10))+(INT(2*VALUE(MID(UPPER(TRIM(D157)),6,1))/10)+MOD(2*VALUE(MID(UPPER(TRIM(D157)),6,1)),10))+(INT(2*VALUE(MID(UPPER(TRIM(D157)),8,1))/10)+MOD(2*VALUE(MID(UPPER(TRIM(D157)),8,1)),10)),10),10),"0"),RIGHT(UPPER(TRIM(D157)),1)=MID("JABCDEFGHI",MOD(10-MOD((VALUE(MID(UPPER(TRIM(D157)),3,1))+VALUE(MID(UPPER(TRIM(D157)),5,1))+VALUE(MID(UPPER(TRIM(D157)),7,1)))+(INT(2*VALUE(MID(UPPER(TRIM(D157)),2,1))/10)+MOD(2*VALUE(MID(UPPER(TRIM(D157)),2,1)),10))+(INT(2*VALUE(MID(UPPER(TRIM(D157)),4,1))/10)+MOD(2*VALUE(MID(UPPER(TRIM(D157)),4,1)),10))+(INT(2*VALUE(MID(UPPER(TRIM(D157)),6,1))/10)+MOD(2*VALUE(MID(UPPER(TRIM(D157)),6,1)),10))+(INT(2*VALUE(MID(UPPER(TRIM(D157)),8,1))/10)+MOD(2*VALUE(MID(UPPER(TRIM(D157)),8,1)),10)),10),10)+1,1)),"OK","REVISAR")),"REVISAR")))</f>
        <v/>
      </c>
      <c r="Q157">
        <f>IF(B157="","",IF(COUNTIFS($B$2:$B$501,B157,$D$2:$D$501,D157)&gt;1,"DUPLICADA",""))</f>
        <v/>
      </c>
      <c r="R157">
        <f>IF(A157="","",ROUNDUP(MONTH(A157)/3,0))</f>
        <v/>
      </c>
      <c r="S157" s="3" t="n"/>
    </row>
    <row r="158">
      <c r="A158" s="2" t="n"/>
      <c r="B158" s="3" t="n"/>
      <c r="C158" s="3" t="n"/>
      <c r="D158" s="3" t="n"/>
      <c r="E158" s="4" t="n"/>
      <c r="F158" s="4" t="n"/>
      <c r="G158" s="4" t="n"/>
      <c r="H158" s="4" t="n"/>
      <c r="I158" s="5">
        <f>IF(E158="","",ROUND(E158*0.21,2))</f>
        <v/>
      </c>
      <c r="J158" s="5">
        <f>IF(F158="","",ROUND(F158*0.1,2))</f>
        <v/>
      </c>
      <c r="K158" s="5">
        <f>IF(G158="","",ROUND(G158*0.04,2))</f>
        <v/>
      </c>
      <c r="L158" s="4" t="n"/>
      <c r="M158" s="4" t="n"/>
      <c r="N158" s="5">
        <f>IF(A158="","",SUM(E158:K158)-N(L158))</f>
        <v/>
      </c>
      <c r="O158">
        <f>IF(OR(A158="",M158=""),"",IF(ABS(M158-N158)&lt;=0.02,"OK","REVISAR"))</f>
        <v/>
      </c>
      <c r="P158">
        <f>IF(D158="","",IF(LEN(TRIM(D158))&lt;&gt;9,"REVISAR",IFERROR(IF(OR(ISNUMBER(VALUE(LEFT(UPPER(TRIM(D158)),1))),LEFT(UPPER(TRIM(D158)),1)="X",LEFT(UPPER(TRIM(D158)),1)="Y",LEFT(UPPER(TRIM(D158)),1)="Z"),IF(MID("TRWAGMYFPDXBNJZSQVHLCKE",MOD(VALUE(SUBSTITUTE(SUBSTITUTE(SUBSTITUTE(LEFT(UPPER(TRIM(D158)),8),"X","0"),"Y","1"),"Z","2")),23)+1,1)=RIGHT(UPPER(TRIM(D158)),1),"OK","REVISAR"),IF(OR(RIGHT(UPPER(TRIM(D158)),1)=TEXT(MOD(10-MOD((VALUE(MID(UPPER(TRIM(D158)),3,1))+VALUE(MID(UPPER(TRIM(D158)),5,1))+VALUE(MID(UPPER(TRIM(D158)),7,1)))+(INT(2*VALUE(MID(UPPER(TRIM(D158)),2,1))/10)+MOD(2*VALUE(MID(UPPER(TRIM(D158)),2,1)),10))+(INT(2*VALUE(MID(UPPER(TRIM(D158)),4,1))/10)+MOD(2*VALUE(MID(UPPER(TRIM(D158)),4,1)),10))+(INT(2*VALUE(MID(UPPER(TRIM(D158)),6,1))/10)+MOD(2*VALUE(MID(UPPER(TRIM(D158)),6,1)),10))+(INT(2*VALUE(MID(UPPER(TRIM(D158)),8,1))/10)+MOD(2*VALUE(MID(UPPER(TRIM(D158)),8,1)),10)),10),10),"0"),RIGHT(UPPER(TRIM(D158)),1)=MID("JABCDEFGHI",MOD(10-MOD((VALUE(MID(UPPER(TRIM(D158)),3,1))+VALUE(MID(UPPER(TRIM(D158)),5,1))+VALUE(MID(UPPER(TRIM(D158)),7,1)))+(INT(2*VALUE(MID(UPPER(TRIM(D158)),2,1))/10)+MOD(2*VALUE(MID(UPPER(TRIM(D158)),2,1)),10))+(INT(2*VALUE(MID(UPPER(TRIM(D158)),4,1))/10)+MOD(2*VALUE(MID(UPPER(TRIM(D158)),4,1)),10))+(INT(2*VALUE(MID(UPPER(TRIM(D158)),6,1))/10)+MOD(2*VALUE(MID(UPPER(TRIM(D158)),6,1)),10))+(INT(2*VALUE(MID(UPPER(TRIM(D158)),8,1))/10)+MOD(2*VALUE(MID(UPPER(TRIM(D158)),8,1)),10)),10),10)+1,1)),"OK","REVISAR")),"REVISAR")))</f>
        <v/>
      </c>
      <c r="Q158">
        <f>IF(B158="","",IF(COUNTIFS($B$2:$B$501,B158,$D$2:$D$501,D158)&gt;1,"DUPLICADA",""))</f>
        <v/>
      </c>
      <c r="R158">
        <f>IF(A158="","",ROUNDUP(MONTH(A158)/3,0))</f>
        <v/>
      </c>
      <c r="S158" s="3" t="n"/>
    </row>
    <row r="159">
      <c r="A159" s="2" t="n"/>
      <c r="B159" s="3" t="n"/>
      <c r="C159" s="3" t="n"/>
      <c r="D159" s="3" t="n"/>
      <c r="E159" s="4" t="n"/>
      <c r="F159" s="4" t="n"/>
      <c r="G159" s="4" t="n"/>
      <c r="H159" s="4" t="n"/>
      <c r="I159" s="5">
        <f>IF(E159="","",ROUND(E159*0.21,2))</f>
        <v/>
      </c>
      <c r="J159" s="5">
        <f>IF(F159="","",ROUND(F159*0.1,2))</f>
        <v/>
      </c>
      <c r="K159" s="5">
        <f>IF(G159="","",ROUND(G159*0.04,2))</f>
        <v/>
      </c>
      <c r="L159" s="4" t="n"/>
      <c r="M159" s="4" t="n"/>
      <c r="N159" s="5">
        <f>IF(A159="","",SUM(E159:K159)-N(L159))</f>
        <v/>
      </c>
      <c r="O159">
        <f>IF(OR(A159="",M159=""),"",IF(ABS(M159-N159)&lt;=0.02,"OK","REVISAR"))</f>
        <v/>
      </c>
      <c r="P159">
        <f>IF(D159="","",IF(LEN(TRIM(D159))&lt;&gt;9,"REVISAR",IFERROR(IF(OR(ISNUMBER(VALUE(LEFT(UPPER(TRIM(D159)),1))),LEFT(UPPER(TRIM(D159)),1)="X",LEFT(UPPER(TRIM(D159)),1)="Y",LEFT(UPPER(TRIM(D159)),1)="Z"),IF(MID("TRWAGMYFPDXBNJZSQVHLCKE",MOD(VALUE(SUBSTITUTE(SUBSTITUTE(SUBSTITUTE(LEFT(UPPER(TRIM(D159)),8),"X","0"),"Y","1"),"Z","2")),23)+1,1)=RIGHT(UPPER(TRIM(D159)),1),"OK","REVISAR"),IF(OR(RIGHT(UPPER(TRIM(D159)),1)=TEXT(MOD(10-MOD((VALUE(MID(UPPER(TRIM(D159)),3,1))+VALUE(MID(UPPER(TRIM(D159)),5,1))+VALUE(MID(UPPER(TRIM(D159)),7,1)))+(INT(2*VALUE(MID(UPPER(TRIM(D159)),2,1))/10)+MOD(2*VALUE(MID(UPPER(TRIM(D159)),2,1)),10))+(INT(2*VALUE(MID(UPPER(TRIM(D159)),4,1))/10)+MOD(2*VALUE(MID(UPPER(TRIM(D159)),4,1)),10))+(INT(2*VALUE(MID(UPPER(TRIM(D159)),6,1))/10)+MOD(2*VALUE(MID(UPPER(TRIM(D159)),6,1)),10))+(INT(2*VALUE(MID(UPPER(TRIM(D159)),8,1))/10)+MOD(2*VALUE(MID(UPPER(TRIM(D159)),8,1)),10)),10),10),"0"),RIGHT(UPPER(TRIM(D159)),1)=MID("JABCDEFGHI",MOD(10-MOD((VALUE(MID(UPPER(TRIM(D159)),3,1))+VALUE(MID(UPPER(TRIM(D159)),5,1))+VALUE(MID(UPPER(TRIM(D159)),7,1)))+(INT(2*VALUE(MID(UPPER(TRIM(D159)),2,1))/10)+MOD(2*VALUE(MID(UPPER(TRIM(D159)),2,1)),10))+(INT(2*VALUE(MID(UPPER(TRIM(D159)),4,1))/10)+MOD(2*VALUE(MID(UPPER(TRIM(D159)),4,1)),10))+(INT(2*VALUE(MID(UPPER(TRIM(D159)),6,1))/10)+MOD(2*VALUE(MID(UPPER(TRIM(D159)),6,1)),10))+(INT(2*VALUE(MID(UPPER(TRIM(D159)),8,1))/10)+MOD(2*VALUE(MID(UPPER(TRIM(D159)),8,1)),10)),10),10)+1,1)),"OK","REVISAR")),"REVISAR")))</f>
        <v/>
      </c>
      <c r="Q159">
        <f>IF(B159="","",IF(COUNTIFS($B$2:$B$501,B159,$D$2:$D$501,D159)&gt;1,"DUPLICADA",""))</f>
        <v/>
      </c>
      <c r="R159">
        <f>IF(A159="","",ROUNDUP(MONTH(A159)/3,0))</f>
        <v/>
      </c>
      <c r="S159" s="3" t="n"/>
    </row>
    <row r="160">
      <c r="A160" s="2" t="n"/>
      <c r="B160" s="3" t="n"/>
      <c r="C160" s="3" t="n"/>
      <c r="D160" s="3" t="n"/>
      <c r="E160" s="4" t="n"/>
      <c r="F160" s="4" t="n"/>
      <c r="G160" s="4" t="n"/>
      <c r="H160" s="4" t="n"/>
      <c r="I160" s="5">
        <f>IF(E160="","",ROUND(E160*0.21,2))</f>
        <v/>
      </c>
      <c r="J160" s="5">
        <f>IF(F160="","",ROUND(F160*0.1,2))</f>
        <v/>
      </c>
      <c r="K160" s="5">
        <f>IF(G160="","",ROUND(G160*0.04,2))</f>
        <v/>
      </c>
      <c r="L160" s="4" t="n"/>
      <c r="M160" s="4" t="n"/>
      <c r="N160" s="5">
        <f>IF(A160="","",SUM(E160:K160)-N(L160))</f>
        <v/>
      </c>
      <c r="O160">
        <f>IF(OR(A160="",M160=""),"",IF(ABS(M160-N160)&lt;=0.02,"OK","REVISAR"))</f>
        <v/>
      </c>
      <c r="P160">
        <f>IF(D160="","",IF(LEN(TRIM(D160))&lt;&gt;9,"REVISAR",IFERROR(IF(OR(ISNUMBER(VALUE(LEFT(UPPER(TRIM(D160)),1))),LEFT(UPPER(TRIM(D160)),1)="X",LEFT(UPPER(TRIM(D160)),1)="Y",LEFT(UPPER(TRIM(D160)),1)="Z"),IF(MID("TRWAGMYFPDXBNJZSQVHLCKE",MOD(VALUE(SUBSTITUTE(SUBSTITUTE(SUBSTITUTE(LEFT(UPPER(TRIM(D160)),8),"X","0"),"Y","1"),"Z","2")),23)+1,1)=RIGHT(UPPER(TRIM(D160)),1),"OK","REVISAR"),IF(OR(RIGHT(UPPER(TRIM(D160)),1)=TEXT(MOD(10-MOD((VALUE(MID(UPPER(TRIM(D160)),3,1))+VALUE(MID(UPPER(TRIM(D160)),5,1))+VALUE(MID(UPPER(TRIM(D160)),7,1)))+(INT(2*VALUE(MID(UPPER(TRIM(D160)),2,1))/10)+MOD(2*VALUE(MID(UPPER(TRIM(D160)),2,1)),10))+(INT(2*VALUE(MID(UPPER(TRIM(D160)),4,1))/10)+MOD(2*VALUE(MID(UPPER(TRIM(D160)),4,1)),10))+(INT(2*VALUE(MID(UPPER(TRIM(D160)),6,1))/10)+MOD(2*VALUE(MID(UPPER(TRIM(D160)),6,1)),10))+(INT(2*VALUE(MID(UPPER(TRIM(D160)),8,1))/10)+MOD(2*VALUE(MID(UPPER(TRIM(D160)),8,1)),10)),10),10),"0"),RIGHT(UPPER(TRIM(D160)),1)=MID("JABCDEFGHI",MOD(10-MOD((VALUE(MID(UPPER(TRIM(D160)),3,1))+VALUE(MID(UPPER(TRIM(D160)),5,1))+VALUE(MID(UPPER(TRIM(D160)),7,1)))+(INT(2*VALUE(MID(UPPER(TRIM(D160)),2,1))/10)+MOD(2*VALUE(MID(UPPER(TRIM(D160)),2,1)),10))+(INT(2*VALUE(MID(UPPER(TRIM(D160)),4,1))/10)+MOD(2*VALUE(MID(UPPER(TRIM(D160)),4,1)),10))+(INT(2*VALUE(MID(UPPER(TRIM(D160)),6,1))/10)+MOD(2*VALUE(MID(UPPER(TRIM(D160)),6,1)),10))+(INT(2*VALUE(MID(UPPER(TRIM(D160)),8,1))/10)+MOD(2*VALUE(MID(UPPER(TRIM(D160)),8,1)),10)),10),10)+1,1)),"OK","REVISAR")),"REVISAR")))</f>
        <v/>
      </c>
      <c r="Q160">
        <f>IF(B160="","",IF(COUNTIFS($B$2:$B$501,B160,$D$2:$D$501,D160)&gt;1,"DUPLICADA",""))</f>
        <v/>
      </c>
      <c r="R160">
        <f>IF(A160="","",ROUNDUP(MONTH(A160)/3,0))</f>
        <v/>
      </c>
      <c r="S160" s="3" t="n"/>
    </row>
    <row r="161">
      <c r="A161" s="2" t="n"/>
      <c r="B161" s="3" t="n"/>
      <c r="C161" s="3" t="n"/>
      <c r="D161" s="3" t="n"/>
      <c r="E161" s="4" t="n"/>
      <c r="F161" s="4" t="n"/>
      <c r="G161" s="4" t="n"/>
      <c r="H161" s="4" t="n"/>
      <c r="I161" s="5">
        <f>IF(E161="","",ROUND(E161*0.21,2))</f>
        <v/>
      </c>
      <c r="J161" s="5">
        <f>IF(F161="","",ROUND(F161*0.1,2))</f>
        <v/>
      </c>
      <c r="K161" s="5">
        <f>IF(G161="","",ROUND(G161*0.04,2))</f>
        <v/>
      </c>
      <c r="L161" s="4" t="n"/>
      <c r="M161" s="4" t="n"/>
      <c r="N161" s="5">
        <f>IF(A161="","",SUM(E161:K161)-N(L161))</f>
        <v/>
      </c>
      <c r="O161">
        <f>IF(OR(A161="",M161=""),"",IF(ABS(M161-N161)&lt;=0.02,"OK","REVISAR"))</f>
        <v/>
      </c>
      <c r="P161">
        <f>IF(D161="","",IF(LEN(TRIM(D161))&lt;&gt;9,"REVISAR",IFERROR(IF(OR(ISNUMBER(VALUE(LEFT(UPPER(TRIM(D161)),1))),LEFT(UPPER(TRIM(D161)),1)="X",LEFT(UPPER(TRIM(D161)),1)="Y",LEFT(UPPER(TRIM(D161)),1)="Z"),IF(MID("TRWAGMYFPDXBNJZSQVHLCKE",MOD(VALUE(SUBSTITUTE(SUBSTITUTE(SUBSTITUTE(LEFT(UPPER(TRIM(D161)),8),"X","0"),"Y","1"),"Z","2")),23)+1,1)=RIGHT(UPPER(TRIM(D161)),1),"OK","REVISAR"),IF(OR(RIGHT(UPPER(TRIM(D161)),1)=TEXT(MOD(10-MOD((VALUE(MID(UPPER(TRIM(D161)),3,1))+VALUE(MID(UPPER(TRIM(D161)),5,1))+VALUE(MID(UPPER(TRIM(D161)),7,1)))+(INT(2*VALUE(MID(UPPER(TRIM(D161)),2,1))/10)+MOD(2*VALUE(MID(UPPER(TRIM(D161)),2,1)),10))+(INT(2*VALUE(MID(UPPER(TRIM(D161)),4,1))/10)+MOD(2*VALUE(MID(UPPER(TRIM(D161)),4,1)),10))+(INT(2*VALUE(MID(UPPER(TRIM(D161)),6,1))/10)+MOD(2*VALUE(MID(UPPER(TRIM(D161)),6,1)),10))+(INT(2*VALUE(MID(UPPER(TRIM(D161)),8,1))/10)+MOD(2*VALUE(MID(UPPER(TRIM(D161)),8,1)),10)),10),10),"0"),RIGHT(UPPER(TRIM(D161)),1)=MID("JABCDEFGHI",MOD(10-MOD((VALUE(MID(UPPER(TRIM(D161)),3,1))+VALUE(MID(UPPER(TRIM(D161)),5,1))+VALUE(MID(UPPER(TRIM(D161)),7,1)))+(INT(2*VALUE(MID(UPPER(TRIM(D161)),2,1))/10)+MOD(2*VALUE(MID(UPPER(TRIM(D161)),2,1)),10))+(INT(2*VALUE(MID(UPPER(TRIM(D161)),4,1))/10)+MOD(2*VALUE(MID(UPPER(TRIM(D161)),4,1)),10))+(INT(2*VALUE(MID(UPPER(TRIM(D161)),6,1))/10)+MOD(2*VALUE(MID(UPPER(TRIM(D161)),6,1)),10))+(INT(2*VALUE(MID(UPPER(TRIM(D161)),8,1))/10)+MOD(2*VALUE(MID(UPPER(TRIM(D161)),8,1)),10)),10),10)+1,1)),"OK","REVISAR")),"REVISAR")))</f>
        <v/>
      </c>
      <c r="Q161">
        <f>IF(B161="","",IF(COUNTIFS($B$2:$B$501,B161,$D$2:$D$501,D161)&gt;1,"DUPLICADA",""))</f>
        <v/>
      </c>
      <c r="R161">
        <f>IF(A161="","",ROUNDUP(MONTH(A161)/3,0))</f>
        <v/>
      </c>
      <c r="S161" s="3" t="n"/>
    </row>
    <row r="162">
      <c r="A162" s="2" t="n"/>
      <c r="B162" s="3" t="n"/>
      <c r="C162" s="3" t="n"/>
      <c r="D162" s="3" t="n"/>
      <c r="E162" s="4" t="n"/>
      <c r="F162" s="4" t="n"/>
      <c r="G162" s="4" t="n"/>
      <c r="H162" s="4" t="n"/>
      <c r="I162" s="5">
        <f>IF(E162="","",ROUND(E162*0.21,2))</f>
        <v/>
      </c>
      <c r="J162" s="5">
        <f>IF(F162="","",ROUND(F162*0.1,2))</f>
        <v/>
      </c>
      <c r="K162" s="5">
        <f>IF(G162="","",ROUND(G162*0.04,2))</f>
        <v/>
      </c>
      <c r="L162" s="4" t="n"/>
      <c r="M162" s="4" t="n"/>
      <c r="N162" s="5">
        <f>IF(A162="","",SUM(E162:K162)-N(L162))</f>
        <v/>
      </c>
      <c r="O162">
        <f>IF(OR(A162="",M162=""),"",IF(ABS(M162-N162)&lt;=0.02,"OK","REVISAR"))</f>
        <v/>
      </c>
      <c r="P162">
        <f>IF(D162="","",IF(LEN(TRIM(D162))&lt;&gt;9,"REVISAR",IFERROR(IF(OR(ISNUMBER(VALUE(LEFT(UPPER(TRIM(D162)),1))),LEFT(UPPER(TRIM(D162)),1)="X",LEFT(UPPER(TRIM(D162)),1)="Y",LEFT(UPPER(TRIM(D162)),1)="Z"),IF(MID("TRWAGMYFPDXBNJZSQVHLCKE",MOD(VALUE(SUBSTITUTE(SUBSTITUTE(SUBSTITUTE(LEFT(UPPER(TRIM(D162)),8),"X","0"),"Y","1"),"Z","2")),23)+1,1)=RIGHT(UPPER(TRIM(D162)),1),"OK","REVISAR"),IF(OR(RIGHT(UPPER(TRIM(D162)),1)=TEXT(MOD(10-MOD((VALUE(MID(UPPER(TRIM(D162)),3,1))+VALUE(MID(UPPER(TRIM(D162)),5,1))+VALUE(MID(UPPER(TRIM(D162)),7,1)))+(INT(2*VALUE(MID(UPPER(TRIM(D162)),2,1))/10)+MOD(2*VALUE(MID(UPPER(TRIM(D162)),2,1)),10))+(INT(2*VALUE(MID(UPPER(TRIM(D162)),4,1))/10)+MOD(2*VALUE(MID(UPPER(TRIM(D162)),4,1)),10))+(INT(2*VALUE(MID(UPPER(TRIM(D162)),6,1))/10)+MOD(2*VALUE(MID(UPPER(TRIM(D162)),6,1)),10))+(INT(2*VALUE(MID(UPPER(TRIM(D162)),8,1))/10)+MOD(2*VALUE(MID(UPPER(TRIM(D162)),8,1)),10)),10),10),"0"),RIGHT(UPPER(TRIM(D162)),1)=MID("JABCDEFGHI",MOD(10-MOD((VALUE(MID(UPPER(TRIM(D162)),3,1))+VALUE(MID(UPPER(TRIM(D162)),5,1))+VALUE(MID(UPPER(TRIM(D162)),7,1)))+(INT(2*VALUE(MID(UPPER(TRIM(D162)),2,1))/10)+MOD(2*VALUE(MID(UPPER(TRIM(D162)),2,1)),10))+(INT(2*VALUE(MID(UPPER(TRIM(D162)),4,1))/10)+MOD(2*VALUE(MID(UPPER(TRIM(D162)),4,1)),10))+(INT(2*VALUE(MID(UPPER(TRIM(D162)),6,1))/10)+MOD(2*VALUE(MID(UPPER(TRIM(D162)),6,1)),10))+(INT(2*VALUE(MID(UPPER(TRIM(D162)),8,1))/10)+MOD(2*VALUE(MID(UPPER(TRIM(D162)),8,1)),10)),10),10)+1,1)),"OK","REVISAR")),"REVISAR")))</f>
        <v/>
      </c>
      <c r="Q162">
        <f>IF(B162="","",IF(COUNTIFS($B$2:$B$501,B162,$D$2:$D$501,D162)&gt;1,"DUPLICADA",""))</f>
        <v/>
      </c>
      <c r="R162">
        <f>IF(A162="","",ROUNDUP(MONTH(A162)/3,0))</f>
        <v/>
      </c>
      <c r="S162" s="3" t="n"/>
    </row>
    <row r="163">
      <c r="A163" s="2" t="n"/>
      <c r="B163" s="3" t="n"/>
      <c r="C163" s="3" t="n"/>
      <c r="D163" s="3" t="n"/>
      <c r="E163" s="4" t="n"/>
      <c r="F163" s="4" t="n"/>
      <c r="G163" s="4" t="n"/>
      <c r="H163" s="4" t="n"/>
      <c r="I163" s="5">
        <f>IF(E163="","",ROUND(E163*0.21,2))</f>
        <v/>
      </c>
      <c r="J163" s="5">
        <f>IF(F163="","",ROUND(F163*0.1,2))</f>
        <v/>
      </c>
      <c r="K163" s="5">
        <f>IF(G163="","",ROUND(G163*0.04,2))</f>
        <v/>
      </c>
      <c r="L163" s="4" t="n"/>
      <c r="M163" s="4" t="n"/>
      <c r="N163" s="5">
        <f>IF(A163="","",SUM(E163:K163)-N(L163))</f>
        <v/>
      </c>
      <c r="O163">
        <f>IF(OR(A163="",M163=""),"",IF(ABS(M163-N163)&lt;=0.02,"OK","REVISAR"))</f>
        <v/>
      </c>
      <c r="P163">
        <f>IF(D163="","",IF(LEN(TRIM(D163))&lt;&gt;9,"REVISAR",IFERROR(IF(OR(ISNUMBER(VALUE(LEFT(UPPER(TRIM(D163)),1))),LEFT(UPPER(TRIM(D163)),1)="X",LEFT(UPPER(TRIM(D163)),1)="Y",LEFT(UPPER(TRIM(D163)),1)="Z"),IF(MID("TRWAGMYFPDXBNJZSQVHLCKE",MOD(VALUE(SUBSTITUTE(SUBSTITUTE(SUBSTITUTE(LEFT(UPPER(TRIM(D163)),8),"X","0"),"Y","1"),"Z","2")),23)+1,1)=RIGHT(UPPER(TRIM(D163)),1),"OK","REVISAR"),IF(OR(RIGHT(UPPER(TRIM(D163)),1)=TEXT(MOD(10-MOD((VALUE(MID(UPPER(TRIM(D163)),3,1))+VALUE(MID(UPPER(TRIM(D163)),5,1))+VALUE(MID(UPPER(TRIM(D163)),7,1)))+(INT(2*VALUE(MID(UPPER(TRIM(D163)),2,1))/10)+MOD(2*VALUE(MID(UPPER(TRIM(D163)),2,1)),10))+(INT(2*VALUE(MID(UPPER(TRIM(D163)),4,1))/10)+MOD(2*VALUE(MID(UPPER(TRIM(D163)),4,1)),10))+(INT(2*VALUE(MID(UPPER(TRIM(D163)),6,1))/10)+MOD(2*VALUE(MID(UPPER(TRIM(D163)),6,1)),10))+(INT(2*VALUE(MID(UPPER(TRIM(D163)),8,1))/10)+MOD(2*VALUE(MID(UPPER(TRIM(D163)),8,1)),10)),10),10),"0"),RIGHT(UPPER(TRIM(D163)),1)=MID("JABCDEFGHI",MOD(10-MOD((VALUE(MID(UPPER(TRIM(D163)),3,1))+VALUE(MID(UPPER(TRIM(D163)),5,1))+VALUE(MID(UPPER(TRIM(D163)),7,1)))+(INT(2*VALUE(MID(UPPER(TRIM(D163)),2,1))/10)+MOD(2*VALUE(MID(UPPER(TRIM(D163)),2,1)),10))+(INT(2*VALUE(MID(UPPER(TRIM(D163)),4,1))/10)+MOD(2*VALUE(MID(UPPER(TRIM(D163)),4,1)),10))+(INT(2*VALUE(MID(UPPER(TRIM(D163)),6,1))/10)+MOD(2*VALUE(MID(UPPER(TRIM(D163)),6,1)),10))+(INT(2*VALUE(MID(UPPER(TRIM(D163)),8,1))/10)+MOD(2*VALUE(MID(UPPER(TRIM(D163)),8,1)),10)),10),10)+1,1)),"OK","REVISAR")),"REVISAR")))</f>
        <v/>
      </c>
      <c r="Q163">
        <f>IF(B163="","",IF(COUNTIFS($B$2:$B$501,B163,$D$2:$D$501,D163)&gt;1,"DUPLICADA",""))</f>
        <v/>
      </c>
      <c r="R163">
        <f>IF(A163="","",ROUNDUP(MONTH(A163)/3,0))</f>
        <v/>
      </c>
      <c r="S163" s="3" t="n"/>
    </row>
    <row r="164">
      <c r="A164" s="2" t="n"/>
      <c r="B164" s="3" t="n"/>
      <c r="C164" s="3" t="n"/>
      <c r="D164" s="3" t="n"/>
      <c r="E164" s="4" t="n"/>
      <c r="F164" s="4" t="n"/>
      <c r="G164" s="4" t="n"/>
      <c r="H164" s="4" t="n"/>
      <c r="I164" s="5">
        <f>IF(E164="","",ROUND(E164*0.21,2))</f>
        <v/>
      </c>
      <c r="J164" s="5">
        <f>IF(F164="","",ROUND(F164*0.1,2))</f>
        <v/>
      </c>
      <c r="K164" s="5">
        <f>IF(G164="","",ROUND(G164*0.04,2))</f>
        <v/>
      </c>
      <c r="L164" s="4" t="n"/>
      <c r="M164" s="4" t="n"/>
      <c r="N164" s="5">
        <f>IF(A164="","",SUM(E164:K164)-N(L164))</f>
        <v/>
      </c>
      <c r="O164">
        <f>IF(OR(A164="",M164=""),"",IF(ABS(M164-N164)&lt;=0.02,"OK","REVISAR"))</f>
        <v/>
      </c>
      <c r="P164">
        <f>IF(D164="","",IF(LEN(TRIM(D164))&lt;&gt;9,"REVISAR",IFERROR(IF(OR(ISNUMBER(VALUE(LEFT(UPPER(TRIM(D164)),1))),LEFT(UPPER(TRIM(D164)),1)="X",LEFT(UPPER(TRIM(D164)),1)="Y",LEFT(UPPER(TRIM(D164)),1)="Z"),IF(MID("TRWAGMYFPDXBNJZSQVHLCKE",MOD(VALUE(SUBSTITUTE(SUBSTITUTE(SUBSTITUTE(LEFT(UPPER(TRIM(D164)),8),"X","0"),"Y","1"),"Z","2")),23)+1,1)=RIGHT(UPPER(TRIM(D164)),1),"OK","REVISAR"),IF(OR(RIGHT(UPPER(TRIM(D164)),1)=TEXT(MOD(10-MOD((VALUE(MID(UPPER(TRIM(D164)),3,1))+VALUE(MID(UPPER(TRIM(D164)),5,1))+VALUE(MID(UPPER(TRIM(D164)),7,1)))+(INT(2*VALUE(MID(UPPER(TRIM(D164)),2,1))/10)+MOD(2*VALUE(MID(UPPER(TRIM(D164)),2,1)),10))+(INT(2*VALUE(MID(UPPER(TRIM(D164)),4,1))/10)+MOD(2*VALUE(MID(UPPER(TRIM(D164)),4,1)),10))+(INT(2*VALUE(MID(UPPER(TRIM(D164)),6,1))/10)+MOD(2*VALUE(MID(UPPER(TRIM(D164)),6,1)),10))+(INT(2*VALUE(MID(UPPER(TRIM(D164)),8,1))/10)+MOD(2*VALUE(MID(UPPER(TRIM(D164)),8,1)),10)),10),10),"0"),RIGHT(UPPER(TRIM(D164)),1)=MID("JABCDEFGHI",MOD(10-MOD((VALUE(MID(UPPER(TRIM(D164)),3,1))+VALUE(MID(UPPER(TRIM(D164)),5,1))+VALUE(MID(UPPER(TRIM(D164)),7,1)))+(INT(2*VALUE(MID(UPPER(TRIM(D164)),2,1))/10)+MOD(2*VALUE(MID(UPPER(TRIM(D164)),2,1)),10))+(INT(2*VALUE(MID(UPPER(TRIM(D164)),4,1))/10)+MOD(2*VALUE(MID(UPPER(TRIM(D164)),4,1)),10))+(INT(2*VALUE(MID(UPPER(TRIM(D164)),6,1))/10)+MOD(2*VALUE(MID(UPPER(TRIM(D164)),6,1)),10))+(INT(2*VALUE(MID(UPPER(TRIM(D164)),8,1))/10)+MOD(2*VALUE(MID(UPPER(TRIM(D164)),8,1)),10)),10),10)+1,1)),"OK","REVISAR")),"REVISAR")))</f>
        <v/>
      </c>
      <c r="Q164">
        <f>IF(B164="","",IF(COUNTIFS($B$2:$B$501,B164,$D$2:$D$501,D164)&gt;1,"DUPLICADA",""))</f>
        <v/>
      </c>
      <c r="R164">
        <f>IF(A164="","",ROUNDUP(MONTH(A164)/3,0))</f>
        <v/>
      </c>
      <c r="S164" s="3" t="n"/>
    </row>
    <row r="165">
      <c r="A165" s="2" t="n"/>
      <c r="B165" s="3" t="n"/>
      <c r="C165" s="3" t="n"/>
      <c r="D165" s="3" t="n"/>
      <c r="E165" s="4" t="n"/>
      <c r="F165" s="4" t="n"/>
      <c r="G165" s="4" t="n"/>
      <c r="H165" s="4" t="n"/>
      <c r="I165" s="5">
        <f>IF(E165="","",ROUND(E165*0.21,2))</f>
        <v/>
      </c>
      <c r="J165" s="5">
        <f>IF(F165="","",ROUND(F165*0.1,2))</f>
        <v/>
      </c>
      <c r="K165" s="5">
        <f>IF(G165="","",ROUND(G165*0.04,2))</f>
        <v/>
      </c>
      <c r="L165" s="4" t="n"/>
      <c r="M165" s="4" t="n"/>
      <c r="N165" s="5">
        <f>IF(A165="","",SUM(E165:K165)-N(L165))</f>
        <v/>
      </c>
      <c r="O165">
        <f>IF(OR(A165="",M165=""),"",IF(ABS(M165-N165)&lt;=0.02,"OK","REVISAR"))</f>
        <v/>
      </c>
      <c r="P165">
        <f>IF(D165="","",IF(LEN(TRIM(D165))&lt;&gt;9,"REVISAR",IFERROR(IF(OR(ISNUMBER(VALUE(LEFT(UPPER(TRIM(D165)),1))),LEFT(UPPER(TRIM(D165)),1)="X",LEFT(UPPER(TRIM(D165)),1)="Y",LEFT(UPPER(TRIM(D165)),1)="Z"),IF(MID("TRWAGMYFPDXBNJZSQVHLCKE",MOD(VALUE(SUBSTITUTE(SUBSTITUTE(SUBSTITUTE(LEFT(UPPER(TRIM(D165)),8),"X","0"),"Y","1"),"Z","2")),23)+1,1)=RIGHT(UPPER(TRIM(D165)),1),"OK","REVISAR"),IF(OR(RIGHT(UPPER(TRIM(D165)),1)=TEXT(MOD(10-MOD((VALUE(MID(UPPER(TRIM(D165)),3,1))+VALUE(MID(UPPER(TRIM(D165)),5,1))+VALUE(MID(UPPER(TRIM(D165)),7,1)))+(INT(2*VALUE(MID(UPPER(TRIM(D165)),2,1))/10)+MOD(2*VALUE(MID(UPPER(TRIM(D165)),2,1)),10))+(INT(2*VALUE(MID(UPPER(TRIM(D165)),4,1))/10)+MOD(2*VALUE(MID(UPPER(TRIM(D165)),4,1)),10))+(INT(2*VALUE(MID(UPPER(TRIM(D165)),6,1))/10)+MOD(2*VALUE(MID(UPPER(TRIM(D165)),6,1)),10))+(INT(2*VALUE(MID(UPPER(TRIM(D165)),8,1))/10)+MOD(2*VALUE(MID(UPPER(TRIM(D165)),8,1)),10)),10),10),"0"),RIGHT(UPPER(TRIM(D165)),1)=MID("JABCDEFGHI",MOD(10-MOD((VALUE(MID(UPPER(TRIM(D165)),3,1))+VALUE(MID(UPPER(TRIM(D165)),5,1))+VALUE(MID(UPPER(TRIM(D165)),7,1)))+(INT(2*VALUE(MID(UPPER(TRIM(D165)),2,1))/10)+MOD(2*VALUE(MID(UPPER(TRIM(D165)),2,1)),10))+(INT(2*VALUE(MID(UPPER(TRIM(D165)),4,1))/10)+MOD(2*VALUE(MID(UPPER(TRIM(D165)),4,1)),10))+(INT(2*VALUE(MID(UPPER(TRIM(D165)),6,1))/10)+MOD(2*VALUE(MID(UPPER(TRIM(D165)),6,1)),10))+(INT(2*VALUE(MID(UPPER(TRIM(D165)),8,1))/10)+MOD(2*VALUE(MID(UPPER(TRIM(D165)),8,1)),10)),10),10)+1,1)),"OK","REVISAR")),"REVISAR")))</f>
        <v/>
      </c>
      <c r="Q165">
        <f>IF(B165="","",IF(COUNTIFS($B$2:$B$501,B165,$D$2:$D$501,D165)&gt;1,"DUPLICADA",""))</f>
        <v/>
      </c>
      <c r="R165">
        <f>IF(A165="","",ROUNDUP(MONTH(A165)/3,0))</f>
        <v/>
      </c>
      <c r="S165" s="3" t="n"/>
    </row>
    <row r="166">
      <c r="A166" s="2" t="n"/>
      <c r="B166" s="3" t="n"/>
      <c r="C166" s="3" t="n"/>
      <c r="D166" s="3" t="n"/>
      <c r="E166" s="4" t="n"/>
      <c r="F166" s="4" t="n"/>
      <c r="G166" s="4" t="n"/>
      <c r="H166" s="4" t="n"/>
      <c r="I166" s="5">
        <f>IF(E166="","",ROUND(E166*0.21,2))</f>
        <v/>
      </c>
      <c r="J166" s="5">
        <f>IF(F166="","",ROUND(F166*0.1,2))</f>
        <v/>
      </c>
      <c r="K166" s="5">
        <f>IF(G166="","",ROUND(G166*0.04,2))</f>
        <v/>
      </c>
      <c r="L166" s="4" t="n"/>
      <c r="M166" s="4" t="n"/>
      <c r="N166" s="5">
        <f>IF(A166="","",SUM(E166:K166)-N(L166))</f>
        <v/>
      </c>
      <c r="O166">
        <f>IF(OR(A166="",M166=""),"",IF(ABS(M166-N166)&lt;=0.02,"OK","REVISAR"))</f>
        <v/>
      </c>
      <c r="P166">
        <f>IF(D166="","",IF(LEN(TRIM(D166))&lt;&gt;9,"REVISAR",IFERROR(IF(OR(ISNUMBER(VALUE(LEFT(UPPER(TRIM(D166)),1))),LEFT(UPPER(TRIM(D166)),1)="X",LEFT(UPPER(TRIM(D166)),1)="Y",LEFT(UPPER(TRIM(D166)),1)="Z"),IF(MID("TRWAGMYFPDXBNJZSQVHLCKE",MOD(VALUE(SUBSTITUTE(SUBSTITUTE(SUBSTITUTE(LEFT(UPPER(TRIM(D166)),8),"X","0"),"Y","1"),"Z","2")),23)+1,1)=RIGHT(UPPER(TRIM(D166)),1),"OK","REVISAR"),IF(OR(RIGHT(UPPER(TRIM(D166)),1)=TEXT(MOD(10-MOD((VALUE(MID(UPPER(TRIM(D166)),3,1))+VALUE(MID(UPPER(TRIM(D166)),5,1))+VALUE(MID(UPPER(TRIM(D166)),7,1)))+(INT(2*VALUE(MID(UPPER(TRIM(D166)),2,1))/10)+MOD(2*VALUE(MID(UPPER(TRIM(D166)),2,1)),10))+(INT(2*VALUE(MID(UPPER(TRIM(D166)),4,1))/10)+MOD(2*VALUE(MID(UPPER(TRIM(D166)),4,1)),10))+(INT(2*VALUE(MID(UPPER(TRIM(D166)),6,1))/10)+MOD(2*VALUE(MID(UPPER(TRIM(D166)),6,1)),10))+(INT(2*VALUE(MID(UPPER(TRIM(D166)),8,1))/10)+MOD(2*VALUE(MID(UPPER(TRIM(D166)),8,1)),10)),10),10),"0"),RIGHT(UPPER(TRIM(D166)),1)=MID("JABCDEFGHI",MOD(10-MOD((VALUE(MID(UPPER(TRIM(D166)),3,1))+VALUE(MID(UPPER(TRIM(D166)),5,1))+VALUE(MID(UPPER(TRIM(D166)),7,1)))+(INT(2*VALUE(MID(UPPER(TRIM(D166)),2,1))/10)+MOD(2*VALUE(MID(UPPER(TRIM(D166)),2,1)),10))+(INT(2*VALUE(MID(UPPER(TRIM(D166)),4,1))/10)+MOD(2*VALUE(MID(UPPER(TRIM(D166)),4,1)),10))+(INT(2*VALUE(MID(UPPER(TRIM(D166)),6,1))/10)+MOD(2*VALUE(MID(UPPER(TRIM(D166)),6,1)),10))+(INT(2*VALUE(MID(UPPER(TRIM(D166)),8,1))/10)+MOD(2*VALUE(MID(UPPER(TRIM(D166)),8,1)),10)),10),10)+1,1)),"OK","REVISAR")),"REVISAR")))</f>
        <v/>
      </c>
      <c r="Q166">
        <f>IF(B166="","",IF(COUNTIFS($B$2:$B$501,B166,$D$2:$D$501,D166)&gt;1,"DUPLICADA",""))</f>
        <v/>
      </c>
      <c r="R166">
        <f>IF(A166="","",ROUNDUP(MONTH(A166)/3,0))</f>
        <v/>
      </c>
      <c r="S166" s="3" t="n"/>
    </row>
    <row r="167">
      <c r="A167" s="2" t="n"/>
      <c r="B167" s="3" t="n"/>
      <c r="C167" s="3" t="n"/>
      <c r="D167" s="3" t="n"/>
      <c r="E167" s="4" t="n"/>
      <c r="F167" s="4" t="n"/>
      <c r="G167" s="4" t="n"/>
      <c r="H167" s="4" t="n"/>
      <c r="I167" s="5">
        <f>IF(E167="","",ROUND(E167*0.21,2))</f>
        <v/>
      </c>
      <c r="J167" s="5">
        <f>IF(F167="","",ROUND(F167*0.1,2))</f>
        <v/>
      </c>
      <c r="K167" s="5">
        <f>IF(G167="","",ROUND(G167*0.04,2))</f>
        <v/>
      </c>
      <c r="L167" s="4" t="n"/>
      <c r="M167" s="4" t="n"/>
      <c r="N167" s="5">
        <f>IF(A167="","",SUM(E167:K167)-N(L167))</f>
        <v/>
      </c>
      <c r="O167">
        <f>IF(OR(A167="",M167=""),"",IF(ABS(M167-N167)&lt;=0.02,"OK","REVISAR"))</f>
        <v/>
      </c>
      <c r="P167">
        <f>IF(D167="","",IF(LEN(TRIM(D167))&lt;&gt;9,"REVISAR",IFERROR(IF(OR(ISNUMBER(VALUE(LEFT(UPPER(TRIM(D167)),1))),LEFT(UPPER(TRIM(D167)),1)="X",LEFT(UPPER(TRIM(D167)),1)="Y",LEFT(UPPER(TRIM(D167)),1)="Z"),IF(MID("TRWAGMYFPDXBNJZSQVHLCKE",MOD(VALUE(SUBSTITUTE(SUBSTITUTE(SUBSTITUTE(LEFT(UPPER(TRIM(D167)),8),"X","0"),"Y","1"),"Z","2")),23)+1,1)=RIGHT(UPPER(TRIM(D167)),1),"OK","REVISAR"),IF(OR(RIGHT(UPPER(TRIM(D167)),1)=TEXT(MOD(10-MOD((VALUE(MID(UPPER(TRIM(D167)),3,1))+VALUE(MID(UPPER(TRIM(D167)),5,1))+VALUE(MID(UPPER(TRIM(D167)),7,1)))+(INT(2*VALUE(MID(UPPER(TRIM(D167)),2,1))/10)+MOD(2*VALUE(MID(UPPER(TRIM(D167)),2,1)),10))+(INT(2*VALUE(MID(UPPER(TRIM(D167)),4,1))/10)+MOD(2*VALUE(MID(UPPER(TRIM(D167)),4,1)),10))+(INT(2*VALUE(MID(UPPER(TRIM(D167)),6,1))/10)+MOD(2*VALUE(MID(UPPER(TRIM(D167)),6,1)),10))+(INT(2*VALUE(MID(UPPER(TRIM(D167)),8,1))/10)+MOD(2*VALUE(MID(UPPER(TRIM(D167)),8,1)),10)),10),10),"0"),RIGHT(UPPER(TRIM(D167)),1)=MID("JABCDEFGHI",MOD(10-MOD((VALUE(MID(UPPER(TRIM(D167)),3,1))+VALUE(MID(UPPER(TRIM(D167)),5,1))+VALUE(MID(UPPER(TRIM(D167)),7,1)))+(INT(2*VALUE(MID(UPPER(TRIM(D167)),2,1))/10)+MOD(2*VALUE(MID(UPPER(TRIM(D167)),2,1)),10))+(INT(2*VALUE(MID(UPPER(TRIM(D167)),4,1))/10)+MOD(2*VALUE(MID(UPPER(TRIM(D167)),4,1)),10))+(INT(2*VALUE(MID(UPPER(TRIM(D167)),6,1))/10)+MOD(2*VALUE(MID(UPPER(TRIM(D167)),6,1)),10))+(INT(2*VALUE(MID(UPPER(TRIM(D167)),8,1))/10)+MOD(2*VALUE(MID(UPPER(TRIM(D167)),8,1)),10)),10),10)+1,1)),"OK","REVISAR")),"REVISAR")))</f>
        <v/>
      </c>
      <c r="Q167">
        <f>IF(B167="","",IF(COUNTIFS($B$2:$B$501,B167,$D$2:$D$501,D167)&gt;1,"DUPLICADA",""))</f>
        <v/>
      </c>
      <c r="R167">
        <f>IF(A167="","",ROUNDUP(MONTH(A167)/3,0))</f>
        <v/>
      </c>
      <c r="S167" s="3" t="n"/>
    </row>
    <row r="168">
      <c r="A168" s="2" t="n"/>
      <c r="B168" s="3" t="n"/>
      <c r="C168" s="3" t="n"/>
      <c r="D168" s="3" t="n"/>
      <c r="E168" s="4" t="n"/>
      <c r="F168" s="4" t="n"/>
      <c r="G168" s="4" t="n"/>
      <c r="H168" s="4" t="n"/>
      <c r="I168" s="5">
        <f>IF(E168="","",ROUND(E168*0.21,2))</f>
        <v/>
      </c>
      <c r="J168" s="5">
        <f>IF(F168="","",ROUND(F168*0.1,2))</f>
        <v/>
      </c>
      <c r="K168" s="5">
        <f>IF(G168="","",ROUND(G168*0.04,2))</f>
        <v/>
      </c>
      <c r="L168" s="4" t="n"/>
      <c r="M168" s="4" t="n"/>
      <c r="N168" s="5">
        <f>IF(A168="","",SUM(E168:K168)-N(L168))</f>
        <v/>
      </c>
      <c r="O168">
        <f>IF(OR(A168="",M168=""),"",IF(ABS(M168-N168)&lt;=0.02,"OK","REVISAR"))</f>
        <v/>
      </c>
      <c r="P168">
        <f>IF(D168="","",IF(LEN(TRIM(D168))&lt;&gt;9,"REVISAR",IFERROR(IF(OR(ISNUMBER(VALUE(LEFT(UPPER(TRIM(D168)),1))),LEFT(UPPER(TRIM(D168)),1)="X",LEFT(UPPER(TRIM(D168)),1)="Y",LEFT(UPPER(TRIM(D168)),1)="Z"),IF(MID("TRWAGMYFPDXBNJZSQVHLCKE",MOD(VALUE(SUBSTITUTE(SUBSTITUTE(SUBSTITUTE(LEFT(UPPER(TRIM(D168)),8),"X","0"),"Y","1"),"Z","2")),23)+1,1)=RIGHT(UPPER(TRIM(D168)),1),"OK","REVISAR"),IF(OR(RIGHT(UPPER(TRIM(D168)),1)=TEXT(MOD(10-MOD((VALUE(MID(UPPER(TRIM(D168)),3,1))+VALUE(MID(UPPER(TRIM(D168)),5,1))+VALUE(MID(UPPER(TRIM(D168)),7,1)))+(INT(2*VALUE(MID(UPPER(TRIM(D168)),2,1))/10)+MOD(2*VALUE(MID(UPPER(TRIM(D168)),2,1)),10))+(INT(2*VALUE(MID(UPPER(TRIM(D168)),4,1))/10)+MOD(2*VALUE(MID(UPPER(TRIM(D168)),4,1)),10))+(INT(2*VALUE(MID(UPPER(TRIM(D168)),6,1))/10)+MOD(2*VALUE(MID(UPPER(TRIM(D168)),6,1)),10))+(INT(2*VALUE(MID(UPPER(TRIM(D168)),8,1))/10)+MOD(2*VALUE(MID(UPPER(TRIM(D168)),8,1)),10)),10),10),"0"),RIGHT(UPPER(TRIM(D168)),1)=MID("JABCDEFGHI",MOD(10-MOD((VALUE(MID(UPPER(TRIM(D168)),3,1))+VALUE(MID(UPPER(TRIM(D168)),5,1))+VALUE(MID(UPPER(TRIM(D168)),7,1)))+(INT(2*VALUE(MID(UPPER(TRIM(D168)),2,1))/10)+MOD(2*VALUE(MID(UPPER(TRIM(D168)),2,1)),10))+(INT(2*VALUE(MID(UPPER(TRIM(D168)),4,1))/10)+MOD(2*VALUE(MID(UPPER(TRIM(D168)),4,1)),10))+(INT(2*VALUE(MID(UPPER(TRIM(D168)),6,1))/10)+MOD(2*VALUE(MID(UPPER(TRIM(D168)),6,1)),10))+(INT(2*VALUE(MID(UPPER(TRIM(D168)),8,1))/10)+MOD(2*VALUE(MID(UPPER(TRIM(D168)),8,1)),10)),10),10)+1,1)),"OK","REVISAR")),"REVISAR")))</f>
        <v/>
      </c>
      <c r="Q168">
        <f>IF(B168="","",IF(COUNTIFS($B$2:$B$501,B168,$D$2:$D$501,D168)&gt;1,"DUPLICADA",""))</f>
        <v/>
      </c>
      <c r="R168">
        <f>IF(A168="","",ROUNDUP(MONTH(A168)/3,0))</f>
        <v/>
      </c>
      <c r="S168" s="3" t="n"/>
    </row>
    <row r="169">
      <c r="A169" s="2" t="n"/>
      <c r="B169" s="3" t="n"/>
      <c r="C169" s="3" t="n"/>
      <c r="D169" s="3" t="n"/>
      <c r="E169" s="4" t="n"/>
      <c r="F169" s="4" t="n"/>
      <c r="G169" s="4" t="n"/>
      <c r="H169" s="4" t="n"/>
      <c r="I169" s="5">
        <f>IF(E169="","",ROUND(E169*0.21,2))</f>
        <v/>
      </c>
      <c r="J169" s="5">
        <f>IF(F169="","",ROUND(F169*0.1,2))</f>
        <v/>
      </c>
      <c r="K169" s="5">
        <f>IF(G169="","",ROUND(G169*0.04,2))</f>
        <v/>
      </c>
      <c r="L169" s="4" t="n"/>
      <c r="M169" s="4" t="n"/>
      <c r="N169" s="5">
        <f>IF(A169="","",SUM(E169:K169)-N(L169))</f>
        <v/>
      </c>
      <c r="O169">
        <f>IF(OR(A169="",M169=""),"",IF(ABS(M169-N169)&lt;=0.02,"OK","REVISAR"))</f>
        <v/>
      </c>
      <c r="P169">
        <f>IF(D169="","",IF(LEN(TRIM(D169))&lt;&gt;9,"REVISAR",IFERROR(IF(OR(ISNUMBER(VALUE(LEFT(UPPER(TRIM(D169)),1))),LEFT(UPPER(TRIM(D169)),1)="X",LEFT(UPPER(TRIM(D169)),1)="Y",LEFT(UPPER(TRIM(D169)),1)="Z"),IF(MID("TRWAGMYFPDXBNJZSQVHLCKE",MOD(VALUE(SUBSTITUTE(SUBSTITUTE(SUBSTITUTE(LEFT(UPPER(TRIM(D169)),8),"X","0"),"Y","1"),"Z","2")),23)+1,1)=RIGHT(UPPER(TRIM(D169)),1),"OK","REVISAR"),IF(OR(RIGHT(UPPER(TRIM(D169)),1)=TEXT(MOD(10-MOD((VALUE(MID(UPPER(TRIM(D169)),3,1))+VALUE(MID(UPPER(TRIM(D169)),5,1))+VALUE(MID(UPPER(TRIM(D169)),7,1)))+(INT(2*VALUE(MID(UPPER(TRIM(D169)),2,1))/10)+MOD(2*VALUE(MID(UPPER(TRIM(D169)),2,1)),10))+(INT(2*VALUE(MID(UPPER(TRIM(D169)),4,1))/10)+MOD(2*VALUE(MID(UPPER(TRIM(D169)),4,1)),10))+(INT(2*VALUE(MID(UPPER(TRIM(D169)),6,1))/10)+MOD(2*VALUE(MID(UPPER(TRIM(D169)),6,1)),10))+(INT(2*VALUE(MID(UPPER(TRIM(D169)),8,1))/10)+MOD(2*VALUE(MID(UPPER(TRIM(D169)),8,1)),10)),10),10),"0"),RIGHT(UPPER(TRIM(D169)),1)=MID("JABCDEFGHI",MOD(10-MOD((VALUE(MID(UPPER(TRIM(D169)),3,1))+VALUE(MID(UPPER(TRIM(D169)),5,1))+VALUE(MID(UPPER(TRIM(D169)),7,1)))+(INT(2*VALUE(MID(UPPER(TRIM(D169)),2,1))/10)+MOD(2*VALUE(MID(UPPER(TRIM(D169)),2,1)),10))+(INT(2*VALUE(MID(UPPER(TRIM(D169)),4,1))/10)+MOD(2*VALUE(MID(UPPER(TRIM(D169)),4,1)),10))+(INT(2*VALUE(MID(UPPER(TRIM(D169)),6,1))/10)+MOD(2*VALUE(MID(UPPER(TRIM(D169)),6,1)),10))+(INT(2*VALUE(MID(UPPER(TRIM(D169)),8,1))/10)+MOD(2*VALUE(MID(UPPER(TRIM(D169)),8,1)),10)),10),10)+1,1)),"OK","REVISAR")),"REVISAR")))</f>
        <v/>
      </c>
      <c r="Q169">
        <f>IF(B169="","",IF(COUNTIFS($B$2:$B$501,B169,$D$2:$D$501,D169)&gt;1,"DUPLICADA",""))</f>
        <v/>
      </c>
      <c r="R169">
        <f>IF(A169="","",ROUNDUP(MONTH(A169)/3,0))</f>
        <v/>
      </c>
      <c r="S169" s="3" t="n"/>
    </row>
    <row r="170">
      <c r="A170" s="2" t="n"/>
      <c r="B170" s="3" t="n"/>
      <c r="C170" s="3" t="n"/>
      <c r="D170" s="3" t="n"/>
      <c r="E170" s="4" t="n"/>
      <c r="F170" s="4" t="n"/>
      <c r="G170" s="4" t="n"/>
      <c r="H170" s="4" t="n"/>
      <c r="I170" s="5">
        <f>IF(E170="","",ROUND(E170*0.21,2))</f>
        <v/>
      </c>
      <c r="J170" s="5">
        <f>IF(F170="","",ROUND(F170*0.1,2))</f>
        <v/>
      </c>
      <c r="K170" s="5">
        <f>IF(G170="","",ROUND(G170*0.04,2))</f>
        <v/>
      </c>
      <c r="L170" s="4" t="n"/>
      <c r="M170" s="4" t="n"/>
      <c r="N170" s="5">
        <f>IF(A170="","",SUM(E170:K170)-N(L170))</f>
        <v/>
      </c>
      <c r="O170">
        <f>IF(OR(A170="",M170=""),"",IF(ABS(M170-N170)&lt;=0.02,"OK","REVISAR"))</f>
        <v/>
      </c>
      <c r="P170">
        <f>IF(D170="","",IF(LEN(TRIM(D170))&lt;&gt;9,"REVISAR",IFERROR(IF(OR(ISNUMBER(VALUE(LEFT(UPPER(TRIM(D170)),1))),LEFT(UPPER(TRIM(D170)),1)="X",LEFT(UPPER(TRIM(D170)),1)="Y",LEFT(UPPER(TRIM(D170)),1)="Z"),IF(MID("TRWAGMYFPDXBNJZSQVHLCKE",MOD(VALUE(SUBSTITUTE(SUBSTITUTE(SUBSTITUTE(LEFT(UPPER(TRIM(D170)),8),"X","0"),"Y","1"),"Z","2")),23)+1,1)=RIGHT(UPPER(TRIM(D170)),1),"OK","REVISAR"),IF(OR(RIGHT(UPPER(TRIM(D170)),1)=TEXT(MOD(10-MOD((VALUE(MID(UPPER(TRIM(D170)),3,1))+VALUE(MID(UPPER(TRIM(D170)),5,1))+VALUE(MID(UPPER(TRIM(D170)),7,1)))+(INT(2*VALUE(MID(UPPER(TRIM(D170)),2,1))/10)+MOD(2*VALUE(MID(UPPER(TRIM(D170)),2,1)),10))+(INT(2*VALUE(MID(UPPER(TRIM(D170)),4,1))/10)+MOD(2*VALUE(MID(UPPER(TRIM(D170)),4,1)),10))+(INT(2*VALUE(MID(UPPER(TRIM(D170)),6,1))/10)+MOD(2*VALUE(MID(UPPER(TRIM(D170)),6,1)),10))+(INT(2*VALUE(MID(UPPER(TRIM(D170)),8,1))/10)+MOD(2*VALUE(MID(UPPER(TRIM(D170)),8,1)),10)),10),10),"0"),RIGHT(UPPER(TRIM(D170)),1)=MID("JABCDEFGHI",MOD(10-MOD((VALUE(MID(UPPER(TRIM(D170)),3,1))+VALUE(MID(UPPER(TRIM(D170)),5,1))+VALUE(MID(UPPER(TRIM(D170)),7,1)))+(INT(2*VALUE(MID(UPPER(TRIM(D170)),2,1))/10)+MOD(2*VALUE(MID(UPPER(TRIM(D170)),2,1)),10))+(INT(2*VALUE(MID(UPPER(TRIM(D170)),4,1))/10)+MOD(2*VALUE(MID(UPPER(TRIM(D170)),4,1)),10))+(INT(2*VALUE(MID(UPPER(TRIM(D170)),6,1))/10)+MOD(2*VALUE(MID(UPPER(TRIM(D170)),6,1)),10))+(INT(2*VALUE(MID(UPPER(TRIM(D170)),8,1))/10)+MOD(2*VALUE(MID(UPPER(TRIM(D170)),8,1)),10)),10),10)+1,1)),"OK","REVISAR")),"REVISAR")))</f>
        <v/>
      </c>
      <c r="Q170">
        <f>IF(B170="","",IF(COUNTIFS($B$2:$B$501,B170,$D$2:$D$501,D170)&gt;1,"DUPLICADA",""))</f>
        <v/>
      </c>
      <c r="R170">
        <f>IF(A170="","",ROUNDUP(MONTH(A170)/3,0))</f>
        <v/>
      </c>
      <c r="S170" s="3" t="n"/>
    </row>
    <row r="171">
      <c r="A171" s="2" t="n"/>
      <c r="B171" s="3" t="n"/>
      <c r="C171" s="3" t="n"/>
      <c r="D171" s="3" t="n"/>
      <c r="E171" s="4" t="n"/>
      <c r="F171" s="4" t="n"/>
      <c r="G171" s="4" t="n"/>
      <c r="H171" s="4" t="n"/>
      <c r="I171" s="5">
        <f>IF(E171="","",ROUND(E171*0.21,2))</f>
        <v/>
      </c>
      <c r="J171" s="5">
        <f>IF(F171="","",ROUND(F171*0.1,2))</f>
        <v/>
      </c>
      <c r="K171" s="5">
        <f>IF(G171="","",ROUND(G171*0.04,2))</f>
        <v/>
      </c>
      <c r="L171" s="4" t="n"/>
      <c r="M171" s="4" t="n"/>
      <c r="N171" s="5">
        <f>IF(A171="","",SUM(E171:K171)-N(L171))</f>
        <v/>
      </c>
      <c r="O171">
        <f>IF(OR(A171="",M171=""),"",IF(ABS(M171-N171)&lt;=0.02,"OK","REVISAR"))</f>
        <v/>
      </c>
      <c r="P171">
        <f>IF(D171="","",IF(LEN(TRIM(D171))&lt;&gt;9,"REVISAR",IFERROR(IF(OR(ISNUMBER(VALUE(LEFT(UPPER(TRIM(D171)),1))),LEFT(UPPER(TRIM(D171)),1)="X",LEFT(UPPER(TRIM(D171)),1)="Y",LEFT(UPPER(TRIM(D171)),1)="Z"),IF(MID("TRWAGMYFPDXBNJZSQVHLCKE",MOD(VALUE(SUBSTITUTE(SUBSTITUTE(SUBSTITUTE(LEFT(UPPER(TRIM(D171)),8),"X","0"),"Y","1"),"Z","2")),23)+1,1)=RIGHT(UPPER(TRIM(D171)),1),"OK","REVISAR"),IF(OR(RIGHT(UPPER(TRIM(D171)),1)=TEXT(MOD(10-MOD((VALUE(MID(UPPER(TRIM(D171)),3,1))+VALUE(MID(UPPER(TRIM(D171)),5,1))+VALUE(MID(UPPER(TRIM(D171)),7,1)))+(INT(2*VALUE(MID(UPPER(TRIM(D171)),2,1))/10)+MOD(2*VALUE(MID(UPPER(TRIM(D171)),2,1)),10))+(INT(2*VALUE(MID(UPPER(TRIM(D171)),4,1))/10)+MOD(2*VALUE(MID(UPPER(TRIM(D171)),4,1)),10))+(INT(2*VALUE(MID(UPPER(TRIM(D171)),6,1))/10)+MOD(2*VALUE(MID(UPPER(TRIM(D171)),6,1)),10))+(INT(2*VALUE(MID(UPPER(TRIM(D171)),8,1))/10)+MOD(2*VALUE(MID(UPPER(TRIM(D171)),8,1)),10)),10),10),"0"),RIGHT(UPPER(TRIM(D171)),1)=MID("JABCDEFGHI",MOD(10-MOD((VALUE(MID(UPPER(TRIM(D171)),3,1))+VALUE(MID(UPPER(TRIM(D171)),5,1))+VALUE(MID(UPPER(TRIM(D171)),7,1)))+(INT(2*VALUE(MID(UPPER(TRIM(D171)),2,1))/10)+MOD(2*VALUE(MID(UPPER(TRIM(D171)),2,1)),10))+(INT(2*VALUE(MID(UPPER(TRIM(D171)),4,1))/10)+MOD(2*VALUE(MID(UPPER(TRIM(D171)),4,1)),10))+(INT(2*VALUE(MID(UPPER(TRIM(D171)),6,1))/10)+MOD(2*VALUE(MID(UPPER(TRIM(D171)),6,1)),10))+(INT(2*VALUE(MID(UPPER(TRIM(D171)),8,1))/10)+MOD(2*VALUE(MID(UPPER(TRIM(D171)),8,1)),10)),10),10)+1,1)),"OK","REVISAR")),"REVISAR")))</f>
        <v/>
      </c>
      <c r="Q171">
        <f>IF(B171="","",IF(COUNTIFS($B$2:$B$501,B171,$D$2:$D$501,D171)&gt;1,"DUPLICADA",""))</f>
        <v/>
      </c>
      <c r="R171">
        <f>IF(A171="","",ROUNDUP(MONTH(A171)/3,0))</f>
        <v/>
      </c>
      <c r="S171" s="3" t="n"/>
    </row>
    <row r="172">
      <c r="A172" s="2" t="n"/>
      <c r="B172" s="3" t="n"/>
      <c r="C172" s="3" t="n"/>
      <c r="D172" s="3" t="n"/>
      <c r="E172" s="4" t="n"/>
      <c r="F172" s="4" t="n"/>
      <c r="G172" s="4" t="n"/>
      <c r="H172" s="4" t="n"/>
      <c r="I172" s="5">
        <f>IF(E172="","",ROUND(E172*0.21,2))</f>
        <v/>
      </c>
      <c r="J172" s="5">
        <f>IF(F172="","",ROUND(F172*0.1,2))</f>
        <v/>
      </c>
      <c r="K172" s="5">
        <f>IF(G172="","",ROUND(G172*0.04,2))</f>
        <v/>
      </c>
      <c r="L172" s="4" t="n"/>
      <c r="M172" s="4" t="n"/>
      <c r="N172" s="5">
        <f>IF(A172="","",SUM(E172:K172)-N(L172))</f>
        <v/>
      </c>
      <c r="O172">
        <f>IF(OR(A172="",M172=""),"",IF(ABS(M172-N172)&lt;=0.02,"OK","REVISAR"))</f>
        <v/>
      </c>
      <c r="P172">
        <f>IF(D172="","",IF(LEN(TRIM(D172))&lt;&gt;9,"REVISAR",IFERROR(IF(OR(ISNUMBER(VALUE(LEFT(UPPER(TRIM(D172)),1))),LEFT(UPPER(TRIM(D172)),1)="X",LEFT(UPPER(TRIM(D172)),1)="Y",LEFT(UPPER(TRIM(D172)),1)="Z"),IF(MID("TRWAGMYFPDXBNJZSQVHLCKE",MOD(VALUE(SUBSTITUTE(SUBSTITUTE(SUBSTITUTE(LEFT(UPPER(TRIM(D172)),8),"X","0"),"Y","1"),"Z","2")),23)+1,1)=RIGHT(UPPER(TRIM(D172)),1),"OK","REVISAR"),IF(OR(RIGHT(UPPER(TRIM(D172)),1)=TEXT(MOD(10-MOD((VALUE(MID(UPPER(TRIM(D172)),3,1))+VALUE(MID(UPPER(TRIM(D172)),5,1))+VALUE(MID(UPPER(TRIM(D172)),7,1)))+(INT(2*VALUE(MID(UPPER(TRIM(D172)),2,1))/10)+MOD(2*VALUE(MID(UPPER(TRIM(D172)),2,1)),10))+(INT(2*VALUE(MID(UPPER(TRIM(D172)),4,1))/10)+MOD(2*VALUE(MID(UPPER(TRIM(D172)),4,1)),10))+(INT(2*VALUE(MID(UPPER(TRIM(D172)),6,1))/10)+MOD(2*VALUE(MID(UPPER(TRIM(D172)),6,1)),10))+(INT(2*VALUE(MID(UPPER(TRIM(D172)),8,1))/10)+MOD(2*VALUE(MID(UPPER(TRIM(D172)),8,1)),10)),10),10),"0"),RIGHT(UPPER(TRIM(D172)),1)=MID("JABCDEFGHI",MOD(10-MOD((VALUE(MID(UPPER(TRIM(D172)),3,1))+VALUE(MID(UPPER(TRIM(D172)),5,1))+VALUE(MID(UPPER(TRIM(D172)),7,1)))+(INT(2*VALUE(MID(UPPER(TRIM(D172)),2,1))/10)+MOD(2*VALUE(MID(UPPER(TRIM(D172)),2,1)),10))+(INT(2*VALUE(MID(UPPER(TRIM(D172)),4,1))/10)+MOD(2*VALUE(MID(UPPER(TRIM(D172)),4,1)),10))+(INT(2*VALUE(MID(UPPER(TRIM(D172)),6,1))/10)+MOD(2*VALUE(MID(UPPER(TRIM(D172)),6,1)),10))+(INT(2*VALUE(MID(UPPER(TRIM(D172)),8,1))/10)+MOD(2*VALUE(MID(UPPER(TRIM(D172)),8,1)),10)),10),10)+1,1)),"OK","REVISAR")),"REVISAR")))</f>
        <v/>
      </c>
      <c r="Q172">
        <f>IF(B172="","",IF(COUNTIFS($B$2:$B$501,B172,$D$2:$D$501,D172)&gt;1,"DUPLICADA",""))</f>
        <v/>
      </c>
      <c r="R172">
        <f>IF(A172="","",ROUNDUP(MONTH(A172)/3,0))</f>
        <v/>
      </c>
      <c r="S172" s="3" t="n"/>
    </row>
    <row r="173">
      <c r="A173" s="2" t="n"/>
      <c r="B173" s="3" t="n"/>
      <c r="C173" s="3" t="n"/>
      <c r="D173" s="3" t="n"/>
      <c r="E173" s="4" t="n"/>
      <c r="F173" s="4" t="n"/>
      <c r="G173" s="4" t="n"/>
      <c r="H173" s="4" t="n"/>
      <c r="I173" s="5">
        <f>IF(E173="","",ROUND(E173*0.21,2))</f>
        <v/>
      </c>
      <c r="J173" s="5">
        <f>IF(F173="","",ROUND(F173*0.1,2))</f>
        <v/>
      </c>
      <c r="K173" s="5">
        <f>IF(G173="","",ROUND(G173*0.04,2))</f>
        <v/>
      </c>
      <c r="L173" s="4" t="n"/>
      <c r="M173" s="4" t="n"/>
      <c r="N173" s="5">
        <f>IF(A173="","",SUM(E173:K173)-N(L173))</f>
        <v/>
      </c>
      <c r="O173">
        <f>IF(OR(A173="",M173=""),"",IF(ABS(M173-N173)&lt;=0.02,"OK","REVISAR"))</f>
        <v/>
      </c>
      <c r="P173">
        <f>IF(D173="","",IF(LEN(TRIM(D173))&lt;&gt;9,"REVISAR",IFERROR(IF(OR(ISNUMBER(VALUE(LEFT(UPPER(TRIM(D173)),1))),LEFT(UPPER(TRIM(D173)),1)="X",LEFT(UPPER(TRIM(D173)),1)="Y",LEFT(UPPER(TRIM(D173)),1)="Z"),IF(MID("TRWAGMYFPDXBNJZSQVHLCKE",MOD(VALUE(SUBSTITUTE(SUBSTITUTE(SUBSTITUTE(LEFT(UPPER(TRIM(D173)),8),"X","0"),"Y","1"),"Z","2")),23)+1,1)=RIGHT(UPPER(TRIM(D173)),1),"OK","REVISAR"),IF(OR(RIGHT(UPPER(TRIM(D173)),1)=TEXT(MOD(10-MOD((VALUE(MID(UPPER(TRIM(D173)),3,1))+VALUE(MID(UPPER(TRIM(D173)),5,1))+VALUE(MID(UPPER(TRIM(D173)),7,1)))+(INT(2*VALUE(MID(UPPER(TRIM(D173)),2,1))/10)+MOD(2*VALUE(MID(UPPER(TRIM(D173)),2,1)),10))+(INT(2*VALUE(MID(UPPER(TRIM(D173)),4,1))/10)+MOD(2*VALUE(MID(UPPER(TRIM(D173)),4,1)),10))+(INT(2*VALUE(MID(UPPER(TRIM(D173)),6,1))/10)+MOD(2*VALUE(MID(UPPER(TRIM(D173)),6,1)),10))+(INT(2*VALUE(MID(UPPER(TRIM(D173)),8,1))/10)+MOD(2*VALUE(MID(UPPER(TRIM(D173)),8,1)),10)),10),10),"0"),RIGHT(UPPER(TRIM(D173)),1)=MID("JABCDEFGHI",MOD(10-MOD((VALUE(MID(UPPER(TRIM(D173)),3,1))+VALUE(MID(UPPER(TRIM(D173)),5,1))+VALUE(MID(UPPER(TRIM(D173)),7,1)))+(INT(2*VALUE(MID(UPPER(TRIM(D173)),2,1))/10)+MOD(2*VALUE(MID(UPPER(TRIM(D173)),2,1)),10))+(INT(2*VALUE(MID(UPPER(TRIM(D173)),4,1))/10)+MOD(2*VALUE(MID(UPPER(TRIM(D173)),4,1)),10))+(INT(2*VALUE(MID(UPPER(TRIM(D173)),6,1))/10)+MOD(2*VALUE(MID(UPPER(TRIM(D173)),6,1)),10))+(INT(2*VALUE(MID(UPPER(TRIM(D173)),8,1))/10)+MOD(2*VALUE(MID(UPPER(TRIM(D173)),8,1)),10)),10),10)+1,1)),"OK","REVISAR")),"REVISAR")))</f>
        <v/>
      </c>
      <c r="Q173">
        <f>IF(B173="","",IF(COUNTIFS($B$2:$B$501,B173,$D$2:$D$501,D173)&gt;1,"DUPLICADA",""))</f>
        <v/>
      </c>
      <c r="R173">
        <f>IF(A173="","",ROUNDUP(MONTH(A173)/3,0))</f>
        <v/>
      </c>
      <c r="S173" s="3" t="n"/>
    </row>
    <row r="174">
      <c r="A174" s="2" t="n"/>
      <c r="B174" s="3" t="n"/>
      <c r="C174" s="3" t="n"/>
      <c r="D174" s="3" t="n"/>
      <c r="E174" s="4" t="n"/>
      <c r="F174" s="4" t="n"/>
      <c r="G174" s="4" t="n"/>
      <c r="H174" s="4" t="n"/>
      <c r="I174" s="5">
        <f>IF(E174="","",ROUND(E174*0.21,2))</f>
        <v/>
      </c>
      <c r="J174" s="5">
        <f>IF(F174="","",ROUND(F174*0.1,2))</f>
        <v/>
      </c>
      <c r="K174" s="5">
        <f>IF(G174="","",ROUND(G174*0.04,2))</f>
        <v/>
      </c>
      <c r="L174" s="4" t="n"/>
      <c r="M174" s="4" t="n"/>
      <c r="N174" s="5">
        <f>IF(A174="","",SUM(E174:K174)-N(L174))</f>
        <v/>
      </c>
      <c r="O174">
        <f>IF(OR(A174="",M174=""),"",IF(ABS(M174-N174)&lt;=0.02,"OK","REVISAR"))</f>
        <v/>
      </c>
      <c r="P174">
        <f>IF(D174="","",IF(LEN(TRIM(D174))&lt;&gt;9,"REVISAR",IFERROR(IF(OR(ISNUMBER(VALUE(LEFT(UPPER(TRIM(D174)),1))),LEFT(UPPER(TRIM(D174)),1)="X",LEFT(UPPER(TRIM(D174)),1)="Y",LEFT(UPPER(TRIM(D174)),1)="Z"),IF(MID("TRWAGMYFPDXBNJZSQVHLCKE",MOD(VALUE(SUBSTITUTE(SUBSTITUTE(SUBSTITUTE(LEFT(UPPER(TRIM(D174)),8),"X","0"),"Y","1"),"Z","2")),23)+1,1)=RIGHT(UPPER(TRIM(D174)),1),"OK","REVISAR"),IF(OR(RIGHT(UPPER(TRIM(D174)),1)=TEXT(MOD(10-MOD((VALUE(MID(UPPER(TRIM(D174)),3,1))+VALUE(MID(UPPER(TRIM(D174)),5,1))+VALUE(MID(UPPER(TRIM(D174)),7,1)))+(INT(2*VALUE(MID(UPPER(TRIM(D174)),2,1))/10)+MOD(2*VALUE(MID(UPPER(TRIM(D174)),2,1)),10))+(INT(2*VALUE(MID(UPPER(TRIM(D174)),4,1))/10)+MOD(2*VALUE(MID(UPPER(TRIM(D174)),4,1)),10))+(INT(2*VALUE(MID(UPPER(TRIM(D174)),6,1))/10)+MOD(2*VALUE(MID(UPPER(TRIM(D174)),6,1)),10))+(INT(2*VALUE(MID(UPPER(TRIM(D174)),8,1))/10)+MOD(2*VALUE(MID(UPPER(TRIM(D174)),8,1)),10)),10),10),"0"),RIGHT(UPPER(TRIM(D174)),1)=MID("JABCDEFGHI",MOD(10-MOD((VALUE(MID(UPPER(TRIM(D174)),3,1))+VALUE(MID(UPPER(TRIM(D174)),5,1))+VALUE(MID(UPPER(TRIM(D174)),7,1)))+(INT(2*VALUE(MID(UPPER(TRIM(D174)),2,1))/10)+MOD(2*VALUE(MID(UPPER(TRIM(D174)),2,1)),10))+(INT(2*VALUE(MID(UPPER(TRIM(D174)),4,1))/10)+MOD(2*VALUE(MID(UPPER(TRIM(D174)),4,1)),10))+(INT(2*VALUE(MID(UPPER(TRIM(D174)),6,1))/10)+MOD(2*VALUE(MID(UPPER(TRIM(D174)),6,1)),10))+(INT(2*VALUE(MID(UPPER(TRIM(D174)),8,1))/10)+MOD(2*VALUE(MID(UPPER(TRIM(D174)),8,1)),10)),10),10)+1,1)),"OK","REVISAR")),"REVISAR")))</f>
        <v/>
      </c>
      <c r="Q174">
        <f>IF(B174="","",IF(COUNTIFS($B$2:$B$501,B174,$D$2:$D$501,D174)&gt;1,"DUPLICADA",""))</f>
        <v/>
      </c>
      <c r="R174">
        <f>IF(A174="","",ROUNDUP(MONTH(A174)/3,0))</f>
        <v/>
      </c>
      <c r="S174" s="3" t="n"/>
    </row>
    <row r="175">
      <c r="A175" s="2" t="n"/>
      <c r="B175" s="3" t="n"/>
      <c r="C175" s="3" t="n"/>
      <c r="D175" s="3" t="n"/>
      <c r="E175" s="4" t="n"/>
      <c r="F175" s="4" t="n"/>
      <c r="G175" s="4" t="n"/>
      <c r="H175" s="4" t="n"/>
      <c r="I175" s="5">
        <f>IF(E175="","",ROUND(E175*0.21,2))</f>
        <v/>
      </c>
      <c r="J175" s="5">
        <f>IF(F175="","",ROUND(F175*0.1,2))</f>
        <v/>
      </c>
      <c r="K175" s="5">
        <f>IF(G175="","",ROUND(G175*0.04,2))</f>
        <v/>
      </c>
      <c r="L175" s="4" t="n"/>
      <c r="M175" s="4" t="n"/>
      <c r="N175" s="5">
        <f>IF(A175="","",SUM(E175:K175)-N(L175))</f>
        <v/>
      </c>
      <c r="O175">
        <f>IF(OR(A175="",M175=""),"",IF(ABS(M175-N175)&lt;=0.02,"OK","REVISAR"))</f>
        <v/>
      </c>
      <c r="P175">
        <f>IF(D175="","",IF(LEN(TRIM(D175))&lt;&gt;9,"REVISAR",IFERROR(IF(OR(ISNUMBER(VALUE(LEFT(UPPER(TRIM(D175)),1))),LEFT(UPPER(TRIM(D175)),1)="X",LEFT(UPPER(TRIM(D175)),1)="Y",LEFT(UPPER(TRIM(D175)),1)="Z"),IF(MID("TRWAGMYFPDXBNJZSQVHLCKE",MOD(VALUE(SUBSTITUTE(SUBSTITUTE(SUBSTITUTE(LEFT(UPPER(TRIM(D175)),8),"X","0"),"Y","1"),"Z","2")),23)+1,1)=RIGHT(UPPER(TRIM(D175)),1),"OK","REVISAR"),IF(OR(RIGHT(UPPER(TRIM(D175)),1)=TEXT(MOD(10-MOD((VALUE(MID(UPPER(TRIM(D175)),3,1))+VALUE(MID(UPPER(TRIM(D175)),5,1))+VALUE(MID(UPPER(TRIM(D175)),7,1)))+(INT(2*VALUE(MID(UPPER(TRIM(D175)),2,1))/10)+MOD(2*VALUE(MID(UPPER(TRIM(D175)),2,1)),10))+(INT(2*VALUE(MID(UPPER(TRIM(D175)),4,1))/10)+MOD(2*VALUE(MID(UPPER(TRIM(D175)),4,1)),10))+(INT(2*VALUE(MID(UPPER(TRIM(D175)),6,1))/10)+MOD(2*VALUE(MID(UPPER(TRIM(D175)),6,1)),10))+(INT(2*VALUE(MID(UPPER(TRIM(D175)),8,1))/10)+MOD(2*VALUE(MID(UPPER(TRIM(D175)),8,1)),10)),10),10),"0"),RIGHT(UPPER(TRIM(D175)),1)=MID("JABCDEFGHI",MOD(10-MOD((VALUE(MID(UPPER(TRIM(D175)),3,1))+VALUE(MID(UPPER(TRIM(D175)),5,1))+VALUE(MID(UPPER(TRIM(D175)),7,1)))+(INT(2*VALUE(MID(UPPER(TRIM(D175)),2,1))/10)+MOD(2*VALUE(MID(UPPER(TRIM(D175)),2,1)),10))+(INT(2*VALUE(MID(UPPER(TRIM(D175)),4,1))/10)+MOD(2*VALUE(MID(UPPER(TRIM(D175)),4,1)),10))+(INT(2*VALUE(MID(UPPER(TRIM(D175)),6,1))/10)+MOD(2*VALUE(MID(UPPER(TRIM(D175)),6,1)),10))+(INT(2*VALUE(MID(UPPER(TRIM(D175)),8,1))/10)+MOD(2*VALUE(MID(UPPER(TRIM(D175)),8,1)),10)),10),10)+1,1)),"OK","REVISAR")),"REVISAR")))</f>
        <v/>
      </c>
      <c r="Q175">
        <f>IF(B175="","",IF(COUNTIFS($B$2:$B$501,B175,$D$2:$D$501,D175)&gt;1,"DUPLICADA",""))</f>
        <v/>
      </c>
      <c r="R175">
        <f>IF(A175="","",ROUNDUP(MONTH(A175)/3,0))</f>
        <v/>
      </c>
      <c r="S175" s="3" t="n"/>
    </row>
    <row r="176">
      <c r="A176" s="2" t="n"/>
      <c r="B176" s="3" t="n"/>
      <c r="C176" s="3" t="n"/>
      <c r="D176" s="3" t="n"/>
      <c r="E176" s="4" t="n"/>
      <c r="F176" s="4" t="n"/>
      <c r="G176" s="4" t="n"/>
      <c r="H176" s="4" t="n"/>
      <c r="I176" s="5">
        <f>IF(E176="","",ROUND(E176*0.21,2))</f>
        <v/>
      </c>
      <c r="J176" s="5">
        <f>IF(F176="","",ROUND(F176*0.1,2))</f>
        <v/>
      </c>
      <c r="K176" s="5">
        <f>IF(G176="","",ROUND(G176*0.04,2))</f>
        <v/>
      </c>
      <c r="L176" s="4" t="n"/>
      <c r="M176" s="4" t="n"/>
      <c r="N176" s="5">
        <f>IF(A176="","",SUM(E176:K176)-N(L176))</f>
        <v/>
      </c>
      <c r="O176">
        <f>IF(OR(A176="",M176=""),"",IF(ABS(M176-N176)&lt;=0.02,"OK","REVISAR"))</f>
        <v/>
      </c>
      <c r="P176">
        <f>IF(D176="","",IF(LEN(TRIM(D176))&lt;&gt;9,"REVISAR",IFERROR(IF(OR(ISNUMBER(VALUE(LEFT(UPPER(TRIM(D176)),1))),LEFT(UPPER(TRIM(D176)),1)="X",LEFT(UPPER(TRIM(D176)),1)="Y",LEFT(UPPER(TRIM(D176)),1)="Z"),IF(MID("TRWAGMYFPDXBNJZSQVHLCKE",MOD(VALUE(SUBSTITUTE(SUBSTITUTE(SUBSTITUTE(LEFT(UPPER(TRIM(D176)),8),"X","0"),"Y","1"),"Z","2")),23)+1,1)=RIGHT(UPPER(TRIM(D176)),1),"OK","REVISAR"),IF(OR(RIGHT(UPPER(TRIM(D176)),1)=TEXT(MOD(10-MOD((VALUE(MID(UPPER(TRIM(D176)),3,1))+VALUE(MID(UPPER(TRIM(D176)),5,1))+VALUE(MID(UPPER(TRIM(D176)),7,1)))+(INT(2*VALUE(MID(UPPER(TRIM(D176)),2,1))/10)+MOD(2*VALUE(MID(UPPER(TRIM(D176)),2,1)),10))+(INT(2*VALUE(MID(UPPER(TRIM(D176)),4,1))/10)+MOD(2*VALUE(MID(UPPER(TRIM(D176)),4,1)),10))+(INT(2*VALUE(MID(UPPER(TRIM(D176)),6,1))/10)+MOD(2*VALUE(MID(UPPER(TRIM(D176)),6,1)),10))+(INT(2*VALUE(MID(UPPER(TRIM(D176)),8,1))/10)+MOD(2*VALUE(MID(UPPER(TRIM(D176)),8,1)),10)),10),10),"0"),RIGHT(UPPER(TRIM(D176)),1)=MID("JABCDEFGHI",MOD(10-MOD((VALUE(MID(UPPER(TRIM(D176)),3,1))+VALUE(MID(UPPER(TRIM(D176)),5,1))+VALUE(MID(UPPER(TRIM(D176)),7,1)))+(INT(2*VALUE(MID(UPPER(TRIM(D176)),2,1))/10)+MOD(2*VALUE(MID(UPPER(TRIM(D176)),2,1)),10))+(INT(2*VALUE(MID(UPPER(TRIM(D176)),4,1))/10)+MOD(2*VALUE(MID(UPPER(TRIM(D176)),4,1)),10))+(INT(2*VALUE(MID(UPPER(TRIM(D176)),6,1))/10)+MOD(2*VALUE(MID(UPPER(TRIM(D176)),6,1)),10))+(INT(2*VALUE(MID(UPPER(TRIM(D176)),8,1))/10)+MOD(2*VALUE(MID(UPPER(TRIM(D176)),8,1)),10)),10),10)+1,1)),"OK","REVISAR")),"REVISAR")))</f>
        <v/>
      </c>
      <c r="Q176">
        <f>IF(B176="","",IF(COUNTIFS($B$2:$B$501,B176,$D$2:$D$501,D176)&gt;1,"DUPLICADA",""))</f>
        <v/>
      </c>
      <c r="R176">
        <f>IF(A176="","",ROUNDUP(MONTH(A176)/3,0))</f>
        <v/>
      </c>
      <c r="S176" s="3" t="n"/>
    </row>
    <row r="177">
      <c r="A177" s="2" t="n"/>
      <c r="B177" s="3" t="n"/>
      <c r="C177" s="3" t="n"/>
      <c r="D177" s="3" t="n"/>
      <c r="E177" s="4" t="n"/>
      <c r="F177" s="4" t="n"/>
      <c r="G177" s="4" t="n"/>
      <c r="H177" s="4" t="n"/>
      <c r="I177" s="5">
        <f>IF(E177="","",ROUND(E177*0.21,2))</f>
        <v/>
      </c>
      <c r="J177" s="5">
        <f>IF(F177="","",ROUND(F177*0.1,2))</f>
        <v/>
      </c>
      <c r="K177" s="5">
        <f>IF(G177="","",ROUND(G177*0.04,2))</f>
        <v/>
      </c>
      <c r="L177" s="4" t="n"/>
      <c r="M177" s="4" t="n"/>
      <c r="N177" s="5">
        <f>IF(A177="","",SUM(E177:K177)-N(L177))</f>
        <v/>
      </c>
      <c r="O177">
        <f>IF(OR(A177="",M177=""),"",IF(ABS(M177-N177)&lt;=0.02,"OK","REVISAR"))</f>
        <v/>
      </c>
      <c r="P177">
        <f>IF(D177="","",IF(LEN(TRIM(D177))&lt;&gt;9,"REVISAR",IFERROR(IF(OR(ISNUMBER(VALUE(LEFT(UPPER(TRIM(D177)),1))),LEFT(UPPER(TRIM(D177)),1)="X",LEFT(UPPER(TRIM(D177)),1)="Y",LEFT(UPPER(TRIM(D177)),1)="Z"),IF(MID("TRWAGMYFPDXBNJZSQVHLCKE",MOD(VALUE(SUBSTITUTE(SUBSTITUTE(SUBSTITUTE(LEFT(UPPER(TRIM(D177)),8),"X","0"),"Y","1"),"Z","2")),23)+1,1)=RIGHT(UPPER(TRIM(D177)),1),"OK","REVISAR"),IF(OR(RIGHT(UPPER(TRIM(D177)),1)=TEXT(MOD(10-MOD((VALUE(MID(UPPER(TRIM(D177)),3,1))+VALUE(MID(UPPER(TRIM(D177)),5,1))+VALUE(MID(UPPER(TRIM(D177)),7,1)))+(INT(2*VALUE(MID(UPPER(TRIM(D177)),2,1))/10)+MOD(2*VALUE(MID(UPPER(TRIM(D177)),2,1)),10))+(INT(2*VALUE(MID(UPPER(TRIM(D177)),4,1))/10)+MOD(2*VALUE(MID(UPPER(TRIM(D177)),4,1)),10))+(INT(2*VALUE(MID(UPPER(TRIM(D177)),6,1))/10)+MOD(2*VALUE(MID(UPPER(TRIM(D177)),6,1)),10))+(INT(2*VALUE(MID(UPPER(TRIM(D177)),8,1))/10)+MOD(2*VALUE(MID(UPPER(TRIM(D177)),8,1)),10)),10),10),"0"),RIGHT(UPPER(TRIM(D177)),1)=MID("JABCDEFGHI",MOD(10-MOD((VALUE(MID(UPPER(TRIM(D177)),3,1))+VALUE(MID(UPPER(TRIM(D177)),5,1))+VALUE(MID(UPPER(TRIM(D177)),7,1)))+(INT(2*VALUE(MID(UPPER(TRIM(D177)),2,1))/10)+MOD(2*VALUE(MID(UPPER(TRIM(D177)),2,1)),10))+(INT(2*VALUE(MID(UPPER(TRIM(D177)),4,1))/10)+MOD(2*VALUE(MID(UPPER(TRIM(D177)),4,1)),10))+(INT(2*VALUE(MID(UPPER(TRIM(D177)),6,1))/10)+MOD(2*VALUE(MID(UPPER(TRIM(D177)),6,1)),10))+(INT(2*VALUE(MID(UPPER(TRIM(D177)),8,1))/10)+MOD(2*VALUE(MID(UPPER(TRIM(D177)),8,1)),10)),10),10)+1,1)),"OK","REVISAR")),"REVISAR")))</f>
        <v/>
      </c>
      <c r="Q177">
        <f>IF(B177="","",IF(COUNTIFS($B$2:$B$501,B177,$D$2:$D$501,D177)&gt;1,"DUPLICADA",""))</f>
        <v/>
      </c>
      <c r="R177">
        <f>IF(A177="","",ROUNDUP(MONTH(A177)/3,0))</f>
        <v/>
      </c>
      <c r="S177" s="3" t="n"/>
    </row>
    <row r="178">
      <c r="A178" s="2" t="n"/>
      <c r="B178" s="3" t="n"/>
      <c r="C178" s="3" t="n"/>
      <c r="D178" s="3" t="n"/>
      <c r="E178" s="4" t="n"/>
      <c r="F178" s="4" t="n"/>
      <c r="G178" s="4" t="n"/>
      <c r="H178" s="4" t="n"/>
      <c r="I178" s="5">
        <f>IF(E178="","",ROUND(E178*0.21,2))</f>
        <v/>
      </c>
      <c r="J178" s="5">
        <f>IF(F178="","",ROUND(F178*0.1,2))</f>
        <v/>
      </c>
      <c r="K178" s="5">
        <f>IF(G178="","",ROUND(G178*0.04,2))</f>
        <v/>
      </c>
      <c r="L178" s="4" t="n"/>
      <c r="M178" s="4" t="n"/>
      <c r="N178" s="5">
        <f>IF(A178="","",SUM(E178:K178)-N(L178))</f>
        <v/>
      </c>
      <c r="O178">
        <f>IF(OR(A178="",M178=""),"",IF(ABS(M178-N178)&lt;=0.02,"OK","REVISAR"))</f>
        <v/>
      </c>
      <c r="P178">
        <f>IF(D178="","",IF(LEN(TRIM(D178))&lt;&gt;9,"REVISAR",IFERROR(IF(OR(ISNUMBER(VALUE(LEFT(UPPER(TRIM(D178)),1))),LEFT(UPPER(TRIM(D178)),1)="X",LEFT(UPPER(TRIM(D178)),1)="Y",LEFT(UPPER(TRIM(D178)),1)="Z"),IF(MID("TRWAGMYFPDXBNJZSQVHLCKE",MOD(VALUE(SUBSTITUTE(SUBSTITUTE(SUBSTITUTE(LEFT(UPPER(TRIM(D178)),8),"X","0"),"Y","1"),"Z","2")),23)+1,1)=RIGHT(UPPER(TRIM(D178)),1),"OK","REVISAR"),IF(OR(RIGHT(UPPER(TRIM(D178)),1)=TEXT(MOD(10-MOD((VALUE(MID(UPPER(TRIM(D178)),3,1))+VALUE(MID(UPPER(TRIM(D178)),5,1))+VALUE(MID(UPPER(TRIM(D178)),7,1)))+(INT(2*VALUE(MID(UPPER(TRIM(D178)),2,1))/10)+MOD(2*VALUE(MID(UPPER(TRIM(D178)),2,1)),10))+(INT(2*VALUE(MID(UPPER(TRIM(D178)),4,1))/10)+MOD(2*VALUE(MID(UPPER(TRIM(D178)),4,1)),10))+(INT(2*VALUE(MID(UPPER(TRIM(D178)),6,1))/10)+MOD(2*VALUE(MID(UPPER(TRIM(D178)),6,1)),10))+(INT(2*VALUE(MID(UPPER(TRIM(D178)),8,1))/10)+MOD(2*VALUE(MID(UPPER(TRIM(D178)),8,1)),10)),10),10),"0"),RIGHT(UPPER(TRIM(D178)),1)=MID("JABCDEFGHI",MOD(10-MOD((VALUE(MID(UPPER(TRIM(D178)),3,1))+VALUE(MID(UPPER(TRIM(D178)),5,1))+VALUE(MID(UPPER(TRIM(D178)),7,1)))+(INT(2*VALUE(MID(UPPER(TRIM(D178)),2,1))/10)+MOD(2*VALUE(MID(UPPER(TRIM(D178)),2,1)),10))+(INT(2*VALUE(MID(UPPER(TRIM(D178)),4,1))/10)+MOD(2*VALUE(MID(UPPER(TRIM(D178)),4,1)),10))+(INT(2*VALUE(MID(UPPER(TRIM(D178)),6,1))/10)+MOD(2*VALUE(MID(UPPER(TRIM(D178)),6,1)),10))+(INT(2*VALUE(MID(UPPER(TRIM(D178)),8,1))/10)+MOD(2*VALUE(MID(UPPER(TRIM(D178)),8,1)),10)),10),10)+1,1)),"OK","REVISAR")),"REVISAR")))</f>
        <v/>
      </c>
      <c r="Q178">
        <f>IF(B178="","",IF(COUNTIFS($B$2:$B$501,B178,$D$2:$D$501,D178)&gt;1,"DUPLICADA",""))</f>
        <v/>
      </c>
      <c r="R178">
        <f>IF(A178="","",ROUNDUP(MONTH(A178)/3,0))</f>
        <v/>
      </c>
      <c r="S178" s="3" t="n"/>
    </row>
    <row r="179">
      <c r="A179" s="2" t="n"/>
      <c r="B179" s="3" t="n"/>
      <c r="C179" s="3" t="n"/>
      <c r="D179" s="3" t="n"/>
      <c r="E179" s="4" t="n"/>
      <c r="F179" s="4" t="n"/>
      <c r="G179" s="4" t="n"/>
      <c r="H179" s="4" t="n"/>
      <c r="I179" s="5">
        <f>IF(E179="","",ROUND(E179*0.21,2))</f>
        <v/>
      </c>
      <c r="J179" s="5">
        <f>IF(F179="","",ROUND(F179*0.1,2))</f>
        <v/>
      </c>
      <c r="K179" s="5">
        <f>IF(G179="","",ROUND(G179*0.04,2))</f>
        <v/>
      </c>
      <c r="L179" s="4" t="n"/>
      <c r="M179" s="4" t="n"/>
      <c r="N179" s="5">
        <f>IF(A179="","",SUM(E179:K179)-N(L179))</f>
        <v/>
      </c>
      <c r="O179">
        <f>IF(OR(A179="",M179=""),"",IF(ABS(M179-N179)&lt;=0.02,"OK","REVISAR"))</f>
        <v/>
      </c>
      <c r="P179">
        <f>IF(D179="","",IF(LEN(TRIM(D179))&lt;&gt;9,"REVISAR",IFERROR(IF(OR(ISNUMBER(VALUE(LEFT(UPPER(TRIM(D179)),1))),LEFT(UPPER(TRIM(D179)),1)="X",LEFT(UPPER(TRIM(D179)),1)="Y",LEFT(UPPER(TRIM(D179)),1)="Z"),IF(MID("TRWAGMYFPDXBNJZSQVHLCKE",MOD(VALUE(SUBSTITUTE(SUBSTITUTE(SUBSTITUTE(LEFT(UPPER(TRIM(D179)),8),"X","0"),"Y","1"),"Z","2")),23)+1,1)=RIGHT(UPPER(TRIM(D179)),1),"OK","REVISAR"),IF(OR(RIGHT(UPPER(TRIM(D179)),1)=TEXT(MOD(10-MOD((VALUE(MID(UPPER(TRIM(D179)),3,1))+VALUE(MID(UPPER(TRIM(D179)),5,1))+VALUE(MID(UPPER(TRIM(D179)),7,1)))+(INT(2*VALUE(MID(UPPER(TRIM(D179)),2,1))/10)+MOD(2*VALUE(MID(UPPER(TRIM(D179)),2,1)),10))+(INT(2*VALUE(MID(UPPER(TRIM(D179)),4,1))/10)+MOD(2*VALUE(MID(UPPER(TRIM(D179)),4,1)),10))+(INT(2*VALUE(MID(UPPER(TRIM(D179)),6,1))/10)+MOD(2*VALUE(MID(UPPER(TRIM(D179)),6,1)),10))+(INT(2*VALUE(MID(UPPER(TRIM(D179)),8,1))/10)+MOD(2*VALUE(MID(UPPER(TRIM(D179)),8,1)),10)),10),10),"0"),RIGHT(UPPER(TRIM(D179)),1)=MID("JABCDEFGHI",MOD(10-MOD((VALUE(MID(UPPER(TRIM(D179)),3,1))+VALUE(MID(UPPER(TRIM(D179)),5,1))+VALUE(MID(UPPER(TRIM(D179)),7,1)))+(INT(2*VALUE(MID(UPPER(TRIM(D179)),2,1))/10)+MOD(2*VALUE(MID(UPPER(TRIM(D179)),2,1)),10))+(INT(2*VALUE(MID(UPPER(TRIM(D179)),4,1))/10)+MOD(2*VALUE(MID(UPPER(TRIM(D179)),4,1)),10))+(INT(2*VALUE(MID(UPPER(TRIM(D179)),6,1))/10)+MOD(2*VALUE(MID(UPPER(TRIM(D179)),6,1)),10))+(INT(2*VALUE(MID(UPPER(TRIM(D179)),8,1))/10)+MOD(2*VALUE(MID(UPPER(TRIM(D179)),8,1)),10)),10),10)+1,1)),"OK","REVISAR")),"REVISAR")))</f>
        <v/>
      </c>
      <c r="Q179">
        <f>IF(B179="","",IF(COUNTIFS($B$2:$B$501,B179,$D$2:$D$501,D179)&gt;1,"DUPLICADA",""))</f>
        <v/>
      </c>
      <c r="R179">
        <f>IF(A179="","",ROUNDUP(MONTH(A179)/3,0))</f>
        <v/>
      </c>
      <c r="S179" s="3" t="n"/>
    </row>
    <row r="180">
      <c r="A180" s="2" t="n"/>
      <c r="B180" s="3" t="n"/>
      <c r="C180" s="3" t="n"/>
      <c r="D180" s="3" t="n"/>
      <c r="E180" s="4" t="n"/>
      <c r="F180" s="4" t="n"/>
      <c r="G180" s="4" t="n"/>
      <c r="H180" s="4" t="n"/>
      <c r="I180" s="5">
        <f>IF(E180="","",ROUND(E180*0.21,2))</f>
        <v/>
      </c>
      <c r="J180" s="5">
        <f>IF(F180="","",ROUND(F180*0.1,2))</f>
        <v/>
      </c>
      <c r="K180" s="5">
        <f>IF(G180="","",ROUND(G180*0.04,2))</f>
        <v/>
      </c>
      <c r="L180" s="4" t="n"/>
      <c r="M180" s="4" t="n"/>
      <c r="N180" s="5">
        <f>IF(A180="","",SUM(E180:K180)-N(L180))</f>
        <v/>
      </c>
      <c r="O180">
        <f>IF(OR(A180="",M180=""),"",IF(ABS(M180-N180)&lt;=0.02,"OK","REVISAR"))</f>
        <v/>
      </c>
      <c r="P180">
        <f>IF(D180="","",IF(LEN(TRIM(D180))&lt;&gt;9,"REVISAR",IFERROR(IF(OR(ISNUMBER(VALUE(LEFT(UPPER(TRIM(D180)),1))),LEFT(UPPER(TRIM(D180)),1)="X",LEFT(UPPER(TRIM(D180)),1)="Y",LEFT(UPPER(TRIM(D180)),1)="Z"),IF(MID("TRWAGMYFPDXBNJZSQVHLCKE",MOD(VALUE(SUBSTITUTE(SUBSTITUTE(SUBSTITUTE(LEFT(UPPER(TRIM(D180)),8),"X","0"),"Y","1"),"Z","2")),23)+1,1)=RIGHT(UPPER(TRIM(D180)),1),"OK","REVISAR"),IF(OR(RIGHT(UPPER(TRIM(D180)),1)=TEXT(MOD(10-MOD((VALUE(MID(UPPER(TRIM(D180)),3,1))+VALUE(MID(UPPER(TRIM(D180)),5,1))+VALUE(MID(UPPER(TRIM(D180)),7,1)))+(INT(2*VALUE(MID(UPPER(TRIM(D180)),2,1))/10)+MOD(2*VALUE(MID(UPPER(TRIM(D180)),2,1)),10))+(INT(2*VALUE(MID(UPPER(TRIM(D180)),4,1))/10)+MOD(2*VALUE(MID(UPPER(TRIM(D180)),4,1)),10))+(INT(2*VALUE(MID(UPPER(TRIM(D180)),6,1))/10)+MOD(2*VALUE(MID(UPPER(TRIM(D180)),6,1)),10))+(INT(2*VALUE(MID(UPPER(TRIM(D180)),8,1))/10)+MOD(2*VALUE(MID(UPPER(TRIM(D180)),8,1)),10)),10),10),"0"),RIGHT(UPPER(TRIM(D180)),1)=MID("JABCDEFGHI",MOD(10-MOD((VALUE(MID(UPPER(TRIM(D180)),3,1))+VALUE(MID(UPPER(TRIM(D180)),5,1))+VALUE(MID(UPPER(TRIM(D180)),7,1)))+(INT(2*VALUE(MID(UPPER(TRIM(D180)),2,1))/10)+MOD(2*VALUE(MID(UPPER(TRIM(D180)),2,1)),10))+(INT(2*VALUE(MID(UPPER(TRIM(D180)),4,1))/10)+MOD(2*VALUE(MID(UPPER(TRIM(D180)),4,1)),10))+(INT(2*VALUE(MID(UPPER(TRIM(D180)),6,1))/10)+MOD(2*VALUE(MID(UPPER(TRIM(D180)),6,1)),10))+(INT(2*VALUE(MID(UPPER(TRIM(D180)),8,1))/10)+MOD(2*VALUE(MID(UPPER(TRIM(D180)),8,1)),10)),10),10)+1,1)),"OK","REVISAR")),"REVISAR")))</f>
        <v/>
      </c>
      <c r="Q180">
        <f>IF(B180="","",IF(COUNTIFS($B$2:$B$501,B180,$D$2:$D$501,D180)&gt;1,"DUPLICADA",""))</f>
        <v/>
      </c>
      <c r="R180">
        <f>IF(A180="","",ROUNDUP(MONTH(A180)/3,0))</f>
        <v/>
      </c>
      <c r="S180" s="3" t="n"/>
    </row>
    <row r="181">
      <c r="A181" s="2" t="n"/>
      <c r="B181" s="3" t="n"/>
      <c r="C181" s="3" t="n"/>
      <c r="D181" s="3" t="n"/>
      <c r="E181" s="4" t="n"/>
      <c r="F181" s="4" t="n"/>
      <c r="G181" s="4" t="n"/>
      <c r="H181" s="4" t="n"/>
      <c r="I181" s="5">
        <f>IF(E181="","",ROUND(E181*0.21,2))</f>
        <v/>
      </c>
      <c r="J181" s="5">
        <f>IF(F181="","",ROUND(F181*0.1,2))</f>
        <v/>
      </c>
      <c r="K181" s="5">
        <f>IF(G181="","",ROUND(G181*0.04,2))</f>
        <v/>
      </c>
      <c r="L181" s="4" t="n"/>
      <c r="M181" s="4" t="n"/>
      <c r="N181" s="5">
        <f>IF(A181="","",SUM(E181:K181)-N(L181))</f>
        <v/>
      </c>
      <c r="O181">
        <f>IF(OR(A181="",M181=""),"",IF(ABS(M181-N181)&lt;=0.02,"OK","REVISAR"))</f>
        <v/>
      </c>
      <c r="P181">
        <f>IF(D181="","",IF(LEN(TRIM(D181))&lt;&gt;9,"REVISAR",IFERROR(IF(OR(ISNUMBER(VALUE(LEFT(UPPER(TRIM(D181)),1))),LEFT(UPPER(TRIM(D181)),1)="X",LEFT(UPPER(TRIM(D181)),1)="Y",LEFT(UPPER(TRIM(D181)),1)="Z"),IF(MID("TRWAGMYFPDXBNJZSQVHLCKE",MOD(VALUE(SUBSTITUTE(SUBSTITUTE(SUBSTITUTE(LEFT(UPPER(TRIM(D181)),8),"X","0"),"Y","1"),"Z","2")),23)+1,1)=RIGHT(UPPER(TRIM(D181)),1),"OK","REVISAR"),IF(OR(RIGHT(UPPER(TRIM(D181)),1)=TEXT(MOD(10-MOD((VALUE(MID(UPPER(TRIM(D181)),3,1))+VALUE(MID(UPPER(TRIM(D181)),5,1))+VALUE(MID(UPPER(TRIM(D181)),7,1)))+(INT(2*VALUE(MID(UPPER(TRIM(D181)),2,1))/10)+MOD(2*VALUE(MID(UPPER(TRIM(D181)),2,1)),10))+(INT(2*VALUE(MID(UPPER(TRIM(D181)),4,1))/10)+MOD(2*VALUE(MID(UPPER(TRIM(D181)),4,1)),10))+(INT(2*VALUE(MID(UPPER(TRIM(D181)),6,1))/10)+MOD(2*VALUE(MID(UPPER(TRIM(D181)),6,1)),10))+(INT(2*VALUE(MID(UPPER(TRIM(D181)),8,1))/10)+MOD(2*VALUE(MID(UPPER(TRIM(D181)),8,1)),10)),10),10),"0"),RIGHT(UPPER(TRIM(D181)),1)=MID("JABCDEFGHI",MOD(10-MOD((VALUE(MID(UPPER(TRIM(D181)),3,1))+VALUE(MID(UPPER(TRIM(D181)),5,1))+VALUE(MID(UPPER(TRIM(D181)),7,1)))+(INT(2*VALUE(MID(UPPER(TRIM(D181)),2,1))/10)+MOD(2*VALUE(MID(UPPER(TRIM(D181)),2,1)),10))+(INT(2*VALUE(MID(UPPER(TRIM(D181)),4,1))/10)+MOD(2*VALUE(MID(UPPER(TRIM(D181)),4,1)),10))+(INT(2*VALUE(MID(UPPER(TRIM(D181)),6,1))/10)+MOD(2*VALUE(MID(UPPER(TRIM(D181)),6,1)),10))+(INT(2*VALUE(MID(UPPER(TRIM(D181)),8,1))/10)+MOD(2*VALUE(MID(UPPER(TRIM(D181)),8,1)),10)),10),10)+1,1)),"OK","REVISAR")),"REVISAR")))</f>
        <v/>
      </c>
      <c r="Q181">
        <f>IF(B181="","",IF(COUNTIFS($B$2:$B$501,B181,$D$2:$D$501,D181)&gt;1,"DUPLICADA",""))</f>
        <v/>
      </c>
      <c r="R181">
        <f>IF(A181="","",ROUNDUP(MONTH(A181)/3,0))</f>
        <v/>
      </c>
      <c r="S181" s="3" t="n"/>
    </row>
    <row r="182">
      <c r="A182" s="2" t="n"/>
      <c r="B182" s="3" t="n"/>
      <c r="C182" s="3" t="n"/>
      <c r="D182" s="3" t="n"/>
      <c r="E182" s="4" t="n"/>
      <c r="F182" s="4" t="n"/>
      <c r="G182" s="4" t="n"/>
      <c r="H182" s="4" t="n"/>
      <c r="I182" s="5">
        <f>IF(E182="","",ROUND(E182*0.21,2))</f>
        <v/>
      </c>
      <c r="J182" s="5">
        <f>IF(F182="","",ROUND(F182*0.1,2))</f>
        <v/>
      </c>
      <c r="K182" s="5">
        <f>IF(G182="","",ROUND(G182*0.04,2))</f>
        <v/>
      </c>
      <c r="L182" s="4" t="n"/>
      <c r="M182" s="4" t="n"/>
      <c r="N182" s="5">
        <f>IF(A182="","",SUM(E182:K182)-N(L182))</f>
        <v/>
      </c>
      <c r="O182">
        <f>IF(OR(A182="",M182=""),"",IF(ABS(M182-N182)&lt;=0.02,"OK","REVISAR"))</f>
        <v/>
      </c>
      <c r="P182">
        <f>IF(D182="","",IF(LEN(TRIM(D182))&lt;&gt;9,"REVISAR",IFERROR(IF(OR(ISNUMBER(VALUE(LEFT(UPPER(TRIM(D182)),1))),LEFT(UPPER(TRIM(D182)),1)="X",LEFT(UPPER(TRIM(D182)),1)="Y",LEFT(UPPER(TRIM(D182)),1)="Z"),IF(MID("TRWAGMYFPDXBNJZSQVHLCKE",MOD(VALUE(SUBSTITUTE(SUBSTITUTE(SUBSTITUTE(LEFT(UPPER(TRIM(D182)),8),"X","0"),"Y","1"),"Z","2")),23)+1,1)=RIGHT(UPPER(TRIM(D182)),1),"OK","REVISAR"),IF(OR(RIGHT(UPPER(TRIM(D182)),1)=TEXT(MOD(10-MOD((VALUE(MID(UPPER(TRIM(D182)),3,1))+VALUE(MID(UPPER(TRIM(D182)),5,1))+VALUE(MID(UPPER(TRIM(D182)),7,1)))+(INT(2*VALUE(MID(UPPER(TRIM(D182)),2,1))/10)+MOD(2*VALUE(MID(UPPER(TRIM(D182)),2,1)),10))+(INT(2*VALUE(MID(UPPER(TRIM(D182)),4,1))/10)+MOD(2*VALUE(MID(UPPER(TRIM(D182)),4,1)),10))+(INT(2*VALUE(MID(UPPER(TRIM(D182)),6,1))/10)+MOD(2*VALUE(MID(UPPER(TRIM(D182)),6,1)),10))+(INT(2*VALUE(MID(UPPER(TRIM(D182)),8,1))/10)+MOD(2*VALUE(MID(UPPER(TRIM(D182)),8,1)),10)),10),10),"0"),RIGHT(UPPER(TRIM(D182)),1)=MID("JABCDEFGHI",MOD(10-MOD((VALUE(MID(UPPER(TRIM(D182)),3,1))+VALUE(MID(UPPER(TRIM(D182)),5,1))+VALUE(MID(UPPER(TRIM(D182)),7,1)))+(INT(2*VALUE(MID(UPPER(TRIM(D182)),2,1))/10)+MOD(2*VALUE(MID(UPPER(TRIM(D182)),2,1)),10))+(INT(2*VALUE(MID(UPPER(TRIM(D182)),4,1))/10)+MOD(2*VALUE(MID(UPPER(TRIM(D182)),4,1)),10))+(INT(2*VALUE(MID(UPPER(TRIM(D182)),6,1))/10)+MOD(2*VALUE(MID(UPPER(TRIM(D182)),6,1)),10))+(INT(2*VALUE(MID(UPPER(TRIM(D182)),8,1))/10)+MOD(2*VALUE(MID(UPPER(TRIM(D182)),8,1)),10)),10),10)+1,1)),"OK","REVISAR")),"REVISAR")))</f>
        <v/>
      </c>
      <c r="Q182">
        <f>IF(B182="","",IF(COUNTIFS($B$2:$B$501,B182,$D$2:$D$501,D182)&gt;1,"DUPLICADA",""))</f>
        <v/>
      </c>
      <c r="R182">
        <f>IF(A182="","",ROUNDUP(MONTH(A182)/3,0))</f>
        <v/>
      </c>
      <c r="S182" s="3" t="n"/>
    </row>
    <row r="183">
      <c r="A183" s="2" t="n"/>
      <c r="B183" s="3" t="n"/>
      <c r="C183" s="3" t="n"/>
      <c r="D183" s="3" t="n"/>
      <c r="E183" s="4" t="n"/>
      <c r="F183" s="4" t="n"/>
      <c r="G183" s="4" t="n"/>
      <c r="H183" s="4" t="n"/>
      <c r="I183" s="5">
        <f>IF(E183="","",ROUND(E183*0.21,2))</f>
        <v/>
      </c>
      <c r="J183" s="5">
        <f>IF(F183="","",ROUND(F183*0.1,2))</f>
        <v/>
      </c>
      <c r="K183" s="5">
        <f>IF(G183="","",ROUND(G183*0.04,2))</f>
        <v/>
      </c>
      <c r="L183" s="4" t="n"/>
      <c r="M183" s="4" t="n"/>
      <c r="N183" s="5">
        <f>IF(A183="","",SUM(E183:K183)-N(L183))</f>
        <v/>
      </c>
      <c r="O183">
        <f>IF(OR(A183="",M183=""),"",IF(ABS(M183-N183)&lt;=0.02,"OK","REVISAR"))</f>
        <v/>
      </c>
      <c r="P183">
        <f>IF(D183="","",IF(LEN(TRIM(D183))&lt;&gt;9,"REVISAR",IFERROR(IF(OR(ISNUMBER(VALUE(LEFT(UPPER(TRIM(D183)),1))),LEFT(UPPER(TRIM(D183)),1)="X",LEFT(UPPER(TRIM(D183)),1)="Y",LEFT(UPPER(TRIM(D183)),1)="Z"),IF(MID("TRWAGMYFPDXBNJZSQVHLCKE",MOD(VALUE(SUBSTITUTE(SUBSTITUTE(SUBSTITUTE(LEFT(UPPER(TRIM(D183)),8),"X","0"),"Y","1"),"Z","2")),23)+1,1)=RIGHT(UPPER(TRIM(D183)),1),"OK","REVISAR"),IF(OR(RIGHT(UPPER(TRIM(D183)),1)=TEXT(MOD(10-MOD((VALUE(MID(UPPER(TRIM(D183)),3,1))+VALUE(MID(UPPER(TRIM(D183)),5,1))+VALUE(MID(UPPER(TRIM(D183)),7,1)))+(INT(2*VALUE(MID(UPPER(TRIM(D183)),2,1))/10)+MOD(2*VALUE(MID(UPPER(TRIM(D183)),2,1)),10))+(INT(2*VALUE(MID(UPPER(TRIM(D183)),4,1))/10)+MOD(2*VALUE(MID(UPPER(TRIM(D183)),4,1)),10))+(INT(2*VALUE(MID(UPPER(TRIM(D183)),6,1))/10)+MOD(2*VALUE(MID(UPPER(TRIM(D183)),6,1)),10))+(INT(2*VALUE(MID(UPPER(TRIM(D183)),8,1))/10)+MOD(2*VALUE(MID(UPPER(TRIM(D183)),8,1)),10)),10),10),"0"),RIGHT(UPPER(TRIM(D183)),1)=MID("JABCDEFGHI",MOD(10-MOD((VALUE(MID(UPPER(TRIM(D183)),3,1))+VALUE(MID(UPPER(TRIM(D183)),5,1))+VALUE(MID(UPPER(TRIM(D183)),7,1)))+(INT(2*VALUE(MID(UPPER(TRIM(D183)),2,1))/10)+MOD(2*VALUE(MID(UPPER(TRIM(D183)),2,1)),10))+(INT(2*VALUE(MID(UPPER(TRIM(D183)),4,1))/10)+MOD(2*VALUE(MID(UPPER(TRIM(D183)),4,1)),10))+(INT(2*VALUE(MID(UPPER(TRIM(D183)),6,1))/10)+MOD(2*VALUE(MID(UPPER(TRIM(D183)),6,1)),10))+(INT(2*VALUE(MID(UPPER(TRIM(D183)),8,1))/10)+MOD(2*VALUE(MID(UPPER(TRIM(D183)),8,1)),10)),10),10)+1,1)),"OK","REVISAR")),"REVISAR")))</f>
        <v/>
      </c>
      <c r="Q183">
        <f>IF(B183="","",IF(COUNTIFS($B$2:$B$501,B183,$D$2:$D$501,D183)&gt;1,"DUPLICADA",""))</f>
        <v/>
      </c>
      <c r="R183">
        <f>IF(A183="","",ROUNDUP(MONTH(A183)/3,0))</f>
        <v/>
      </c>
      <c r="S183" s="3" t="n"/>
    </row>
    <row r="184">
      <c r="A184" s="2" t="n"/>
      <c r="B184" s="3" t="n"/>
      <c r="C184" s="3" t="n"/>
      <c r="D184" s="3" t="n"/>
      <c r="E184" s="4" t="n"/>
      <c r="F184" s="4" t="n"/>
      <c r="G184" s="4" t="n"/>
      <c r="H184" s="4" t="n"/>
      <c r="I184" s="5">
        <f>IF(E184="","",ROUND(E184*0.21,2))</f>
        <v/>
      </c>
      <c r="J184" s="5">
        <f>IF(F184="","",ROUND(F184*0.1,2))</f>
        <v/>
      </c>
      <c r="K184" s="5">
        <f>IF(G184="","",ROUND(G184*0.04,2))</f>
        <v/>
      </c>
      <c r="L184" s="4" t="n"/>
      <c r="M184" s="4" t="n"/>
      <c r="N184" s="5">
        <f>IF(A184="","",SUM(E184:K184)-N(L184))</f>
        <v/>
      </c>
      <c r="O184">
        <f>IF(OR(A184="",M184=""),"",IF(ABS(M184-N184)&lt;=0.02,"OK","REVISAR"))</f>
        <v/>
      </c>
      <c r="P184">
        <f>IF(D184="","",IF(LEN(TRIM(D184))&lt;&gt;9,"REVISAR",IFERROR(IF(OR(ISNUMBER(VALUE(LEFT(UPPER(TRIM(D184)),1))),LEFT(UPPER(TRIM(D184)),1)="X",LEFT(UPPER(TRIM(D184)),1)="Y",LEFT(UPPER(TRIM(D184)),1)="Z"),IF(MID("TRWAGMYFPDXBNJZSQVHLCKE",MOD(VALUE(SUBSTITUTE(SUBSTITUTE(SUBSTITUTE(LEFT(UPPER(TRIM(D184)),8),"X","0"),"Y","1"),"Z","2")),23)+1,1)=RIGHT(UPPER(TRIM(D184)),1),"OK","REVISAR"),IF(OR(RIGHT(UPPER(TRIM(D184)),1)=TEXT(MOD(10-MOD((VALUE(MID(UPPER(TRIM(D184)),3,1))+VALUE(MID(UPPER(TRIM(D184)),5,1))+VALUE(MID(UPPER(TRIM(D184)),7,1)))+(INT(2*VALUE(MID(UPPER(TRIM(D184)),2,1))/10)+MOD(2*VALUE(MID(UPPER(TRIM(D184)),2,1)),10))+(INT(2*VALUE(MID(UPPER(TRIM(D184)),4,1))/10)+MOD(2*VALUE(MID(UPPER(TRIM(D184)),4,1)),10))+(INT(2*VALUE(MID(UPPER(TRIM(D184)),6,1))/10)+MOD(2*VALUE(MID(UPPER(TRIM(D184)),6,1)),10))+(INT(2*VALUE(MID(UPPER(TRIM(D184)),8,1))/10)+MOD(2*VALUE(MID(UPPER(TRIM(D184)),8,1)),10)),10),10),"0"),RIGHT(UPPER(TRIM(D184)),1)=MID("JABCDEFGHI",MOD(10-MOD((VALUE(MID(UPPER(TRIM(D184)),3,1))+VALUE(MID(UPPER(TRIM(D184)),5,1))+VALUE(MID(UPPER(TRIM(D184)),7,1)))+(INT(2*VALUE(MID(UPPER(TRIM(D184)),2,1))/10)+MOD(2*VALUE(MID(UPPER(TRIM(D184)),2,1)),10))+(INT(2*VALUE(MID(UPPER(TRIM(D184)),4,1))/10)+MOD(2*VALUE(MID(UPPER(TRIM(D184)),4,1)),10))+(INT(2*VALUE(MID(UPPER(TRIM(D184)),6,1))/10)+MOD(2*VALUE(MID(UPPER(TRIM(D184)),6,1)),10))+(INT(2*VALUE(MID(UPPER(TRIM(D184)),8,1))/10)+MOD(2*VALUE(MID(UPPER(TRIM(D184)),8,1)),10)),10),10)+1,1)),"OK","REVISAR")),"REVISAR")))</f>
        <v/>
      </c>
      <c r="Q184">
        <f>IF(B184="","",IF(COUNTIFS($B$2:$B$501,B184,$D$2:$D$501,D184)&gt;1,"DUPLICADA",""))</f>
        <v/>
      </c>
      <c r="R184">
        <f>IF(A184="","",ROUNDUP(MONTH(A184)/3,0))</f>
        <v/>
      </c>
      <c r="S184" s="3" t="n"/>
    </row>
    <row r="185">
      <c r="A185" s="2" t="n"/>
      <c r="B185" s="3" t="n"/>
      <c r="C185" s="3" t="n"/>
      <c r="D185" s="3" t="n"/>
      <c r="E185" s="4" t="n"/>
      <c r="F185" s="4" t="n"/>
      <c r="G185" s="4" t="n"/>
      <c r="H185" s="4" t="n"/>
      <c r="I185" s="5">
        <f>IF(E185="","",ROUND(E185*0.21,2))</f>
        <v/>
      </c>
      <c r="J185" s="5">
        <f>IF(F185="","",ROUND(F185*0.1,2))</f>
        <v/>
      </c>
      <c r="K185" s="5">
        <f>IF(G185="","",ROUND(G185*0.04,2))</f>
        <v/>
      </c>
      <c r="L185" s="4" t="n"/>
      <c r="M185" s="4" t="n"/>
      <c r="N185" s="5">
        <f>IF(A185="","",SUM(E185:K185)-N(L185))</f>
        <v/>
      </c>
      <c r="O185">
        <f>IF(OR(A185="",M185=""),"",IF(ABS(M185-N185)&lt;=0.02,"OK","REVISAR"))</f>
        <v/>
      </c>
      <c r="P185">
        <f>IF(D185="","",IF(LEN(TRIM(D185))&lt;&gt;9,"REVISAR",IFERROR(IF(OR(ISNUMBER(VALUE(LEFT(UPPER(TRIM(D185)),1))),LEFT(UPPER(TRIM(D185)),1)="X",LEFT(UPPER(TRIM(D185)),1)="Y",LEFT(UPPER(TRIM(D185)),1)="Z"),IF(MID("TRWAGMYFPDXBNJZSQVHLCKE",MOD(VALUE(SUBSTITUTE(SUBSTITUTE(SUBSTITUTE(LEFT(UPPER(TRIM(D185)),8),"X","0"),"Y","1"),"Z","2")),23)+1,1)=RIGHT(UPPER(TRIM(D185)),1),"OK","REVISAR"),IF(OR(RIGHT(UPPER(TRIM(D185)),1)=TEXT(MOD(10-MOD((VALUE(MID(UPPER(TRIM(D185)),3,1))+VALUE(MID(UPPER(TRIM(D185)),5,1))+VALUE(MID(UPPER(TRIM(D185)),7,1)))+(INT(2*VALUE(MID(UPPER(TRIM(D185)),2,1))/10)+MOD(2*VALUE(MID(UPPER(TRIM(D185)),2,1)),10))+(INT(2*VALUE(MID(UPPER(TRIM(D185)),4,1))/10)+MOD(2*VALUE(MID(UPPER(TRIM(D185)),4,1)),10))+(INT(2*VALUE(MID(UPPER(TRIM(D185)),6,1))/10)+MOD(2*VALUE(MID(UPPER(TRIM(D185)),6,1)),10))+(INT(2*VALUE(MID(UPPER(TRIM(D185)),8,1))/10)+MOD(2*VALUE(MID(UPPER(TRIM(D185)),8,1)),10)),10),10),"0"),RIGHT(UPPER(TRIM(D185)),1)=MID("JABCDEFGHI",MOD(10-MOD((VALUE(MID(UPPER(TRIM(D185)),3,1))+VALUE(MID(UPPER(TRIM(D185)),5,1))+VALUE(MID(UPPER(TRIM(D185)),7,1)))+(INT(2*VALUE(MID(UPPER(TRIM(D185)),2,1))/10)+MOD(2*VALUE(MID(UPPER(TRIM(D185)),2,1)),10))+(INT(2*VALUE(MID(UPPER(TRIM(D185)),4,1))/10)+MOD(2*VALUE(MID(UPPER(TRIM(D185)),4,1)),10))+(INT(2*VALUE(MID(UPPER(TRIM(D185)),6,1))/10)+MOD(2*VALUE(MID(UPPER(TRIM(D185)),6,1)),10))+(INT(2*VALUE(MID(UPPER(TRIM(D185)),8,1))/10)+MOD(2*VALUE(MID(UPPER(TRIM(D185)),8,1)),10)),10),10)+1,1)),"OK","REVISAR")),"REVISAR")))</f>
        <v/>
      </c>
      <c r="Q185">
        <f>IF(B185="","",IF(COUNTIFS($B$2:$B$501,B185,$D$2:$D$501,D185)&gt;1,"DUPLICADA",""))</f>
        <v/>
      </c>
      <c r="R185">
        <f>IF(A185="","",ROUNDUP(MONTH(A185)/3,0))</f>
        <v/>
      </c>
      <c r="S185" s="3" t="n"/>
    </row>
    <row r="186">
      <c r="A186" s="2" t="n"/>
      <c r="B186" s="3" t="n"/>
      <c r="C186" s="3" t="n"/>
      <c r="D186" s="3" t="n"/>
      <c r="E186" s="4" t="n"/>
      <c r="F186" s="4" t="n"/>
      <c r="G186" s="4" t="n"/>
      <c r="H186" s="4" t="n"/>
      <c r="I186" s="5">
        <f>IF(E186="","",ROUND(E186*0.21,2))</f>
        <v/>
      </c>
      <c r="J186" s="5">
        <f>IF(F186="","",ROUND(F186*0.1,2))</f>
        <v/>
      </c>
      <c r="K186" s="5">
        <f>IF(G186="","",ROUND(G186*0.04,2))</f>
        <v/>
      </c>
      <c r="L186" s="4" t="n"/>
      <c r="M186" s="4" t="n"/>
      <c r="N186" s="5">
        <f>IF(A186="","",SUM(E186:K186)-N(L186))</f>
        <v/>
      </c>
      <c r="O186">
        <f>IF(OR(A186="",M186=""),"",IF(ABS(M186-N186)&lt;=0.02,"OK","REVISAR"))</f>
        <v/>
      </c>
      <c r="P186">
        <f>IF(D186="","",IF(LEN(TRIM(D186))&lt;&gt;9,"REVISAR",IFERROR(IF(OR(ISNUMBER(VALUE(LEFT(UPPER(TRIM(D186)),1))),LEFT(UPPER(TRIM(D186)),1)="X",LEFT(UPPER(TRIM(D186)),1)="Y",LEFT(UPPER(TRIM(D186)),1)="Z"),IF(MID("TRWAGMYFPDXBNJZSQVHLCKE",MOD(VALUE(SUBSTITUTE(SUBSTITUTE(SUBSTITUTE(LEFT(UPPER(TRIM(D186)),8),"X","0"),"Y","1"),"Z","2")),23)+1,1)=RIGHT(UPPER(TRIM(D186)),1),"OK","REVISAR"),IF(OR(RIGHT(UPPER(TRIM(D186)),1)=TEXT(MOD(10-MOD((VALUE(MID(UPPER(TRIM(D186)),3,1))+VALUE(MID(UPPER(TRIM(D186)),5,1))+VALUE(MID(UPPER(TRIM(D186)),7,1)))+(INT(2*VALUE(MID(UPPER(TRIM(D186)),2,1))/10)+MOD(2*VALUE(MID(UPPER(TRIM(D186)),2,1)),10))+(INT(2*VALUE(MID(UPPER(TRIM(D186)),4,1))/10)+MOD(2*VALUE(MID(UPPER(TRIM(D186)),4,1)),10))+(INT(2*VALUE(MID(UPPER(TRIM(D186)),6,1))/10)+MOD(2*VALUE(MID(UPPER(TRIM(D186)),6,1)),10))+(INT(2*VALUE(MID(UPPER(TRIM(D186)),8,1))/10)+MOD(2*VALUE(MID(UPPER(TRIM(D186)),8,1)),10)),10),10),"0"),RIGHT(UPPER(TRIM(D186)),1)=MID("JABCDEFGHI",MOD(10-MOD((VALUE(MID(UPPER(TRIM(D186)),3,1))+VALUE(MID(UPPER(TRIM(D186)),5,1))+VALUE(MID(UPPER(TRIM(D186)),7,1)))+(INT(2*VALUE(MID(UPPER(TRIM(D186)),2,1))/10)+MOD(2*VALUE(MID(UPPER(TRIM(D186)),2,1)),10))+(INT(2*VALUE(MID(UPPER(TRIM(D186)),4,1))/10)+MOD(2*VALUE(MID(UPPER(TRIM(D186)),4,1)),10))+(INT(2*VALUE(MID(UPPER(TRIM(D186)),6,1))/10)+MOD(2*VALUE(MID(UPPER(TRIM(D186)),6,1)),10))+(INT(2*VALUE(MID(UPPER(TRIM(D186)),8,1))/10)+MOD(2*VALUE(MID(UPPER(TRIM(D186)),8,1)),10)),10),10)+1,1)),"OK","REVISAR")),"REVISAR")))</f>
        <v/>
      </c>
      <c r="Q186">
        <f>IF(B186="","",IF(COUNTIFS($B$2:$B$501,B186,$D$2:$D$501,D186)&gt;1,"DUPLICADA",""))</f>
        <v/>
      </c>
      <c r="R186">
        <f>IF(A186="","",ROUNDUP(MONTH(A186)/3,0))</f>
        <v/>
      </c>
      <c r="S186" s="3" t="n"/>
    </row>
    <row r="187">
      <c r="A187" s="2" t="n"/>
      <c r="B187" s="3" t="n"/>
      <c r="C187" s="3" t="n"/>
      <c r="D187" s="3" t="n"/>
      <c r="E187" s="4" t="n"/>
      <c r="F187" s="4" t="n"/>
      <c r="G187" s="4" t="n"/>
      <c r="H187" s="4" t="n"/>
      <c r="I187" s="5">
        <f>IF(E187="","",ROUND(E187*0.21,2))</f>
        <v/>
      </c>
      <c r="J187" s="5">
        <f>IF(F187="","",ROUND(F187*0.1,2))</f>
        <v/>
      </c>
      <c r="K187" s="5">
        <f>IF(G187="","",ROUND(G187*0.04,2))</f>
        <v/>
      </c>
      <c r="L187" s="4" t="n"/>
      <c r="M187" s="4" t="n"/>
      <c r="N187" s="5">
        <f>IF(A187="","",SUM(E187:K187)-N(L187))</f>
        <v/>
      </c>
      <c r="O187">
        <f>IF(OR(A187="",M187=""),"",IF(ABS(M187-N187)&lt;=0.02,"OK","REVISAR"))</f>
        <v/>
      </c>
      <c r="P187">
        <f>IF(D187="","",IF(LEN(TRIM(D187))&lt;&gt;9,"REVISAR",IFERROR(IF(OR(ISNUMBER(VALUE(LEFT(UPPER(TRIM(D187)),1))),LEFT(UPPER(TRIM(D187)),1)="X",LEFT(UPPER(TRIM(D187)),1)="Y",LEFT(UPPER(TRIM(D187)),1)="Z"),IF(MID("TRWAGMYFPDXBNJZSQVHLCKE",MOD(VALUE(SUBSTITUTE(SUBSTITUTE(SUBSTITUTE(LEFT(UPPER(TRIM(D187)),8),"X","0"),"Y","1"),"Z","2")),23)+1,1)=RIGHT(UPPER(TRIM(D187)),1),"OK","REVISAR"),IF(OR(RIGHT(UPPER(TRIM(D187)),1)=TEXT(MOD(10-MOD((VALUE(MID(UPPER(TRIM(D187)),3,1))+VALUE(MID(UPPER(TRIM(D187)),5,1))+VALUE(MID(UPPER(TRIM(D187)),7,1)))+(INT(2*VALUE(MID(UPPER(TRIM(D187)),2,1))/10)+MOD(2*VALUE(MID(UPPER(TRIM(D187)),2,1)),10))+(INT(2*VALUE(MID(UPPER(TRIM(D187)),4,1))/10)+MOD(2*VALUE(MID(UPPER(TRIM(D187)),4,1)),10))+(INT(2*VALUE(MID(UPPER(TRIM(D187)),6,1))/10)+MOD(2*VALUE(MID(UPPER(TRIM(D187)),6,1)),10))+(INT(2*VALUE(MID(UPPER(TRIM(D187)),8,1))/10)+MOD(2*VALUE(MID(UPPER(TRIM(D187)),8,1)),10)),10),10),"0"),RIGHT(UPPER(TRIM(D187)),1)=MID("JABCDEFGHI",MOD(10-MOD((VALUE(MID(UPPER(TRIM(D187)),3,1))+VALUE(MID(UPPER(TRIM(D187)),5,1))+VALUE(MID(UPPER(TRIM(D187)),7,1)))+(INT(2*VALUE(MID(UPPER(TRIM(D187)),2,1))/10)+MOD(2*VALUE(MID(UPPER(TRIM(D187)),2,1)),10))+(INT(2*VALUE(MID(UPPER(TRIM(D187)),4,1))/10)+MOD(2*VALUE(MID(UPPER(TRIM(D187)),4,1)),10))+(INT(2*VALUE(MID(UPPER(TRIM(D187)),6,1))/10)+MOD(2*VALUE(MID(UPPER(TRIM(D187)),6,1)),10))+(INT(2*VALUE(MID(UPPER(TRIM(D187)),8,1))/10)+MOD(2*VALUE(MID(UPPER(TRIM(D187)),8,1)),10)),10),10)+1,1)),"OK","REVISAR")),"REVISAR")))</f>
        <v/>
      </c>
      <c r="Q187">
        <f>IF(B187="","",IF(COUNTIFS($B$2:$B$501,B187,$D$2:$D$501,D187)&gt;1,"DUPLICADA",""))</f>
        <v/>
      </c>
      <c r="R187">
        <f>IF(A187="","",ROUNDUP(MONTH(A187)/3,0))</f>
        <v/>
      </c>
      <c r="S187" s="3" t="n"/>
    </row>
    <row r="188">
      <c r="A188" s="2" t="n"/>
      <c r="B188" s="3" t="n"/>
      <c r="C188" s="3" t="n"/>
      <c r="D188" s="3" t="n"/>
      <c r="E188" s="4" t="n"/>
      <c r="F188" s="4" t="n"/>
      <c r="G188" s="4" t="n"/>
      <c r="H188" s="4" t="n"/>
      <c r="I188" s="5">
        <f>IF(E188="","",ROUND(E188*0.21,2))</f>
        <v/>
      </c>
      <c r="J188" s="5">
        <f>IF(F188="","",ROUND(F188*0.1,2))</f>
        <v/>
      </c>
      <c r="K188" s="5">
        <f>IF(G188="","",ROUND(G188*0.04,2))</f>
        <v/>
      </c>
      <c r="L188" s="4" t="n"/>
      <c r="M188" s="4" t="n"/>
      <c r="N188" s="5">
        <f>IF(A188="","",SUM(E188:K188)-N(L188))</f>
        <v/>
      </c>
      <c r="O188">
        <f>IF(OR(A188="",M188=""),"",IF(ABS(M188-N188)&lt;=0.02,"OK","REVISAR"))</f>
        <v/>
      </c>
      <c r="P188">
        <f>IF(D188="","",IF(LEN(TRIM(D188))&lt;&gt;9,"REVISAR",IFERROR(IF(OR(ISNUMBER(VALUE(LEFT(UPPER(TRIM(D188)),1))),LEFT(UPPER(TRIM(D188)),1)="X",LEFT(UPPER(TRIM(D188)),1)="Y",LEFT(UPPER(TRIM(D188)),1)="Z"),IF(MID("TRWAGMYFPDXBNJZSQVHLCKE",MOD(VALUE(SUBSTITUTE(SUBSTITUTE(SUBSTITUTE(LEFT(UPPER(TRIM(D188)),8),"X","0"),"Y","1"),"Z","2")),23)+1,1)=RIGHT(UPPER(TRIM(D188)),1),"OK","REVISAR"),IF(OR(RIGHT(UPPER(TRIM(D188)),1)=TEXT(MOD(10-MOD((VALUE(MID(UPPER(TRIM(D188)),3,1))+VALUE(MID(UPPER(TRIM(D188)),5,1))+VALUE(MID(UPPER(TRIM(D188)),7,1)))+(INT(2*VALUE(MID(UPPER(TRIM(D188)),2,1))/10)+MOD(2*VALUE(MID(UPPER(TRIM(D188)),2,1)),10))+(INT(2*VALUE(MID(UPPER(TRIM(D188)),4,1))/10)+MOD(2*VALUE(MID(UPPER(TRIM(D188)),4,1)),10))+(INT(2*VALUE(MID(UPPER(TRIM(D188)),6,1))/10)+MOD(2*VALUE(MID(UPPER(TRIM(D188)),6,1)),10))+(INT(2*VALUE(MID(UPPER(TRIM(D188)),8,1))/10)+MOD(2*VALUE(MID(UPPER(TRIM(D188)),8,1)),10)),10),10),"0"),RIGHT(UPPER(TRIM(D188)),1)=MID("JABCDEFGHI",MOD(10-MOD((VALUE(MID(UPPER(TRIM(D188)),3,1))+VALUE(MID(UPPER(TRIM(D188)),5,1))+VALUE(MID(UPPER(TRIM(D188)),7,1)))+(INT(2*VALUE(MID(UPPER(TRIM(D188)),2,1))/10)+MOD(2*VALUE(MID(UPPER(TRIM(D188)),2,1)),10))+(INT(2*VALUE(MID(UPPER(TRIM(D188)),4,1))/10)+MOD(2*VALUE(MID(UPPER(TRIM(D188)),4,1)),10))+(INT(2*VALUE(MID(UPPER(TRIM(D188)),6,1))/10)+MOD(2*VALUE(MID(UPPER(TRIM(D188)),6,1)),10))+(INT(2*VALUE(MID(UPPER(TRIM(D188)),8,1))/10)+MOD(2*VALUE(MID(UPPER(TRIM(D188)),8,1)),10)),10),10)+1,1)),"OK","REVISAR")),"REVISAR")))</f>
        <v/>
      </c>
      <c r="Q188">
        <f>IF(B188="","",IF(COUNTIFS($B$2:$B$501,B188,$D$2:$D$501,D188)&gt;1,"DUPLICADA",""))</f>
        <v/>
      </c>
      <c r="R188">
        <f>IF(A188="","",ROUNDUP(MONTH(A188)/3,0))</f>
        <v/>
      </c>
      <c r="S188" s="3" t="n"/>
    </row>
    <row r="189">
      <c r="A189" s="2" t="n"/>
      <c r="B189" s="3" t="n"/>
      <c r="C189" s="3" t="n"/>
      <c r="D189" s="3" t="n"/>
      <c r="E189" s="4" t="n"/>
      <c r="F189" s="4" t="n"/>
      <c r="G189" s="4" t="n"/>
      <c r="H189" s="4" t="n"/>
      <c r="I189" s="5">
        <f>IF(E189="","",ROUND(E189*0.21,2))</f>
        <v/>
      </c>
      <c r="J189" s="5">
        <f>IF(F189="","",ROUND(F189*0.1,2))</f>
        <v/>
      </c>
      <c r="K189" s="5">
        <f>IF(G189="","",ROUND(G189*0.04,2))</f>
        <v/>
      </c>
      <c r="L189" s="4" t="n"/>
      <c r="M189" s="4" t="n"/>
      <c r="N189" s="5">
        <f>IF(A189="","",SUM(E189:K189)-N(L189))</f>
        <v/>
      </c>
      <c r="O189">
        <f>IF(OR(A189="",M189=""),"",IF(ABS(M189-N189)&lt;=0.02,"OK","REVISAR"))</f>
        <v/>
      </c>
      <c r="P189">
        <f>IF(D189="","",IF(LEN(TRIM(D189))&lt;&gt;9,"REVISAR",IFERROR(IF(OR(ISNUMBER(VALUE(LEFT(UPPER(TRIM(D189)),1))),LEFT(UPPER(TRIM(D189)),1)="X",LEFT(UPPER(TRIM(D189)),1)="Y",LEFT(UPPER(TRIM(D189)),1)="Z"),IF(MID("TRWAGMYFPDXBNJZSQVHLCKE",MOD(VALUE(SUBSTITUTE(SUBSTITUTE(SUBSTITUTE(LEFT(UPPER(TRIM(D189)),8),"X","0"),"Y","1"),"Z","2")),23)+1,1)=RIGHT(UPPER(TRIM(D189)),1),"OK","REVISAR"),IF(OR(RIGHT(UPPER(TRIM(D189)),1)=TEXT(MOD(10-MOD((VALUE(MID(UPPER(TRIM(D189)),3,1))+VALUE(MID(UPPER(TRIM(D189)),5,1))+VALUE(MID(UPPER(TRIM(D189)),7,1)))+(INT(2*VALUE(MID(UPPER(TRIM(D189)),2,1))/10)+MOD(2*VALUE(MID(UPPER(TRIM(D189)),2,1)),10))+(INT(2*VALUE(MID(UPPER(TRIM(D189)),4,1))/10)+MOD(2*VALUE(MID(UPPER(TRIM(D189)),4,1)),10))+(INT(2*VALUE(MID(UPPER(TRIM(D189)),6,1))/10)+MOD(2*VALUE(MID(UPPER(TRIM(D189)),6,1)),10))+(INT(2*VALUE(MID(UPPER(TRIM(D189)),8,1))/10)+MOD(2*VALUE(MID(UPPER(TRIM(D189)),8,1)),10)),10),10),"0"),RIGHT(UPPER(TRIM(D189)),1)=MID("JABCDEFGHI",MOD(10-MOD((VALUE(MID(UPPER(TRIM(D189)),3,1))+VALUE(MID(UPPER(TRIM(D189)),5,1))+VALUE(MID(UPPER(TRIM(D189)),7,1)))+(INT(2*VALUE(MID(UPPER(TRIM(D189)),2,1))/10)+MOD(2*VALUE(MID(UPPER(TRIM(D189)),2,1)),10))+(INT(2*VALUE(MID(UPPER(TRIM(D189)),4,1))/10)+MOD(2*VALUE(MID(UPPER(TRIM(D189)),4,1)),10))+(INT(2*VALUE(MID(UPPER(TRIM(D189)),6,1))/10)+MOD(2*VALUE(MID(UPPER(TRIM(D189)),6,1)),10))+(INT(2*VALUE(MID(UPPER(TRIM(D189)),8,1))/10)+MOD(2*VALUE(MID(UPPER(TRIM(D189)),8,1)),10)),10),10)+1,1)),"OK","REVISAR")),"REVISAR")))</f>
        <v/>
      </c>
      <c r="Q189">
        <f>IF(B189="","",IF(COUNTIFS($B$2:$B$501,B189,$D$2:$D$501,D189)&gt;1,"DUPLICADA",""))</f>
        <v/>
      </c>
      <c r="R189">
        <f>IF(A189="","",ROUNDUP(MONTH(A189)/3,0))</f>
        <v/>
      </c>
      <c r="S189" s="3" t="n"/>
    </row>
    <row r="190">
      <c r="A190" s="2" t="n"/>
      <c r="B190" s="3" t="n"/>
      <c r="C190" s="3" t="n"/>
      <c r="D190" s="3" t="n"/>
      <c r="E190" s="4" t="n"/>
      <c r="F190" s="4" t="n"/>
      <c r="G190" s="4" t="n"/>
      <c r="H190" s="4" t="n"/>
      <c r="I190" s="5">
        <f>IF(E190="","",ROUND(E190*0.21,2))</f>
        <v/>
      </c>
      <c r="J190" s="5">
        <f>IF(F190="","",ROUND(F190*0.1,2))</f>
        <v/>
      </c>
      <c r="K190" s="5">
        <f>IF(G190="","",ROUND(G190*0.04,2))</f>
        <v/>
      </c>
      <c r="L190" s="4" t="n"/>
      <c r="M190" s="4" t="n"/>
      <c r="N190" s="5">
        <f>IF(A190="","",SUM(E190:K190)-N(L190))</f>
        <v/>
      </c>
      <c r="O190">
        <f>IF(OR(A190="",M190=""),"",IF(ABS(M190-N190)&lt;=0.02,"OK","REVISAR"))</f>
        <v/>
      </c>
      <c r="P190">
        <f>IF(D190="","",IF(LEN(TRIM(D190))&lt;&gt;9,"REVISAR",IFERROR(IF(OR(ISNUMBER(VALUE(LEFT(UPPER(TRIM(D190)),1))),LEFT(UPPER(TRIM(D190)),1)="X",LEFT(UPPER(TRIM(D190)),1)="Y",LEFT(UPPER(TRIM(D190)),1)="Z"),IF(MID("TRWAGMYFPDXBNJZSQVHLCKE",MOD(VALUE(SUBSTITUTE(SUBSTITUTE(SUBSTITUTE(LEFT(UPPER(TRIM(D190)),8),"X","0"),"Y","1"),"Z","2")),23)+1,1)=RIGHT(UPPER(TRIM(D190)),1),"OK","REVISAR"),IF(OR(RIGHT(UPPER(TRIM(D190)),1)=TEXT(MOD(10-MOD((VALUE(MID(UPPER(TRIM(D190)),3,1))+VALUE(MID(UPPER(TRIM(D190)),5,1))+VALUE(MID(UPPER(TRIM(D190)),7,1)))+(INT(2*VALUE(MID(UPPER(TRIM(D190)),2,1))/10)+MOD(2*VALUE(MID(UPPER(TRIM(D190)),2,1)),10))+(INT(2*VALUE(MID(UPPER(TRIM(D190)),4,1))/10)+MOD(2*VALUE(MID(UPPER(TRIM(D190)),4,1)),10))+(INT(2*VALUE(MID(UPPER(TRIM(D190)),6,1))/10)+MOD(2*VALUE(MID(UPPER(TRIM(D190)),6,1)),10))+(INT(2*VALUE(MID(UPPER(TRIM(D190)),8,1))/10)+MOD(2*VALUE(MID(UPPER(TRIM(D190)),8,1)),10)),10),10),"0"),RIGHT(UPPER(TRIM(D190)),1)=MID("JABCDEFGHI",MOD(10-MOD((VALUE(MID(UPPER(TRIM(D190)),3,1))+VALUE(MID(UPPER(TRIM(D190)),5,1))+VALUE(MID(UPPER(TRIM(D190)),7,1)))+(INT(2*VALUE(MID(UPPER(TRIM(D190)),2,1))/10)+MOD(2*VALUE(MID(UPPER(TRIM(D190)),2,1)),10))+(INT(2*VALUE(MID(UPPER(TRIM(D190)),4,1))/10)+MOD(2*VALUE(MID(UPPER(TRIM(D190)),4,1)),10))+(INT(2*VALUE(MID(UPPER(TRIM(D190)),6,1))/10)+MOD(2*VALUE(MID(UPPER(TRIM(D190)),6,1)),10))+(INT(2*VALUE(MID(UPPER(TRIM(D190)),8,1))/10)+MOD(2*VALUE(MID(UPPER(TRIM(D190)),8,1)),10)),10),10)+1,1)),"OK","REVISAR")),"REVISAR")))</f>
        <v/>
      </c>
      <c r="Q190">
        <f>IF(B190="","",IF(COUNTIFS($B$2:$B$501,B190,$D$2:$D$501,D190)&gt;1,"DUPLICADA",""))</f>
        <v/>
      </c>
      <c r="R190">
        <f>IF(A190="","",ROUNDUP(MONTH(A190)/3,0))</f>
        <v/>
      </c>
      <c r="S190" s="3" t="n"/>
    </row>
    <row r="191">
      <c r="A191" s="2" t="n"/>
      <c r="B191" s="3" t="n"/>
      <c r="C191" s="3" t="n"/>
      <c r="D191" s="3" t="n"/>
      <c r="E191" s="4" t="n"/>
      <c r="F191" s="4" t="n"/>
      <c r="G191" s="4" t="n"/>
      <c r="H191" s="4" t="n"/>
      <c r="I191" s="5">
        <f>IF(E191="","",ROUND(E191*0.21,2))</f>
        <v/>
      </c>
      <c r="J191" s="5">
        <f>IF(F191="","",ROUND(F191*0.1,2))</f>
        <v/>
      </c>
      <c r="K191" s="5">
        <f>IF(G191="","",ROUND(G191*0.04,2))</f>
        <v/>
      </c>
      <c r="L191" s="4" t="n"/>
      <c r="M191" s="4" t="n"/>
      <c r="N191" s="5">
        <f>IF(A191="","",SUM(E191:K191)-N(L191))</f>
        <v/>
      </c>
      <c r="O191">
        <f>IF(OR(A191="",M191=""),"",IF(ABS(M191-N191)&lt;=0.02,"OK","REVISAR"))</f>
        <v/>
      </c>
      <c r="P191">
        <f>IF(D191="","",IF(LEN(TRIM(D191))&lt;&gt;9,"REVISAR",IFERROR(IF(OR(ISNUMBER(VALUE(LEFT(UPPER(TRIM(D191)),1))),LEFT(UPPER(TRIM(D191)),1)="X",LEFT(UPPER(TRIM(D191)),1)="Y",LEFT(UPPER(TRIM(D191)),1)="Z"),IF(MID("TRWAGMYFPDXBNJZSQVHLCKE",MOD(VALUE(SUBSTITUTE(SUBSTITUTE(SUBSTITUTE(LEFT(UPPER(TRIM(D191)),8),"X","0"),"Y","1"),"Z","2")),23)+1,1)=RIGHT(UPPER(TRIM(D191)),1),"OK","REVISAR"),IF(OR(RIGHT(UPPER(TRIM(D191)),1)=TEXT(MOD(10-MOD((VALUE(MID(UPPER(TRIM(D191)),3,1))+VALUE(MID(UPPER(TRIM(D191)),5,1))+VALUE(MID(UPPER(TRIM(D191)),7,1)))+(INT(2*VALUE(MID(UPPER(TRIM(D191)),2,1))/10)+MOD(2*VALUE(MID(UPPER(TRIM(D191)),2,1)),10))+(INT(2*VALUE(MID(UPPER(TRIM(D191)),4,1))/10)+MOD(2*VALUE(MID(UPPER(TRIM(D191)),4,1)),10))+(INT(2*VALUE(MID(UPPER(TRIM(D191)),6,1))/10)+MOD(2*VALUE(MID(UPPER(TRIM(D191)),6,1)),10))+(INT(2*VALUE(MID(UPPER(TRIM(D191)),8,1))/10)+MOD(2*VALUE(MID(UPPER(TRIM(D191)),8,1)),10)),10),10),"0"),RIGHT(UPPER(TRIM(D191)),1)=MID("JABCDEFGHI",MOD(10-MOD((VALUE(MID(UPPER(TRIM(D191)),3,1))+VALUE(MID(UPPER(TRIM(D191)),5,1))+VALUE(MID(UPPER(TRIM(D191)),7,1)))+(INT(2*VALUE(MID(UPPER(TRIM(D191)),2,1))/10)+MOD(2*VALUE(MID(UPPER(TRIM(D191)),2,1)),10))+(INT(2*VALUE(MID(UPPER(TRIM(D191)),4,1))/10)+MOD(2*VALUE(MID(UPPER(TRIM(D191)),4,1)),10))+(INT(2*VALUE(MID(UPPER(TRIM(D191)),6,1))/10)+MOD(2*VALUE(MID(UPPER(TRIM(D191)),6,1)),10))+(INT(2*VALUE(MID(UPPER(TRIM(D191)),8,1))/10)+MOD(2*VALUE(MID(UPPER(TRIM(D191)),8,1)),10)),10),10)+1,1)),"OK","REVISAR")),"REVISAR")))</f>
        <v/>
      </c>
      <c r="Q191">
        <f>IF(B191="","",IF(COUNTIFS($B$2:$B$501,B191,$D$2:$D$501,D191)&gt;1,"DUPLICADA",""))</f>
        <v/>
      </c>
      <c r="R191">
        <f>IF(A191="","",ROUNDUP(MONTH(A191)/3,0))</f>
        <v/>
      </c>
      <c r="S191" s="3" t="n"/>
    </row>
    <row r="192">
      <c r="A192" s="2" t="n"/>
      <c r="B192" s="3" t="n"/>
      <c r="C192" s="3" t="n"/>
      <c r="D192" s="3" t="n"/>
      <c r="E192" s="4" t="n"/>
      <c r="F192" s="4" t="n"/>
      <c r="G192" s="4" t="n"/>
      <c r="H192" s="4" t="n"/>
      <c r="I192" s="5">
        <f>IF(E192="","",ROUND(E192*0.21,2))</f>
        <v/>
      </c>
      <c r="J192" s="5">
        <f>IF(F192="","",ROUND(F192*0.1,2))</f>
        <v/>
      </c>
      <c r="K192" s="5">
        <f>IF(G192="","",ROUND(G192*0.04,2))</f>
        <v/>
      </c>
      <c r="L192" s="4" t="n"/>
      <c r="M192" s="4" t="n"/>
      <c r="N192" s="5">
        <f>IF(A192="","",SUM(E192:K192)-N(L192))</f>
        <v/>
      </c>
      <c r="O192">
        <f>IF(OR(A192="",M192=""),"",IF(ABS(M192-N192)&lt;=0.02,"OK","REVISAR"))</f>
        <v/>
      </c>
      <c r="P192">
        <f>IF(D192="","",IF(LEN(TRIM(D192))&lt;&gt;9,"REVISAR",IFERROR(IF(OR(ISNUMBER(VALUE(LEFT(UPPER(TRIM(D192)),1))),LEFT(UPPER(TRIM(D192)),1)="X",LEFT(UPPER(TRIM(D192)),1)="Y",LEFT(UPPER(TRIM(D192)),1)="Z"),IF(MID("TRWAGMYFPDXBNJZSQVHLCKE",MOD(VALUE(SUBSTITUTE(SUBSTITUTE(SUBSTITUTE(LEFT(UPPER(TRIM(D192)),8),"X","0"),"Y","1"),"Z","2")),23)+1,1)=RIGHT(UPPER(TRIM(D192)),1),"OK","REVISAR"),IF(OR(RIGHT(UPPER(TRIM(D192)),1)=TEXT(MOD(10-MOD((VALUE(MID(UPPER(TRIM(D192)),3,1))+VALUE(MID(UPPER(TRIM(D192)),5,1))+VALUE(MID(UPPER(TRIM(D192)),7,1)))+(INT(2*VALUE(MID(UPPER(TRIM(D192)),2,1))/10)+MOD(2*VALUE(MID(UPPER(TRIM(D192)),2,1)),10))+(INT(2*VALUE(MID(UPPER(TRIM(D192)),4,1))/10)+MOD(2*VALUE(MID(UPPER(TRIM(D192)),4,1)),10))+(INT(2*VALUE(MID(UPPER(TRIM(D192)),6,1))/10)+MOD(2*VALUE(MID(UPPER(TRIM(D192)),6,1)),10))+(INT(2*VALUE(MID(UPPER(TRIM(D192)),8,1))/10)+MOD(2*VALUE(MID(UPPER(TRIM(D192)),8,1)),10)),10),10),"0"),RIGHT(UPPER(TRIM(D192)),1)=MID("JABCDEFGHI",MOD(10-MOD((VALUE(MID(UPPER(TRIM(D192)),3,1))+VALUE(MID(UPPER(TRIM(D192)),5,1))+VALUE(MID(UPPER(TRIM(D192)),7,1)))+(INT(2*VALUE(MID(UPPER(TRIM(D192)),2,1))/10)+MOD(2*VALUE(MID(UPPER(TRIM(D192)),2,1)),10))+(INT(2*VALUE(MID(UPPER(TRIM(D192)),4,1))/10)+MOD(2*VALUE(MID(UPPER(TRIM(D192)),4,1)),10))+(INT(2*VALUE(MID(UPPER(TRIM(D192)),6,1))/10)+MOD(2*VALUE(MID(UPPER(TRIM(D192)),6,1)),10))+(INT(2*VALUE(MID(UPPER(TRIM(D192)),8,1))/10)+MOD(2*VALUE(MID(UPPER(TRIM(D192)),8,1)),10)),10),10)+1,1)),"OK","REVISAR")),"REVISAR")))</f>
        <v/>
      </c>
      <c r="Q192">
        <f>IF(B192="","",IF(COUNTIFS($B$2:$B$501,B192,$D$2:$D$501,D192)&gt;1,"DUPLICADA",""))</f>
        <v/>
      </c>
      <c r="R192">
        <f>IF(A192="","",ROUNDUP(MONTH(A192)/3,0))</f>
        <v/>
      </c>
      <c r="S192" s="3" t="n"/>
    </row>
    <row r="193">
      <c r="A193" s="2" t="n"/>
      <c r="B193" s="3" t="n"/>
      <c r="C193" s="3" t="n"/>
      <c r="D193" s="3" t="n"/>
      <c r="E193" s="4" t="n"/>
      <c r="F193" s="4" t="n"/>
      <c r="G193" s="4" t="n"/>
      <c r="H193" s="4" t="n"/>
      <c r="I193" s="5">
        <f>IF(E193="","",ROUND(E193*0.21,2))</f>
        <v/>
      </c>
      <c r="J193" s="5">
        <f>IF(F193="","",ROUND(F193*0.1,2))</f>
        <v/>
      </c>
      <c r="K193" s="5">
        <f>IF(G193="","",ROUND(G193*0.04,2))</f>
        <v/>
      </c>
      <c r="L193" s="4" t="n"/>
      <c r="M193" s="4" t="n"/>
      <c r="N193" s="5">
        <f>IF(A193="","",SUM(E193:K193)-N(L193))</f>
        <v/>
      </c>
      <c r="O193">
        <f>IF(OR(A193="",M193=""),"",IF(ABS(M193-N193)&lt;=0.02,"OK","REVISAR"))</f>
        <v/>
      </c>
      <c r="P193">
        <f>IF(D193="","",IF(LEN(TRIM(D193))&lt;&gt;9,"REVISAR",IFERROR(IF(OR(ISNUMBER(VALUE(LEFT(UPPER(TRIM(D193)),1))),LEFT(UPPER(TRIM(D193)),1)="X",LEFT(UPPER(TRIM(D193)),1)="Y",LEFT(UPPER(TRIM(D193)),1)="Z"),IF(MID("TRWAGMYFPDXBNJZSQVHLCKE",MOD(VALUE(SUBSTITUTE(SUBSTITUTE(SUBSTITUTE(LEFT(UPPER(TRIM(D193)),8),"X","0"),"Y","1"),"Z","2")),23)+1,1)=RIGHT(UPPER(TRIM(D193)),1),"OK","REVISAR"),IF(OR(RIGHT(UPPER(TRIM(D193)),1)=TEXT(MOD(10-MOD((VALUE(MID(UPPER(TRIM(D193)),3,1))+VALUE(MID(UPPER(TRIM(D193)),5,1))+VALUE(MID(UPPER(TRIM(D193)),7,1)))+(INT(2*VALUE(MID(UPPER(TRIM(D193)),2,1))/10)+MOD(2*VALUE(MID(UPPER(TRIM(D193)),2,1)),10))+(INT(2*VALUE(MID(UPPER(TRIM(D193)),4,1))/10)+MOD(2*VALUE(MID(UPPER(TRIM(D193)),4,1)),10))+(INT(2*VALUE(MID(UPPER(TRIM(D193)),6,1))/10)+MOD(2*VALUE(MID(UPPER(TRIM(D193)),6,1)),10))+(INT(2*VALUE(MID(UPPER(TRIM(D193)),8,1))/10)+MOD(2*VALUE(MID(UPPER(TRIM(D193)),8,1)),10)),10),10),"0"),RIGHT(UPPER(TRIM(D193)),1)=MID("JABCDEFGHI",MOD(10-MOD((VALUE(MID(UPPER(TRIM(D193)),3,1))+VALUE(MID(UPPER(TRIM(D193)),5,1))+VALUE(MID(UPPER(TRIM(D193)),7,1)))+(INT(2*VALUE(MID(UPPER(TRIM(D193)),2,1))/10)+MOD(2*VALUE(MID(UPPER(TRIM(D193)),2,1)),10))+(INT(2*VALUE(MID(UPPER(TRIM(D193)),4,1))/10)+MOD(2*VALUE(MID(UPPER(TRIM(D193)),4,1)),10))+(INT(2*VALUE(MID(UPPER(TRIM(D193)),6,1))/10)+MOD(2*VALUE(MID(UPPER(TRIM(D193)),6,1)),10))+(INT(2*VALUE(MID(UPPER(TRIM(D193)),8,1))/10)+MOD(2*VALUE(MID(UPPER(TRIM(D193)),8,1)),10)),10),10)+1,1)),"OK","REVISAR")),"REVISAR")))</f>
        <v/>
      </c>
      <c r="Q193">
        <f>IF(B193="","",IF(COUNTIFS($B$2:$B$501,B193,$D$2:$D$501,D193)&gt;1,"DUPLICADA",""))</f>
        <v/>
      </c>
      <c r="R193">
        <f>IF(A193="","",ROUNDUP(MONTH(A193)/3,0))</f>
        <v/>
      </c>
      <c r="S193" s="3" t="n"/>
    </row>
    <row r="194">
      <c r="A194" s="2" t="n"/>
      <c r="B194" s="3" t="n"/>
      <c r="C194" s="3" t="n"/>
      <c r="D194" s="3" t="n"/>
      <c r="E194" s="4" t="n"/>
      <c r="F194" s="4" t="n"/>
      <c r="G194" s="4" t="n"/>
      <c r="H194" s="4" t="n"/>
      <c r="I194" s="5">
        <f>IF(E194="","",ROUND(E194*0.21,2))</f>
        <v/>
      </c>
      <c r="J194" s="5">
        <f>IF(F194="","",ROUND(F194*0.1,2))</f>
        <v/>
      </c>
      <c r="K194" s="5">
        <f>IF(G194="","",ROUND(G194*0.04,2))</f>
        <v/>
      </c>
      <c r="L194" s="4" t="n"/>
      <c r="M194" s="4" t="n"/>
      <c r="N194" s="5">
        <f>IF(A194="","",SUM(E194:K194)-N(L194))</f>
        <v/>
      </c>
      <c r="O194">
        <f>IF(OR(A194="",M194=""),"",IF(ABS(M194-N194)&lt;=0.02,"OK","REVISAR"))</f>
        <v/>
      </c>
      <c r="P194">
        <f>IF(D194="","",IF(LEN(TRIM(D194))&lt;&gt;9,"REVISAR",IFERROR(IF(OR(ISNUMBER(VALUE(LEFT(UPPER(TRIM(D194)),1))),LEFT(UPPER(TRIM(D194)),1)="X",LEFT(UPPER(TRIM(D194)),1)="Y",LEFT(UPPER(TRIM(D194)),1)="Z"),IF(MID("TRWAGMYFPDXBNJZSQVHLCKE",MOD(VALUE(SUBSTITUTE(SUBSTITUTE(SUBSTITUTE(LEFT(UPPER(TRIM(D194)),8),"X","0"),"Y","1"),"Z","2")),23)+1,1)=RIGHT(UPPER(TRIM(D194)),1),"OK","REVISAR"),IF(OR(RIGHT(UPPER(TRIM(D194)),1)=TEXT(MOD(10-MOD((VALUE(MID(UPPER(TRIM(D194)),3,1))+VALUE(MID(UPPER(TRIM(D194)),5,1))+VALUE(MID(UPPER(TRIM(D194)),7,1)))+(INT(2*VALUE(MID(UPPER(TRIM(D194)),2,1))/10)+MOD(2*VALUE(MID(UPPER(TRIM(D194)),2,1)),10))+(INT(2*VALUE(MID(UPPER(TRIM(D194)),4,1))/10)+MOD(2*VALUE(MID(UPPER(TRIM(D194)),4,1)),10))+(INT(2*VALUE(MID(UPPER(TRIM(D194)),6,1))/10)+MOD(2*VALUE(MID(UPPER(TRIM(D194)),6,1)),10))+(INT(2*VALUE(MID(UPPER(TRIM(D194)),8,1))/10)+MOD(2*VALUE(MID(UPPER(TRIM(D194)),8,1)),10)),10),10),"0"),RIGHT(UPPER(TRIM(D194)),1)=MID("JABCDEFGHI",MOD(10-MOD((VALUE(MID(UPPER(TRIM(D194)),3,1))+VALUE(MID(UPPER(TRIM(D194)),5,1))+VALUE(MID(UPPER(TRIM(D194)),7,1)))+(INT(2*VALUE(MID(UPPER(TRIM(D194)),2,1))/10)+MOD(2*VALUE(MID(UPPER(TRIM(D194)),2,1)),10))+(INT(2*VALUE(MID(UPPER(TRIM(D194)),4,1))/10)+MOD(2*VALUE(MID(UPPER(TRIM(D194)),4,1)),10))+(INT(2*VALUE(MID(UPPER(TRIM(D194)),6,1))/10)+MOD(2*VALUE(MID(UPPER(TRIM(D194)),6,1)),10))+(INT(2*VALUE(MID(UPPER(TRIM(D194)),8,1))/10)+MOD(2*VALUE(MID(UPPER(TRIM(D194)),8,1)),10)),10),10)+1,1)),"OK","REVISAR")),"REVISAR")))</f>
        <v/>
      </c>
      <c r="Q194">
        <f>IF(B194="","",IF(COUNTIFS($B$2:$B$501,B194,$D$2:$D$501,D194)&gt;1,"DUPLICADA",""))</f>
        <v/>
      </c>
      <c r="R194">
        <f>IF(A194="","",ROUNDUP(MONTH(A194)/3,0))</f>
        <v/>
      </c>
      <c r="S194" s="3" t="n"/>
    </row>
    <row r="195">
      <c r="A195" s="2" t="n"/>
      <c r="B195" s="3" t="n"/>
      <c r="C195" s="3" t="n"/>
      <c r="D195" s="3" t="n"/>
      <c r="E195" s="4" t="n"/>
      <c r="F195" s="4" t="n"/>
      <c r="G195" s="4" t="n"/>
      <c r="H195" s="4" t="n"/>
      <c r="I195" s="5">
        <f>IF(E195="","",ROUND(E195*0.21,2))</f>
        <v/>
      </c>
      <c r="J195" s="5">
        <f>IF(F195="","",ROUND(F195*0.1,2))</f>
        <v/>
      </c>
      <c r="K195" s="5">
        <f>IF(G195="","",ROUND(G195*0.04,2))</f>
        <v/>
      </c>
      <c r="L195" s="4" t="n"/>
      <c r="M195" s="4" t="n"/>
      <c r="N195" s="5">
        <f>IF(A195="","",SUM(E195:K195)-N(L195))</f>
        <v/>
      </c>
      <c r="O195">
        <f>IF(OR(A195="",M195=""),"",IF(ABS(M195-N195)&lt;=0.02,"OK","REVISAR"))</f>
        <v/>
      </c>
      <c r="P195">
        <f>IF(D195="","",IF(LEN(TRIM(D195))&lt;&gt;9,"REVISAR",IFERROR(IF(OR(ISNUMBER(VALUE(LEFT(UPPER(TRIM(D195)),1))),LEFT(UPPER(TRIM(D195)),1)="X",LEFT(UPPER(TRIM(D195)),1)="Y",LEFT(UPPER(TRIM(D195)),1)="Z"),IF(MID("TRWAGMYFPDXBNJZSQVHLCKE",MOD(VALUE(SUBSTITUTE(SUBSTITUTE(SUBSTITUTE(LEFT(UPPER(TRIM(D195)),8),"X","0"),"Y","1"),"Z","2")),23)+1,1)=RIGHT(UPPER(TRIM(D195)),1),"OK","REVISAR"),IF(OR(RIGHT(UPPER(TRIM(D195)),1)=TEXT(MOD(10-MOD((VALUE(MID(UPPER(TRIM(D195)),3,1))+VALUE(MID(UPPER(TRIM(D195)),5,1))+VALUE(MID(UPPER(TRIM(D195)),7,1)))+(INT(2*VALUE(MID(UPPER(TRIM(D195)),2,1))/10)+MOD(2*VALUE(MID(UPPER(TRIM(D195)),2,1)),10))+(INT(2*VALUE(MID(UPPER(TRIM(D195)),4,1))/10)+MOD(2*VALUE(MID(UPPER(TRIM(D195)),4,1)),10))+(INT(2*VALUE(MID(UPPER(TRIM(D195)),6,1))/10)+MOD(2*VALUE(MID(UPPER(TRIM(D195)),6,1)),10))+(INT(2*VALUE(MID(UPPER(TRIM(D195)),8,1))/10)+MOD(2*VALUE(MID(UPPER(TRIM(D195)),8,1)),10)),10),10),"0"),RIGHT(UPPER(TRIM(D195)),1)=MID("JABCDEFGHI",MOD(10-MOD((VALUE(MID(UPPER(TRIM(D195)),3,1))+VALUE(MID(UPPER(TRIM(D195)),5,1))+VALUE(MID(UPPER(TRIM(D195)),7,1)))+(INT(2*VALUE(MID(UPPER(TRIM(D195)),2,1))/10)+MOD(2*VALUE(MID(UPPER(TRIM(D195)),2,1)),10))+(INT(2*VALUE(MID(UPPER(TRIM(D195)),4,1))/10)+MOD(2*VALUE(MID(UPPER(TRIM(D195)),4,1)),10))+(INT(2*VALUE(MID(UPPER(TRIM(D195)),6,1))/10)+MOD(2*VALUE(MID(UPPER(TRIM(D195)),6,1)),10))+(INT(2*VALUE(MID(UPPER(TRIM(D195)),8,1))/10)+MOD(2*VALUE(MID(UPPER(TRIM(D195)),8,1)),10)),10),10)+1,1)),"OK","REVISAR")),"REVISAR")))</f>
        <v/>
      </c>
      <c r="Q195">
        <f>IF(B195="","",IF(COUNTIFS($B$2:$B$501,B195,$D$2:$D$501,D195)&gt;1,"DUPLICADA",""))</f>
        <v/>
      </c>
      <c r="R195">
        <f>IF(A195="","",ROUNDUP(MONTH(A195)/3,0))</f>
        <v/>
      </c>
      <c r="S195" s="3" t="n"/>
    </row>
    <row r="196">
      <c r="A196" s="2" t="n"/>
      <c r="B196" s="3" t="n"/>
      <c r="C196" s="3" t="n"/>
      <c r="D196" s="3" t="n"/>
      <c r="E196" s="4" t="n"/>
      <c r="F196" s="4" t="n"/>
      <c r="G196" s="4" t="n"/>
      <c r="H196" s="4" t="n"/>
      <c r="I196" s="5">
        <f>IF(E196="","",ROUND(E196*0.21,2))</f>
        <v/>
      </c>
      <c r="J196" s="5">
        <f>IF(F196="","",ROUND(F196*0.1,2))</f>
        <v/>
      </c>
      <c r="K196" s="5">
        <f>IF(G196="","",ROUND(G196*0.04,2))</f>
        <v/>
      </c>
      <c r="L196" s="4" t="n"/>
      <c r="M196" s="4" t="n"/>
      <c r="N196" s="5">
        <f>IF(A196="","",SUM(E196:K196)-N(L196))</f>
        <v/>
      </c>
      <c r="O196">
        <f>IF(OR(A196="",M196=""),"",IF(ABS(M196-N196)&lt;=0.02,"OK","REVISAR"))</f>
        <v/>
      </c>
      <c r="P196">
        <f>IF(D196="","",IF(LEN(TRIM(D196))&lt;&gt;9,"REVISAR",IFERROR(IF(OR(ISNUMBER(VALUE(LEFT(UPPER(TRIM(D196)),1))),LEFT(UPPER(TRIM(D196)),1)="X",LEFT(UPPER(TRIM(D196)),1)="Y",LEFT(UPPER(TRIM(D196)),1)="Z"),IF(MID("TRWAGMYFPDXBNJZSQVHLCKE",MOD(VALUE(SUBSTITUTE(SUBSTITUTE(SUBSTITUTE(LEFT(UPPER(TRIM(D196)),8),"X","0"),"Y","1"),"Z","2")),23)+1,1)=RIGHT(UPPER(TRIM(D196)),1),"OK","REVISAR"),IF(OR(RIGHT(UPPER(TRIM(D196)),1)=TEXT(MOD(10-MOD((VALUE(MID(UPPER(TRIM(D196)),3,1))+VALUE(MID(UPPER(TRIM(D196)),5,1))+VALUE(MID(UPPER(TRIM(D196)),7,1)))+(INT(2*VALUE(MID(UPPER(TRIM(D196)),2,1))/10)+MOD(2*VALUE(MID(UPPER(TRIM(D196)),2,1)),10))+(INT(2*VALUE(MID(UPPER(TRIM(D196)),4,1))/10)+MOD(2*VALUE(MID(UPPER(TRIM(D196)),4,1)),10))+(INT(2*VALUE(MID(UPPER(TRIM(D196)),6,1))/10)+MOD(2*VALUE(MID(UPPER(TRIM(D196)),6,1)),10))+(INT(2*VALUE(MID(UPPER(TRIM(D196)),8,1))/10)+MOD(2*VALUE(MID(UPPER(TRIM(D196)),8,1)),10)),10),10),"0"),RIGHT(UPPER(TRIM(D196)),1)=MID("JABCDEFGHI",MOD(10-MOD((VALUE(MID(UPPER(TRIM(D196)),3,1))+VALUE(MID(UPPER(TRIM(D196)),5,1))+VALUE(MID(UPPER(TRIM(D196)),7,1)))+(INT(2*VALUE(MID(UPPER(TRIM(D196)),2,1))/10)+MOD(2*VALUE(MID(UPPER(TRIM(D196)),2,1)),10))+(INT(2*VALUE(MID(UPPER(TRIM(D196)),4,1))/10)+MOD(2*VALUE(MID(UPPER(TRIM(D196)),4,1)),10))+(INT(2*VALUE(MID(UPPER(TRIM(D196)),6,1))/10)+MOD(2*VALUE(MID(UPPER(TRIM(D196)),6,1)),10))+(INT(2*VALUE(MID(UPPER(TRIM(D196)),8,1))/10)+MOD(2*VALUE(MID(UPPER(TRIM(D196)),8,1)),10)),10),10)+1,1)),"OK","REVISAR")),"REVISAR")))</f>
        <v/>
      </c>
      <c r="Q196">
        <f>IF(B196="","",IF(COUNTIFS($B$2:$B$501,B196,$D$2:$D$501,D196)&gt;1,"DUPLICADA",""))</f>
        <v/>
      </c>
      <c r="R196">
        <f>IF(A196="","",ROUNDUP(MONTH(A196)/3,0))</f>
        <v/>
      </c>
      <c r="S196" s="3" t="n"/>
    </row>
    <row r="197">
      <c r="A197" s="2" t="n"/>
      <c r="B197" s="3" t="n"/>
      <c r="C197" s="3" t="n"/>
      <c r="D197" s="3" t="n"/>
      <c r="E197" s="4" t="n"/>
      <c r="F197" s="4" t="n"/>
      <c r="G197" s="4" t="n"/>
      <c r="H197" s="4" t="n"/>
      <c r="I197" s="5">
        <f>IF(E197="","",ROUND(E197*0.21,2))</f>
        <v/>
      </c>
      <c r="J197" s="5">
        <f>IF(F197="","",ROUND(F197*0.1,2))</f>
        <v/>
      </c>
      <c r="K197" s="5">
        <f>IF(G197="","",ROUND(G197*0.04,2))</f>
        <v/>
      </c>
      <c r="L197" s="4" t="n"/>
      <c r="M197" s="4" t="n"/>
      <c r="N197" s="5">
        <f>IF(A197="","",SUM(E197:K197)-N(L197))</f>
        <v/>
      </c>
      <c r="O197">
        <f>IF(OR(A197="",M197=""),"",IF(ABS(M197-N197)&lt;=0.02,"OK","REVISAR"))</f>
        <v/>
      </c>
      <c r="P197">
        <f>IF(D197="","",IF(LEN(TRIM(D197))&lt;&gt;9,"REVISAR",IFERROR(IF(OR(ISNUMBER(VALUE(LEFT(UPPER(TRIM(D197)),1))),LEFT(UPPER(TRIM(D197)),1)="X",LEFT(UPPER(TRIM(D197)),1)="Y",LEFT(UPPER(TRIM(D197)),1)="Z"),IF(MID("TRWAGMYFPDXBNJZSQVHLCKE",MOD(VALUE(SUBSTITUTE(SUBSTITUTE(SUBSTITUTE(LEFT(UPPER(TRIM(D197)),8),"X","0"),"Y","1"),"Z","2")),23)+1,1)=RIGHT(UPPER(TRIM(D197)),1),"OK","REVISAR"),IF(OR(RIGHT(UPPER(TRIM(D197)),1)=TEXT(MOD(10-MOD((VALUE(MID(UPPER(TRIM(D197)),3,1))+VALUE(MID(UPPER(TRIM(D197)),5,1))+VALUE(MID(UPPER(TRIM(D197)),7,1)))+(INT(2*VALUE(MID(UPPER(TRIM(D197)),2,1))/10)+MOD(2*VALUE(MID(UPPER(TRIM(D197)),2,1)),10))+(INT(2*VALUE(MID(UPPER(TRIM(D197)),4,1))/10)+MOD(2*VALUE(MID(UPPER(TRIM(D197)),4,1)),10))+(INT(2*VALUE(MID(UPPER(TRIM(D197)),6,1))/10)+MOD(2*VALUE(MID(UPPER(TRIM(D197)),6,1)),10))+(INT(2*VALUE(MID(UPPER(TRIM(D197)),8,1))/10)+MOD(2*VALUE(MID(UPPER(TRIM(D197)),8,1)),10)),10),10),"0"),RIGHT(UPPER(TRIM(D197)),1)=MID("JABCDEFGHI",MOD(10-MOD((VALUE(MID(UPPER(TRIM(D197)),3,1))+VALUE(MID(UPPER(TRIM(D197)),5,1))+VALUE(MID(UPPER(TRIM(D197)),7,1)))+(INT(2*VALUE(MID(UPPER(TRIM(D197)),2,1))/10)+MOD(2*VALUE(MID(UPPER(TRIM(D197)),2,1)),10))+(INT(2*VALUE(MID(UPPER(TRIM(D197)),4,1))/10)+MOD(2*VALUE(MID(UPPER(TRIM(D197)),4,1)),10))+(INT(2*VALUE(MID(UPPER(TRIM(D197)),6,1))/10)+MOD(2*VALUE(MID(UPPER(TRIM(D197)),6,1)),10))+(INT(2*VALUE(MID(UPPER(TRIM(D197)),8,1))/10)+MOD(2*VALUE(MID(UPPER(TRIM(D197)),8,1)),10)),10),10)+1,1)),"OK","REVISAR")),"REVISAR")))</f>
        <v/>
      </c>
      <c r="Q197">
        <f>IF(B197="","",IF(COUNTIFS($B$2:$B$501,B197,$D$2:$D$501,D197)&gt;1,"DUPLICADA",""))</f>
        <v/>
      </c>
      <c r="R197">
        <f>IF(A197="","",ROUNDUP(MONTH(A197)/3,0))</f>
        <v/>
      </c>
      <c r="S197" s="3" t="n"/>
    </row>
    <row r="198">
      <c r="A198" s="2" t="n"/>
      <c r="B198" s="3" t="n"/>
      <c r="C198" s="3" t="n"/>
      <c r="D198" s="3" t="n"/>
      <c r="E198" s="4" t="n"/>
      <c r="F198" s="4" t="n"/>
      <c r="G198" s="4" t="n"/>
      <c r="H198" s="4" t="n"/>
      <c r="I198" s="5">
        <f>IF(E198="","",ROUND(E198*0.21,2))</f>
        <v/>
      </c>
      <c r="J198" s="5">
        <f>IF(F198="","",ROUND(F198*0.1,2))</f>
        <v/>
      </c>
      <c r="K198" s="5">
        <f>IF(G198="","",ROUND(G198*0.04,2))</f>
        <v/>
      </c>
      <c r="L198" s="4" t="n"/>
      <c r="M198" s="4" t="n"/>
      <c r="N198" s="5">
        <f>IF(A198="","",SUM(E198:K198)-N(L198))</f>
        <v/>
      </c>
      <c r="O198">
        <f>IF(OR(A198="",M198=""),"",IF(ABS(M198-N198)&lt;=0.02,"OK","REVISAR"))</f>
        <v/>
      </c>
      <c r="P198">
        <f>IF(D198="","",IF(LEN(TRIM(D198))&lt;&gt;9,"REVISAR",IFERROR(IF(OR(ISNUMBER(VALUE(LEFT(UPPER(TRIM(D198)),1))),LEFT(UPPER(TRIM(D198)),1)="X",LEFT(UPPER(TRIM(D198)),1)="Y",LEFT(UPPER(TRIM(D198)),1)="Z"),IF(MID("TRWAGMYFPDXBNJZSQVHLCKE",MOD(VALUE(SUBSTITUTE(SUBSTITUTE(SUBSTITUTE(LEFT(UPPER(TRIM(D198)),8),"X","0"),"Y","1"),"Z","2")),23)+1,1)=RIGHT(UPPER(TRIM(D198)),1),"OK","REVISAR"),IF(OR(RIGHT(UPPER(TRIM(D198)),1)=TEXT(MOD(10-MOD((VALUE(MID(UPPER(TRIM(D198)),3,1))+VALUE(MID(UPPER(TRIM(D198)),5,1))+VALUE(MID(UPPER(TRIM(D198)),7,1)))+(INT(2*VALUE(MID(UPPER(TRIM(D198)),2,1))/10)+MOD(2*VALUE(MID(UPPER(TRIM(D198)),2,1)),10))+(INT(2*VALUE(MID(UPPER(TRIM(D198)),4,1))/10)+MOD(2*VALUE(MID(UPPER(TRIM(D198)),4,1)),10))+(INT(2*VALUE(MID(UPPER(TRIM(D198)),6,1))/10)+MOD(2*VALUE(MID(UPPER(TRIM(D198)),6,1)),10))+(INT(2*VALUE(MID(UPPER(TRIM(D198)),8,1))/10)+MOD(2*VALUE(MID(UPPER(TRIM(D198)),8,1)),10)),10),10),"0"),RIGHT(UPPER(TRIM(D198)),1)=MID("JABCDEFGHI",MOD(10-MOD((VALUE(MID(UPPER(TRIM(D198)),3,1))+VALUE(MID(UPPER(TRIM(D198)),5,1))+VALUE(MID(UPPER(TRIM(D198)),7,1)))+(INT(2*VALUE(MID(UPPER(TRIM(D198)),2,1))/10)+MOD(2*VALUE(MID(UPPER(TRIM(D198)),2,1)),10))+(INT(2*VALUE(MID(UPPER(TRIM(D198)),4,1))/10)+MOD(2*VALUE(MID(UPPER(TRIM(D198)),4,1)),10))+(INT(2*VALUE(MID(UPPER(TRIM(D198)),6,1))/10)+MOD(2*VALUE(MID(UPPER(TRIM(D198)),6,1)),10))+(INT(2*VALUE(MID(UPPER(TRIM(D198)),8,1))/10)+MOD(2*VALUE(MID(UPPER(TRIM(D198)),8,1)),10)),10),10)+1,1)),"OK","REVISAR")),"REVISAR")))</f>
        <v/>
      </c>
      <c r="Q198">
        <f>IF(B198="","",IF(COUNTIFS($B$2:$B$501,B198,$D$2:$D$501,D198)&gt;1,"DUPLICADA",""))</f>
        <v/>
      </c>
      <c r="R198">
        <f>IF(A198="","",ROUNDUP(MONTH(A198)/3,0))</f>
        <v/>
      </c>
      <c r="S198" s="3" t="n"/>
    </row>
    <row r="199">
      <c r="A199" s="2" t="n"/>
      <c r="B199" s="3" t="n"/>
      <c r="C199" s="3" t="n"/>
      <c r="D199" s="3" t="n"/>
      <c r="E199" s="4" t="n"/>
      <c r="F199" s="4" t="n"/>
      <c r="G199" s="4" t="n"/>
      <c r="H199" s="4" t="n"/>
      <c r="I199" s="5">
        <f>IF(E199="","",ROUND(E199*0.21,2))</f>
        <v/>
      </c>
      <c r="J199" s="5">
        <f>IF(F199="","",ROUND(F199*0.1,2))</f>
        <v/>
      </c>
      <c r="K199" s="5">
        <f>IF(G199="","",ROUND(G199*0.04,2))</f>
        <v/>
      </c>
      <c r="L199" s="4" t="n"/>
      <c r="M199" s="4" t="n"/>
      <c r="N199" s="5">
        <f>IF(A199="","",SUM(E199:K199)-N(L199))</f>
        <v/>
      </c>
      <c r="O199">
        <f>IF(OR(A199="",M199=""),"",IF(ABS(M199-N199)&lt;=0.02,"OK","REVISAR"))</f>
        <v/>
      </c>
      <c r="P199">
        <f>IF(D199="","",IF(LEN(TRIM(D199))&lt;&gt;9,"REVISAR",IFERROR(IF(OR(ISNUMBER(VALUE(LEFT(UPPER(TRIM(D199)),1))),LEFT(UPPER(TRIM(D199)),1)="X",LEFT(UPPER(TRIM(D199)),1)="Y",LEFT(UPPER(TRIM(D199)),1)="Z"),IF(MID("TRWAGMYFPDXBNJZSQVHLCKE",MOD(VALUE(SUBSTITUTE(SUBSTITUTE(SUBSTITUTE(LEFT(UPPER(TRIM(D199)),8),"X","0"),"Y","1"),"Z","2")),23)+1,1)=RIGHT(UPPER(TRIM(D199)),1),"OK","REVISAR"),IF(OR(RIGHT(UPPER(TRIM(D199)),1)=TEXT(MOD(10-MOD((VALUE(MID(UPPER(TRIM(D199)),3,1))+VALUE(MID(UPPER(TRIM(D199)),5,1))+VALUE(MID(UPPER(TRIM(D199)),7,1)))+(INT(2*VALUE(MID(UPPER(TRIM(D199)),2,1))/10)+MOD(2*VALUE(MID(UPPER(TRIM(D199)),2,1)),10))+(INT(2*VALUE(MID(UPPER(TRIM(D199)),4,1))/10)+MOD(2*VALUE(MID(UPPER(TRIM(D199)),4,1)),10))+(INT(2*VALUE(MID(UPPER(TRIM(D199)),6,1))/10)+MOD(2*VALUE(MID(UPPER(TRIM(D199)),6,1)),10))+(INT(2*VALUE(MID(UPPER(TRIM(D199)),8,1))/10)+MOD(2*VALUE(MID(UPPER(TRIM(D199)),8,1)),10)),10),10),"0"),RIGHT(UPPER(TRIM(D199)),1)=MID("JABCDEFGHI",MOD(10-MOD((VALUE(MID(UPPER(TRIM(D199)),3,1))+VALUE(MID(UPPER(TRIM(D199)),5,1))+VALUE(MID(UPPER(TRIM(D199)),7,1)))+(INT(2*VALUE(MID(UPPER(TRIM(D199)),2,1))/10)+MOD(2*VALUE(MID(UPPER(TRIM(D199)),2,1)),10))+(INT(2*VALUE(MID(UPPER(TRIM(D199)),4,1))/10)+MOD(2*VALUE(MID(UPPER(TRIM(D199)),4,1)),10))+(INT(2*VALUE(MID(UPPER(TRIM(D199)),6,1))/10)+MOD(2*VALUE(MID(UPPER(TRIM(D199)),6,1)),10))+(INT(2*VALUE(MID(UPPER(TRIM(D199)),8,1))/10)+MOD(2*VALUE(MID(UPPER(TRIM(D199)),8,1)),10)),10),10)+1,1)),"OK","REVISAR")),"REVISAR")))</f>
        <v/>
      </c>
      <c r="Q199">
        <f>IF(B199="","",IF(COUNTIFS($B$2:$B$501,B199,$D$2:$D$501,D199)&gt;1,"DUPLICADA",""))</f>
        <v/>
      </c>
      <c r="R199">
        <f>IF(A199="","",ROUNDUP(MONTH(A199)/3,0))</f>
        <v/>
      </c>
      <c r="S199" s="3" t="n"/>
    </row>
    <row r="200">
      <c r="A200" s="2" t="n"/>
      <c r="B200" s="3" t="n"/>
      <c r="C200" s="3" t="n"/>
      <c r="D200" s="3" t="n"/>
      <c r="E200" s="4" t="n"/>
      <c r="F200" s="4" t="n"/>
      <c r="G200" s="4" t="n"/>
      <c r="H200" s="4" t="n"/>
      <c r="I200" s="5">
        <f>IF(E200="","",ROUND(E200*0.21,2))</f>
        <v/>
      </c>
      <c r="J200" s="5">
        <f>IF(F200="","",ROUND(F200*0.1,2))</f>
        <v/>
      </c>
      <c r="K200" s="5">
        <f>IF(G200="","",ROUND(G200*0.04,2))</f>
        <v/>
      </c>
      <c r="L200" s="4" t="n"/>
      <c r="M200" s="4" t="n"/>
      <c r="N200" s="5">
        <f>IF(A200="","",SUM(E200:K200)-N(L200))</f>
        <v/>
      </c>
      <c r="O200">
        <f>IF(OR(A200="",M200=""),"",IF(ABS(M200-N200)&lt;=0.02,"OK","REVISAR"))</f>
        <v/>
      </c>
      <c r="P200">
        <f>IF(D200="","",IF(LEN(TRIM(D200))&lt;&gt;9,"REVISAR",IFERROR(IF(OR(ISNUMBER(VALUE(LEFT(UPPER(TRIM(D200)),1))),LEFT(UPPER(TRIM(D200)),1)="X",LEFT(UPPER(TRIM(D200)),1)="Y",LEFT(UPPER(TRIM(D200)),1)="Z"),IF(MID("TRWAGMYFPDXBNJZSQVHLCKE",MOD(VALUE(SUBSTITUTE(SUBSTITUTE(SUBSTITUTE(LEFT(UPPER(TRIM(D200)),8),"X","0"),"Y","1"),"Z","2")),23)+1,1)=RIGHT(UPPER(TRIM(D200)),1),"OK","REVISAR"),IF(OR(RIGHT(UPPER(TRIM(D200)),1)=TEXT(MOD(10-MOD((VALUE(MID(UPPER(TRIM(D200)),3,1))+VALUE(MID(UPPER(TRIM(D200)),5,1))+VALUE(MID(UPPER(TRIM(D200)),7,1)))+(INT(2*VALUE(MID(UPPER(TRIM(D200)),2,1))/10)+MOD(2*VALUE(MID(UPPER(TRIM(D200)),2,1)),10))+(INT(2*VALUE(MID(UPPER(TRIM(D200)),4,1))/10)+MOD(2*VALUE(MID(UPPER(TRIM(D200)),4,1)),10))+(INT(2*VALUE(MID(UPPER(TRIM(D200)),6,1))/10)+MOD(2*VALUE(MID(UPPER(TRIM(D200)),6,1)),10))+(INT(2*VALUE(MID(UPPER(TRIM(D200)),8,1))/10)+MOD(2*VALUE(MID(UPPER(TRIM(D200)),8,1)),10)),10),10),"0"),RIGHT(UPPER(TRIM(D200)),1)=MID("JABCDEFGHI",MOD(10-MOD((VALUE(MID(UPPER(TRIM(D200)),3,1))+VALUE(MID(UPPER(TRIM(D200)),5,1))+VALUE(MID(UPPER(TRIM(D200)),7,1)))+(INT(2*VALUE(MID(UPPER(TRIM(D200)),2,1))/10)+MOD(2*VALUE(MID(UPPER(TRIM(D200)),2,1)),10))+(INT(2*VALUE(MID(UPPER(TRIM(D200)),4,1))/10)+MOD(2*VALUE(MID(UPPER(TRIM(D200)),4,1)),10))+(INT(2*VALUE(MID(UPPER(TRIM(D200)),6,1))/10)+MOD(2*VALUE(MID(UPPER(TRIM(D200)),6,1)),10))+(INT(2*VALUE(MID(UPPER(TRIM(D200)),8,1))/10)+MOD(2*VALUE(MID(UPPER(TRIM(D200)),8,1)),10)),10),10)+1,1)),"OK","REVISAR")),"REVISAR")))</f>
        <v/>
      </c>
      <c r="Q200">
        <f>IF(B200="","",IF(COUNTIFS($B$2:$B$501,B200,$D$2:$D$501,D200)&gt;1,"DUPLICADA",""))</f>
        <v/>
      </c>
      <c r="R200">
        <f>IF(A200="","",ROUNDUP(MONTH(A200)/3,0))</f>
        <v/>
      </c>
      <c r="S200" s="3" t="n"/>
    </row>
    <row r="201">
      <c r="A201" s="2" t="n"/>
      <c r="B201" s="3" t="n"/>
      <c r="C201" s="3" t="n"/>
      <c r="D201" s="3" t="n"/>
      <c r="E201" s="4" t="n"/>
      <c r="F201" s="4" t="n"/>
      <c r="G201" s="4" t="n"/>
      <c r="H201" s="4" t="n"/>
      <c r="I201" s="5">
        <f>IF(E201="","",ROUND(E201*0.21,2))</f>
        <v/>
      </c>
      <c r="J201" s="5">
        <f>IF(F201="","",ROUND(F201*0.1,2))</f>
        <v/>
      </c>
      <c r="K201" s="5">
        <f>IF(G201="","",ROUND(G201*0.04,2))</f>
        <v/>
      </c>
      <c r="L201" s="4" t="n"/>
      <c r="M201" s="4" t="n"/>
      <c r="N201" s="5">
        <f>IF(A201="","",SUM(E201:K201)-N(L201))</f>
        <v/>
      </c>
      <c r="O201">
        <f>IF(OR(A201="",M201=""),"",IF(ABS(M201-N201)&lt;=0.02,"OK","REVISAR"))</f>
        <v/>
      </c>
      <c r="P201">
        <f>IF(D201="","",IF(LEN(TRIM(D201))&lt;&gt;9,"REVISAR",IFERROR(IF(OR(ISNUMBER(VALUE(LEFT(UPPER(TRIM(D201)),1))),LEFT(UPPER(TRIM(D201)),1)="X",LEFT(UPPER(TRIM(D201)),1)="Y",LEFT(UPPER(TRIM(D201)),1)="Z"),IF(MID("TRWAGMYFPDXBNJZSQVHLCKE",MOD(VALUE(SUBSTITUTE(SUBSTITUTE(SUBSTITUTE(LEFT(UPPER(TRIM(D201)),8),"X","0"),"Y","1"),"Z","2")),23)+1,1)=RIGHT(UPPER(TRIM(D201)),1),"OK","REVISAR"),IF(OR(RIGHT(UPPER(TRIM(D201)),1)=TEXT(MOD(10-MOD((VALUE(MID(UPPER(TRIM(D201)),3,1))+VALUE(MID(UPPER(TRIM(D201)),5,1))+VALUE(MID(UPPER(TRIM(D201)),7,1)))+(INT(2*VALUE(MID(UPPER(TRIM(D201)),2,1))/10)+MOD(2*VALUE(MID(UPPER(TRIM(D201)),2,1)),10))+(INT(2*VALUE(MID(UPPER(TRIM(D201)),4,1))/10)+MOD(2*VALUE(MID(UPPER(TRIM(D201)),4,1)),10))+(INT(2*VALUE(MID(UPPER(TRIM(D201)),6,1))/10)+MOD(2*VALUE(MID(UPPER(TRIM(D201)),6,1)),10))+(INT(2*VALUE(MID(UPPER(TRIM(D201)),8,1))/10)+MOD(2*VALUE(MID(UPPER(TRIM(D201)),8,1)),10)),10),10),"0"),RIGHT(UPPER(TRIM(D201)),1)=MID("JABCDEFGHI",MOD(10-MOD((VALUE(MID(UPPER(TRIM(D201)),3,1))+VALUE(MID(UPPER(TRIM(D201)),5,1))+VALUE(MID(UPPER(TRIM(D201)),7,1)))+(INT(2*VALUE(MID(UPPER(TRIM(D201)),2,1))/10)+MOD(2*VALUE(MID(UPPER(TRIM(D201)),2,1)),10))+(INT(2*VALUE(MID(UPPER(TRIM(D201)),4,1))/10)+MOD(2*VALUE(MID(UPPER(TRIM(D201)),4,1)),10))+(INT(2*VALUE(MID(UPPER(TRIM(D201)),6,1))/10)+MOD(2*VALUE(MID(UPPER(TRIM(D201)),6,1)),10))+(INT(2*VALUE(MID(UPPER(TRIM(D201)),8,1))/10)+MOD(2*VALUE(MID(UPPER(TRIM(D201)),8,1)),10)),10),10)+1,1)),"OK","REVISAR")),"REVISAR")))</f>
        <v/>
      </c>
      <c r="Q201">
        <f>IF(B201="","",IF(COUNTIFS($B$2:$B$501,B201,$D$2:$D$501,D201)&gt;1,"DUPLICADA",""))</f>
        <v/>
      </c>
      <c r="R201">
        <f>IF(A201="","",ROUNDUP(MONTH(A201)/3,0))</f>
        <v/>
      </c>
      <c r="S201" s="3" t="n"/>
    </row>
    <row r="202">
      <c r="A202" s="2" t="n"/>
      <c r="B202" s="3" t="n"/>
      <c r="C202" s="3" t="n"/>
      <c r="D202" s="3" t="n"/>
      <c r="E202" s="4" t="n"/>
      <c r="F202" s="4" t="n"/>
      <c r="G202" s="4" t="n"/>
      <c r="H202" s="4" t="n"/>
      <c r="I202" s="5">
        <f>IF(E202="","",ROUND(E202*0.21,2))</f>
        <v/>
      </c>
      <c r="J202" s="5">
        <f>IF(F202="","",ROUND(F202*0.1,2))</f>
        <v/>
      </c>
      <c r="K202" s="5">
        <f>IF(G202="","",ROUND(G202*0.04,2))</f>
        <v/>
      </c>
      <c r="L202" s="4" t="n"/>
      <c r="M202" s="4" t="n"/>
      <c r="N202" s="5">
        <f>IF(A202="","",SUM(E202:K202)-N(L202))</f>
        <v/>
      </c>
      <c r="O202">
        <f>IF(OR(A202="",M202=""),"",IF(ABS(M202-N202)&lt;=0.02,"OK","REVISAR"))</f>
        <v/>
      </c>
      <c r="P202">
        <f>IF(D202="","",IF(LEN(TRIM(D202))&lt;&gt;9,"REVISAR",IFERROR(IF(OR(ISNUMBER(VALUE(LEFT(UPPER(TRIM(D202)),1))),LEFT(UPPER(TRIM(D202)),1)="X",LEFT(UPPER(TRIM(D202)),1)="Y",LEFT(UPPER(TRIM(D202)),1)="Z"),IF(MID("TRWAGMYFPDXBNJZSQVHLCKE",MOD(VALUE(SUBSTITUTE(SUBSTITUTE(SUBSTITUTE(LEFT(UPPER(TRIM(D202)),8),"X","0"),"Y","1"),"Z","2")),23)+1,1)=RIGHT(UPPER(TRIM(D202)),1),"OK","REVISAR"),IF(OR(RIGHT(UPPER(TRIM(D202)),1)=TEXT(MOD(10-MOD((VALUE(MID(UPPER(TRIM(D202)),3,1))+VALUE(MID(UPPER(TRIM(D202)),5,1))+VALUE(MID(UPPER(TRIM(D202)),7,1)))+(INT(2*VALUE(MID(UPPER(TRIM(D202)),2,1))/10)+MOD(2*VALUE(MID(UPPER(TRIM(D202)),2,1)),10))+(INT(2*VALUE(MID(UPPER(TRIM(D202)),4,1))/10)+MOD(2*VALUE(MID(UPPER(TRIM(D202)),4,1)),10))+(INT(2*VALUE(MID(UPPER(TRIM(D202)),6,1))/10)+MOD(2*VALUE(MID(UPPER(TRIM(D202)),6,1)),10))+(INT(2*VALUE(MID(UPPER(TRIM(D202)),8,1))/10)+MOD(2*VALUE(MID(UPPER(TRIM(D202)),8,1)),10)),10),10),"0"),RIGHT(UPPER(TRIM(D202)),1)=MID("JABCDEFGHI",MOD(10-MOD((VALUE(MID(UPPER(TRIM(D202)),3,1))+VALUE(MID(UPPER(TRIM(D202)),5,1))+VALUE(MID(UPPER(TRIM(D202)),7,1)))+(INT(2*VALUE(MID(UPPER(TRIM(D202)),2,1))/10)+MOD(2*VALUE(MID(UPPER(TRIM(D202)),2,1)),10))+(INT(2*VALUE(MID(UPPER(TRIM(D202)),4,1))/10)+MOD(2*VALUE(MID(UPPER(TRIM(D202)),4,1)),10))+(INT(2*VALUE(MID(UPPER(TRIM(D202)),6,1))/10)+MOD(2*VALUE(MID(UPPER(TRIM(D202)),6,1)),10))+(INT(2*VALUE(MID(UPPER(TRIM(D202)),8,1))/10)+MOD(2*VALUE(MID(UPPER(TRIM(D202)),8,1)),10)),10),10)+1,1)),"OK","REVISAR")),"REVISAR")))</f>
        <v/>
      </c>
      <c r="Q202">
        <f>IF(B202="","",IF(COUNTIFS($B$2:$B$501,B202,$D$2:$D$501,D202)&gt;1,"DUPLICADA",""))</f>
        <v/>
      </c>
      <c r="R202">
        <f>IF(A202="","",ROUNDUP(MONTH(A202)/3,0))</f>
        <v/>
      </c>
      <c r="S202" s="3" t="n"/>
    </row>
    <row r="203">
      <c r="A203" s="2" t="n"/>
      <c r="B203" s="3" t="n"/>
      <c r="C203" s="3" t="n"/>
      <c r="D203" s="3" t="n"/>
      <c r="E203" s="4" t="n"/>
      <c r="F203" s="4" t="n"/>
      <c r="G203" s="4" t="n"/>
      <c r="H203" s="4" t="n"/>
      <c r="I203" s="5">
        <f>IF(E203="","",ROUND(E203*0.21,2))</f>
        <v/>
      </c>
      <c r="J203" s="5">
        <f>IF(F203="","",ROUND(F203*0.1,2))</f>
        <v/>
      </c>
      <c r="K203" s="5">
        <f>IF(G203="","",ROUND(G203*0.04,2))</f>
        <v/>
      </c>
      <c r="L203" s="4" t="n"/>
      <c r="M203" s="4" t="n"/>
      <c r="N203" s="5">
        <f>IF(A203="","",SUM(E203:K203)-N(L203))</f>
        <v/>
      </c>
      <c r="O203">
        <f>IF(OR(A203="",M203=""),"",IF(ABS(M203-N203)&lt;=0.02,"OK","REVISAR"))</f>
        <v/>
      </c>
      <c r="P203">
        <f>IF(D203="","",IF(LEN(TRIM(D203))&lt;&gt;9,"REVISAR",IFERROR(IF(OR(ISNUMBER(VALUE(LEFT(UPPER(TRIM(D203)),1))),LEFT(UPPER(TRIM(D203)),1)="X",LEFT(UPPER(TRIM(D203)),1)="Y",LEFT(UPPER(TRIM(D203)),1)="Z"),IF(MID("TRWAGMYFPDXBNJZSQVHLCKE",MOD(VALUE(SUBSTITUTE(SUBSTITUTE(SUBSTITUTE(LEFT(UPPER(TRIM(D203)),8),"X","0"),"Y","1"),"Z","2")),23)+1,1)=RIGHT(UPPER(TRIM(D203)),1),"OK","REVISAR"),IF(OR(RIGHT(UPPER(TRIM(D203)),1)=TEXT(MOD(10-MOD((VALUE(MID(UPPER(TRIM(D203)),3,1))+VALUE(MID(UPPER(TRIM(D203)),5,1))+VALUE(MID(UPPER(TRIM(D203)),7,1)))+(INT(2*VALUE(MID(UPPER(TRIM(D203)),2,1))/10)+MOD(2*VALUE(MID(UPPER(TRIM(D203)),2,1)),10))+(INT(2*VALUE(MID(UPPER(TRIM(D203)),4,1))/10)+MOD(2*VALUE(MID(UPPER(TRIM(D203)),4,1)),10))+(INT(2*VALUE(MID(UPPER(TRIM(D203)),6,1))/10)+MOD(2*VALUE(MID(UPPER(TRIM(D203)),6,1)),10))+(INT(2*VALUE(MID(UPPER(TRIM(D203)),8,1))/10)+MOD(2*VALUE(MID(UPPER(TRIM(D203)),8,1)),10)),10),10),"0"),RIGHT(UPPER(TRIM(D203)),1)=MID("JABCDEFGHI",MOD(10-MOD((VALUE(MID(UPPER(TRIM(D203)),3,1))+VALUE(MID(UPPER(TRIM(D203)),5,1))+VALUE(MID(UPPER(TRIM(D203)),7,1)))+(INT(2*VALUE(MID(UPPER(TRIM(D203)),2,1))/10)+MOD(2*VALUE(MID(UPPER(TRIM(D203)),2,1)),10))+(INT(2*VALUE(MID(UPPER(TRIM(D203)),4,1))/10)+MOD(2*VALUE(MID(UPPER(TRIM(D203)),4,1)),10))+(INT(2*VALUE(MID(UPPER(TRIM(D203)),6,1))/10)+MOD(2*VALUE(MID(UPPER(TRIM(D203)),6,1)),10))+(INT(2*VALUE(MID(UPPER(TRIM(D203)),8,1))/10)+MOD(2*VALUE(MID(UPPER(TRIM(D203)),8,1)),10)),10),10)+1,1)),"OK","REVISAR")),"REVISAR")))</f>
        <v/>
      </c>
      <c r="Q203">
        <f>IF(B203="","",IF(COUNTIFS($B$2:$B$501,B203,$D$2:$D$501,D203)&gt;1,"DUPLICADA",""))</f>
        <v/>
      </c>
      <c r="R203">
        <f>IF(A203="","",ROUNDUP(MONTH(A203)/3,0))</f>
        <v/>
      </c>
      <c r="S203" s="3" t="n"/>
    </row>
    <row r="204">
      <c r="A204" s="2" t="n"/>
      <c r="B204" s="3" t="n"/>
      <c r="C204" s="3" t="n"/>
      <c r="D204" s="3" t="n"/>
      <c r="E204" s="4" t="n"/>
      <c r="F204" s="4" t="n"/>
      <c r="G204" s="4" t="n"/>
      <c r="H204" s="4" t="n"/>
      <c r="I204" s="5">
        <f>IF(E204="","",ROUND(E204*0.21,2))</f>
        <v/>
      </c>
      <c r="J204" s="5">
        <f>IF(F204="","",ROUND(F204*0.1,2))</f>
        <v/>
      </c>
      <c r="K204" s="5">
        <f>IF(G204="","",ROUND(G204*0.04,2))</f>
        <v/>
      </c>
      <c r="L204" s="4" t="n"/>
      <c r="M204" s="4" t="n"/>
      <c r="N204" s="5">
        <f>IF(A204="","",SUM(E204:K204)-N(L204))</f>
        <v/>
      </c>
      <c r="O204">
        <f>IF(OR(A204="",M204=""),"",IF(ABS(M204-N204)&lt;=0.02,"OK","REVISAR"))</f>
        <v/>
      </c>
      <c r="P204">
        <f>IF(D204="","",IF(LEN(TRIM(D204))&lt;&gt;9,"REVISAR",IFERROR(IF(OR(ISNUMBER(VALUE(LEFT(UPPER(TRIM(D204)),1))),LEFT(UPPER(TRIM(D204)),1)="X",LEFT(UPPER(TRIM(D204)),1)="Y",LEFT(UPPER(TRIM(D204)),1)="Z"),IF(MID("TRWAGMYFPDXBNJZSQVHLCKE",MOD(VALUE(SUBSTITUTE(SUBSTITUTE(SUBSTITUTE(LEFT(UPPER(TRIM(D204)),8),"X","0"),"Y","1"),"Z","2")),23)+1,1)=RIGHT(UPPER(TRIM(D204)),1),"OK","REVISAR"),IF(OR(RIGHT(UPPER(TRIM(D204)),1)=TEXT(MOD(10-MOD((VALUE(MID(UPPER(TRIM(D204)),3,1))+VALUE(MID(UPPER(TRIM(D204)),5,1))+VALUE(MID(UPPER(TRIM(D204)),7,1)))+(INT(2*VALUE(MID(UPPER(TRIM(D204)),2,1))/10)+MOD(2*VALUE(MID(UPPER(TRIM(D204)),2,1)),10))+(INT(2*VALUE(MID(UPPER(TRIM(D204)),4,1))/10)+MOD(2*VALUE(MID(UPPER(TRIM(D204)),4,1)),10))+(INT(2*VALUE(MID(UPPER(TRIM(D204)),6,1))/10)+MOD(2*VALUE(MID(UPPER(TRIM(D204)),6,1)),10))+(INT(2*VALUE(MID(UPPER(TRIM(D204)),8,1))/10)+MOD(2*VALUE(MID(UPPER(TRIM(D204)),8,1)),10)),10),10),"0"),RIGHT(UPPER(TRIM(D204)),1)=MID("JABCDEFGHI",MOD(10-MOD((VALUE(MID(UPPER(TRIM(D204)),3,1))+VALUE(MID(UPPER(TRIM(D204)),5,1))+VALUE(MID(UPPER(TRIM(D204)),7,1)))+(INT(2*VALUE(MID(UPPER(TRIM(D204)),2,1))/10)+MOD(2*VALUE(MID(UPPER(TRIM(D204)),2,1)),10))+(INT(2*VALUE(MID(UPPER(TRIM(D204)),4,1))/10)+MOD(2*VALUE(MID(UPPER(TRIM(D204)),4,1)),10))+(INT(2*VALUE(MID(UPPER(TRIM(D204)),6,1))/10)+MOD(2*VALUE(MID(UPPER(TRIM(D204)),6,1)),10))+(INT(2*VALUE(MID(UPPER(TRIM(D204)),8,1))/10)+MOD(2*VALUE(MID(UPPER(TRIM(D204)),8,1)),10)),10),10)+1,1)),"OK","REVISAR")),"REVISAR")))</f>
        <v/>
      </c>
      <c r="Q204">
        <f>IF(B204="","",IF(COUNTIFS($B$2:$B$501,B204,$D$2:$D$501,D204)&gt;1,"DUPLICADA",""))</f>
        <v/>
      </c>
      <c r="R204">
        <f>IF(A204="","",ROUNDUP(MONTH(A204)/3,0))</f>
        <v/>
      </c>
      <c r="S204" s="3" t="n"/>
    </row>
    <row r="205">
      <c r="A205" s="2" t="n"/>
      <c r="B205" s="3" t="n"/>
      <c r="C205" s="3" t="n"/>
      <c r="D205" s="3" t="n"/>
      <c r="E205" s="4" t="n"/>
      <c r="F205" s="4" t="n"/>
      <c r="G205" s="4" t="n"/>
      <c r="H205" s="4" t="n"/>
      <c r="I205" s="5">
        <f>IF(E205="","",ROUND(E205*0.21,2))</f>
        <v/>
      </c>
      <c r="J205" s="5">
        <f>IF(F205="","",ROUND(F205*0.1,2))</f>
        <v/>
      </c>
      <c r="K205" s="5">
        <f>IF(G205="","",ROUND(G205*0.04,2))</f>
        <v/>
      </c>
      <c r="L205" s="4" t="n"/>
      <c r="M205" s="4" t="n"/>
      <c r="N205" s="5">
        <f>IF(A205="","",SUM(E205:K205)-N(L205))</f>
        <v/>
      </c>
      <c r="O205">
        <f>IF(OR(A205="",M205=""),"",IF(ABS(M205-N205)&lt;=0.02,"OK","REVISAR"))</f>
        <v/>
      </c>
      <c r="P205">
        <f>IF(D205="","",IF(LEN(TRIM(D205))&lt;&gt;9,"REVISAR",IFERROR(IF(OR(ISNUMBER(VALUE(LEFT(UPPER(TRIM(D205)),1))),LEFT(UPPER(TRIM(D205)),1)="X",LEFT(UPPER(TRIM(D205)),1)="Y",LEFT(UPPER(TRIM(D205)),1)="Z"),IF(MID("TRWAGMYFPDXBNJZSQVHLCKE",MOD(VALUE(SUBSTITUTE(SUBSTITUTE(SUBSTITUTE(LEFT(UPPER(TRIM(D205)),8),"X","0"),"Y","1"),"Z","2")),23)+1,1)=RIGHT(UPPER(TRIM(D205)),1),"OK","REVISAR"),IF(OR(RIGHT(UPPER(TRIM(D205)),1)=TEXT(MOD(10-MOD((VALUE(MID(UPPER(TRIM(D205)),3,1))+VALUE(MID(UPPER(TRIM(D205)),5,1))+VALUE(MID(UPPER(TRIM(D205)),7,1)))+(INT(2*VALUE(MID(UPPER(TRIM(D205)),2,1))/10)+MOD(2*VALUE(MID(UPPER(TRIM(D205)),2,1)),10))+(INT(2*VALUE(MID(UPPER(TRIM(D205)),4,1))/10)+MOD(2*VALUE(MID(UPPER(TRIM(D205)),4,1)),10))+(INT(2*VALUE(MID(UPPER(TRIM(D205)),6,1))/10)+MOD(2*VALUE(MID(UPPER(TRIM(D205)),6,1)),10))+(INT(2*VALUE(MID(UPPER(TRIM(D205)),8,1))/10)+MOD(2*VALUE(MID(UPPER(TRIM(D205)),8,1)),10)),10),10),"0"),RIGHT(UPPER(TRIM(D205)),1)=MID("JABCDEFGHI",MOD(10-MOD((VALUE(MID(UPPER(TRIM(D205)),3,1))+VALUE(MID(UPPER(TRIM(D205)),5,1))+VALUE(MID(UPPER(TRIM(D205)),7,1)))+(INT(2*VALUE(MID(UPPER(TRIM(D205)),2,1))/10)+MOD(2*VALUE(MID(UPPER(TRIM(D205)),2,1)),10))+(INT(2*VALUE(MID(UPPER(TRIM(D205)),4,1))/10)+MOD(2*VALUE(MID(UPPER(TRIM(D205)),4,1)),10))+(INT(2*VALUE(MID(UPPER(TRIM(D205)),6,1))/10)+MOD(2*VALUE(MID(UPPER(TRIM(D205)),6,1)),10))+(INT(2*VALUE(MID(UPPER(TRIM(D205)),8,1))/10)+MOD(2*VALUE(MID(UPPER(TRIM(D205)),8,1)),10)),10),10)+1,1)),"OK","REVISAR")),"REVISAR")))</f>
        <v/>
      </c>
      <c r="Q205">
        <f>IF(B205="","",IF(COUNTIFS($B$2:$B$501,B205,$D$2:$D$501,D205)&gt;1,"DUPLICADA",""))</f>
        <v/>
      </c>
      <c r="R205">
        <f>IF(A205="","",ROUNDUP(MONTH(A205)/3,0))</f>
        <v/>
      </c>
      <c r="S205" s="3" t="n"/>
    </row>
    <row r="206">
      <c r="A206" s="2" t="n"/>
      <c r="B206" s="3" t="n"/>
      <c r="C206" s="3" t="n"/>
      <c r="D206" s="3" t="n"/>
      <c r="E206" s="4" t="n"/>
      <c r="F206" s="4" t="n"/>
      <c r="G206" s="4" t="n"/>
      <c r="H206" s="4" t="n"/>
      <c r="I206" s="5">
        <f>IF(E206="","",ROUND(E206*0.21,2))</f>
        <v/>
      </c>
      <c r="J206" s="5">
        <f>IF(F206="","",ROUND(F206*0.1,2))</f>
        <v/>
      </c>
      <c r="K206" s="5">
        <f>IF(G206="","",ROUND(G206*0.04,2))</f>
        <v/>
      </c>
      <c r="L206" s="4" t="n"/>
      <c r="M206" s="4" t="n"/>
      <c r="N206" s="5">
        <f>IF(A206="","",SUM(E206:K206)-N(L206))</f>
        <v/>
      </c>
      <c r="O206">
        <f>IF(OR(A206="",M206=""),"",IF(ABS(M206-N206)&lt;=0.02,"OK","REVISAR"))</f>
        <v/>
      </c>
      <c r="P206">
        <f>IF(D206="","",IF(LEN(TRIM(D206))&lt;&gt;9,"REVISAR",IFERROR(IF(OR(ISNUMBER(VALUE(LEFT(UPPER(TRIM(D206)),1))),LEFT(UPPER(TRIM(D206)),1)="X",LEFT(UPPER(TRIM(D206)),1)="Y",LEFT(UPPER(TRIM(D206)),1)="Z"),IF(MID("TRWAGMYFPDXBNJZSQVHLCKE",MOD(VALUE(SUBSTITUTE(SUBSTITUTE(SUBSTITUTE(LEFT(UPPER(TRIM(D206)),8),"X","0"),"Y","1"),"Z","2")),23)+1,1)=RIGHT(UPPER(TRIM(D206)),1),"OK","REVISAR"),IF(OR(RIGHT(UPPER(TRIM(D206)),1)=TEXT(MOD(10-MOD((VALUE(MID(UPPER(TRIM(D206)),3,1))+VALUE(MID(UPPER(TRIM(D206)),5,1))+VALUE(MID(UPPER(TRIM(D206)),7,1)))+(INT(2*VALUE(MID(UPPER(TRIM(D206)),2,1))/10)+MOD(2*VALUE(MID(UPPER(TRIM(D206)),2,1)),10))+(INT(2*VALUE(MID(UPPER(TRIM(D206)),4,1))/10)+MOD(2*VALUE(MID(UPPER(TRIM(D206)),4,1)),10))+(INT(2*VALUE(MID(UPPER(TRIM(D206)),6,1))/10)+MOD(2*VALUE(MID(UPPER(TRIM(D206)),6,1)),10))+(INT(2*VALUE(MID(UPPER(TRIM(D206)),8,1))/10)+MOD(2*VALUE(MID(UPPER(TRIM(D206)),8,1)),10)),10),10),"0"),RIGHT(UPPER(TRIM(D206)),1)=MID("JABCDEFGHI",MOD(10-MOD((VALUE(MID(UPPER(TRIM(D206)),3,1))+VALUE(MID(UPPER(TRIM(D206)),5,1))+VALUE(MID(UPPER(TRIM(D206)),7,1)))+(INT(2*VALUE(MID(UPPER(TRIM(D206)),2,1))/10)+MOD(2*VALUE(MID(UPPER(TRIM(D206)),2,1)),10))+(INT(2*VALUE(MID(UPPER(TRIM(D206)),4,1))/10)+MOD(2*VALUE(MID(UPPER(TRIM(D206)),4,1)),10))+(INT(2*VALUE(MID(UPPER(TRIM(D206)),6,1))/10)+MOD(2*VALUE(MID(UPPER(TRIM(D206)),6,1)),10))+(INT(2*VALUE(MID(UPPER(TRIM(D206)),8,1))/10)+MOD(2*VALUE(MID(UPPER(TRIM(D206)),8,1)),10)),10),10)+1,1)),"OK","REVISAR")),"REVISAR")))</f>
        <v/>
      </c>
      <c r="Q206">
        <f>IF(B206="","",IF(COUNTIFS($B$2:$B$501,B206,$D$2:$D$501,D206)&gt;1,"DUPLICADA",""))</f>
        <v/>
      </c>
      <c r="R206">
        <f>IF(A206="","",ROUNDUP(MONTH(A206)/3,0))</f>
        <v/>
      </c>
      <c r="S206" s="3" t="n"/>
    </row>
    <row r="207">
      <c r="A207" s="2" t="n"/>
      <c r="B207" s="3" t="n"/>
      <c r="C207" s="3" t="n"/>
      <c r="D207" s="3" t="n"/>
      <c r="E207" s="4" t="n"/>
      <c r="F207" s="4" t="n"/>
      <c r="G207" s="4" t="n"/>
      <c r="H207" s="4" t="n"/>
      <c r="I207" s="5">
        <f>IF(E207="","",ROUND(E207*0.21,2))</f>
        <v/>
      </c>
      <c r="J207" s="5">
        <f>IF(F207="","",ROUND(F207*0.1,2))</f>
        <v/>
      </c>
      <c r="K207" s="5">
        <f>IF(G207="","",ROUND(G207*0.04,2))</f>
        <v/>
      </c>
      <c r="L207" s="4" t="n"/>
      <c r="M207" s="4" t="n"/>
      <c r="N207" s="5">
        <f>IF(A207="","",SUM(E207:K207)-N(L207))</f>
        <v/>
      </c>
      <c r="O207">
        <f>IF(OR(A207="",M207=""),"",IF(ABS(M207-N207)&lt;=0.02,"OK","REVISAR"))</f>
        <v/>
      </c>
      <c r="P207">
        <f>IF(D207="","",IF(LEN(TRIM(D207))&lt;&gt;9,"REVISAR",IFERROR(IF(OR(ISNUMBER(VALUE(LEFT(UPPER(TRIM(D207)),1))),LEFT(UPPER(TRIM(D207)),1)="X",LEFT(UPPER(TRIM(D207)),1)="Y",LEFT(UPPER(TRIM(D207)),1)="Z"),IF(MID("TRWAGMYFPDXBNJZSQVHLCKE",MOD(VALUE(SUBSTITUTE(SUBSTITUTE(SUBSTITUTE(LEFT(UPPER(TRIM(D207)),8),"X","0"),"Y","1"),"Z","2")),23)+1,1)=RIGHT(UPPER(TRIM(D207)),1),"OK","REVISAR"),IF(OR(RIGHT(UPPER(TRIM(D207)),1)=TEXT(MOD(10-MOD((VALUE(MID(UPPER(TRIM(D207)),3,1))+VALUE(MID(UPPER(TRIM(D207)),5,1))+VALUE(MID(UPPER(TRIM(D207)),7,1)))+(INT(2*VALUE(MID(UPPER(TRIM(D207)),2,1))/10)+MOD(2*VALUE(MID(UPPER(TRIM(D207)),2,1)),10))+(INT(2*VALUE(MID(UPPER(TRIM(D207)),4,1))/10)+MOD(2*VALUE(MID(UPPER(TRIM(D207)),4,1)),10))+(INT(2*VALUE(MID(UPPER(TRIM(D207)),6,1))/10)+MOD(2*VALUE(MID(UPPER(TRIM(D207)),6,1)),10))+(INT(2*VALUE(MID(UPPER(TRIM(D207)),8,1))/10)+MOD(2*VALUE(MID(UPPER(TRIM(D207)),8,1)),10)),10),10),"0"),RIGHT(UPPER(TRIM(D207)),1)=MID("JABCDEFGHI",MOD(10-MOD((VALUE(MID(UPPER(TRIM(D207)),3,1))+VALUE(MID(UPPER(TRIM(D207)),5,1))+VALUE(MID(UPPER(TRIM(D207)),7,1)))+(INT(2*VALUE(MID(UPPER(TRIM(D207)),2,1))/10)+MOD(2*VALUE(MID(UPPER(TRIM(D207)),2,1)),10))+(INT(2*VALUE(MID(UPPER(TRIM(D207)),4,1))/10)+MOD(2*VALUE(MID(UPPER(TRIM(D207)),4,1)),10))+(INT(2*VALUE(MID(UPPER(TRIM(D207)),6,1))/10)+MOD(2*VALUE(MID(UPPER(TRIM(D207)),6,1)),10))+(INT(2*VALUE(MID(UPPER(TRIM(D207)),8,1))/10)+MOD(2*VALUE(MID(UPPER(TRIM(D207)),8,1)),10)),10),10)+1,1)),"OK","REVISAR")),"REVISAR")))</f>
        <v/>
      </c>
      <c r="Q207">
        <f>IF(B207="","",IF(COUNTIFS($B$2:$B$501,B207,$D$2:$D$501,D207)&gt;1,"DUPLICADA",""))</f>
        <v/>
      </c>
      <c r="R207">
        <f>IF(A207="","",ROUNDUP(MONTH(A207)/3,0))</f>
        <v/>
      </c>
      <c r="S207" s="3" t="n"/>
    </row>
    <row r="208">
      <c r="A208" s="2" t="n"/>
      <c r="B208" s="3" t="n"/>
      <c r="C208" s="3" t="n"/>
      <c r="D208" s="3" t="n"/>
      <c r="E208" s="4" t="n"/>
      <c r="F208" s="4" t="n"/>
      <c r="G208" s="4" t="n"/>
      <c r="H208" s="4" t="n"/>
      <c r="I208" s="5">
        <f>IF(E208="","",ROUND(E208*0.21,2))</f>
        <v/>
      </c>
      <c r="J208" s="5">
        <f>IF(F208="","",ROUND(F208*0.1,2))</f>
        <v/>
      </c>
      <c r="K208" s="5">
        <f>IF(G208="","",ROUND(G208*0.04,2))</f>
        <v/>
      </c>
      <c r="L208" s="4" t="n"/>
      <c r="M208" s="4" t="n"/>
      <c r="N208" s="5">
        <f>IF(A208="","",SUM(E208:K208)-N(L208))</f>
        <v/>
      </c>
      <c r="O208">
        <f>IF(OR(A208="",M208=""),"",IF(ABS(M208-N208)&lt;=0.02,"OK","REVISAR"))</f>
        <v/>
      </c>
      <c r="P208">
        <f>IF(D208="","",IF(LEN(TRIM(D208))&lt;&gt;9,"REVISAR",IFERROR(IF(OR(ISNUMBER(VALUE(LEFT(UPPER(TRIM(D208)),1))),LEFT(UPPER(TRIM(D208)),1)="X",LEFT(UPPER(TRIM(D208)),1)="Y",LEFT(UPPER(TRIM(D208)),1)="Z"),IF(MID("TRWAGMYFPDXBNJZSQVHLCKE",MOD(VALUE(SUBSTITUTE(SUBSTITUTE(SUBSTITUTE(LEFT(UPPER(TRIM(D208)),8),"X","0"),"Y","1"),"Z","2")),23)+1,1)=RIGHT(UPPER(TRIM(D208)),1),"OK","REVISAR"),IF(OR(RIGHT(UPPER(TRIM(D208)),1)=TEXT(MOD(10-MOD((VALUE(MID(UPPER(TRIM(D208)),3,1))+VALUE(MID(UPPER(TRIM(D208)),5,1))+VALUE(MID(UPPER(TRIM(D208)),7,1)))+(INT(2*VALUE(MID(UPPER(TRIM(D208)),2,1))/10)+MOD(2*VALUE(MID(UPPER(TRIM(D208)),2,1)),10))+(INT(2*VALUE(MID(UPPER(TRIM(D208)),4,1))/10)+MOD(2*VALUE(MID(UPPER(TRIM(D208)),4,1)),10))+(INT(2*VALUE(MID(UPPER(TRIM(D208)),6,1))/10)+MOD(2*VALUE(MID(UPPER(TRIM(D208)),6,1)),10))+(INT(2*VALUE(MID(UPPER(TRIM(D208)),8,1))/10)+MOD(2*VALUE(MID(UPPER(TRIM(D208)),8,1)),10)),10),10),"0"),RIGHT(UPPER(TRIM(D208)),1)=MID("JABCDEFGHI",MOD(10-MOD((VALUE(MID(UPPER(TRIM(D208)),3,1))+VALUE(MID(UPPER(TRIM(D208)),5,1))+VALUE(MID(UPPER(TRIM(D208)),7,1)))+(INT(2*VALUE(MID(UPPER(TRIM(D208)),2,1))/10)+MOD(2*VALUE(MID(UPPER(TRIM(D208)),2,1)),10))+(INT(2*VALUE(MID(UPPER(TRIM(D208)),4,1))/10)+MOD(2*VALUE(MID(UPPER(TRIM(D208)),4,1)),10))+(INT(2*VALUE(MID(UPPER(TRIM(D208)),6,1))/10)+MOD(2*VALUE(MID(UPPER(TRIM(D208)),6,1)),10))+(INT(2*VALUE(MID(UPPER(TRIM(D208)),8,1))/10)+MOD(2*VALUE(MID(UPPER(TRIM(D208)),8,1)),10)),10),10)+1,1)),"OK","REVISAR")),"REVISAR")))</f>
        <v/>
      </c>
      <c r="Q208">
        <f>IF(B208="","",IF(COUNTIFS($B$2:$B$501,B208,$D$2:$D$501,D208)&gt;1,"DUPLICADA",""))</f>
        <v/>
      </c>
      <c r="R208">
        <f>IF(A208="","",ROUNDUP(MONTH(A208)/3,0))</f>
        <v/>
      </c>
      <c r="S208" s="3" t="n"/>
    </row>
    <row r="209">
      <c r="A209" s="2" t="n"/>
      <c r="B209" s="3" t="n"/>
      <c r="C209" s="3" t="n"/>
      <c r="D209" s="3" t="n"/>
      <c r="E209" s="4" t="n"/>
      <c r="F209" s="4" t="n"/>
      <c r="G209" s="4" t="n"/>
      <c r="H209" s="4" t="n"/>
      <c r="I209" s="5">
        <f>IF(E209="","",ROUND(E209*0.21,2))</f>
        <v/>
      </c>
      <c r="J209" s="5">
        <f>IF(F209="","",ROUND(F209*0.1,2))</f>
        <v/>
      </c>
      <c r="K209" s="5">
        <f>IF(G209="","",ROUND(G209*0.04,2))</f>
        <v/>
      </c>
      <c r="L209" s="4" t="n"/>
      <c r="M209" s="4" t="n"/>
      <c r="N209" s="5">
        <f>IF(A209="","",SUM(E209:K209)-N(L209))</f>
        <v/>
      </c>
      <c r="O209">
        <f>IF(OR(A209="",M209=""),"",IF(ABS(M209-N209)&lt;=0.02,"OK","REVISAR"))</f>
        <v/>
      </c>
      <c r="P209">
        <f>IF(D209="","",IF(LEN(TRIM(D209))&lt;&gt;9,"REVISAR",IFERROR(IF(OR(ISNUMBER(VALUE(LEFT(UPPER(TRIM(D209)),1))),LEFT(UPPER(TRIM(D209)),1)="X",LEFT(UPPER(TRIM(D209)),1)="Y",LEFT(UPPER(TRIM(D209)),1)="Z"),IF(MID("TRWAGMYFPDXBNJZSQVHLCKE",MOD(VALUE(SUBSTITUTE(SUBSTITUTE(SUBSTITUTE(LEFT(UPPER(TRIM(D209)),8),"X","0"),"Y","1"),"Z","2")),23)+1,1)=RIGHT(UPPER(TRIM(D209)),1),"OK","REVISAR"),IF(OR(RIGHT(UPPER(TRIM(D209)),1)=TEXT(MOD(10-MOD((VALUE(MID(UPPER(TRIM(D209)),3,1))+VALUE(MID(UPPER(TRIM(D209)),5,1))+VALUE(MID(UPPER(TRIM(D209)),7,1)))+(INT(2*VALUE(MID(UPPER(TRIM(D209)),2,1))/10)+MOD(2*VALUE(MID(UPPER(TRIM(D209)),2,1)),10))+(INT(2*VALUE(MID(UPPER(TRIM(D209)),4,1))/10)+MOD(2*VALUE(MID(UPPER(TRIM(D209)),4,1)),10))+(INT(2*VALUE(MID(UPPER(TRIM(D209)),6,1))/10)+MOD(2*VALUE(MID(UPPER(TRIM(D209)),6,1)),10))+(INT(2*VALUE(MID(UPPER(TRIM(D209)),8,1))/10)+MOD(2*VALUE(MID(UPPER(TRIM(D209)),8,1)),10)),10),10),"0"),RIGHT(UPPER(TRIM(D209)),1)=MID("JABCDEFGHI",MOD(10-MOD((VALUE(MID(UPPER(TRIM(D209)),3,1))+VALUE(MID(UPPER(TRIM(D209)),5,1))+VALUE(MID(UPPER(TRIM(D209)),7,1)))+(INT(2*VALUE(MID(UPPER(TRIM(D209)),2,1))/10)+MOD(2*VALUE(MID(UPPER(TRIM(D209)),2,1)),10))+(INT(2*VALUE(MID(UPPER(TRIM(D209)),4,1))/10)+MOD(2*VALUE(MID(UPPER(TRIM(D209)),4,1)),10))+(INT(2*VALUE(MID(UPPER(TRIM(D209)),6,1))/10)+MOD(2*VALUE(MID(UPPER(TRIM(D209)),6,1)),10))+(INT(2*VALUE(MID(UPPER(TRIM(D209)),8,1))/10)+MOD(2*VALUE(MID(UPPER(TRIM(D209)),8,1)),10)),10),10)+1,1)),"OK","REVISAR")),"REVISAR")))</f>
        <v/>
      </c>
      <c r="Q209">
        <f>IF(B209="","",IF(COUNTIFS($B$2:$B$501,B209,$D$2:$D$501,D209)&gt;1,"DUPLICADA",""))</f>
        <v/>
      </c>
      <c r="R209">
        <f>IF(A209="","",ROUNDUP(MONTH(A209)/3,0))</f>
        <v/>
      </c>
      <c r="S209" s="3" t="n"/>
    </row>
    <row r="210">
      <c r="A210" s="2" t="n"/>
      <c r="B210" s="3" t="n"/>
      <c r="C210" s="3" t="n"/>
      <c r="D210" s="3" t="n"/>
      <c r="E210" s="4" t="n"/>
      <c r="F210" s="4" t="n"/>
      <c r="G210" s="4" t="n"/>
      <c r="H210" s="4" t="n"/>
      <c r="I210" s="5">
        <f>IF(E210="","",ROUND(E210*0.21,2))</f>
        <v/>
      </c>
      <c r="J210" s="5">
        <f>IF(F210="","",ROUND(F210*0.1,2))</f>
        <v/>
      </c>
      <c r="K210" s="5">
        <f>IF(G210="","",ROUND(G210*0.04,2))</f>
        <v/>
      </c>
      <c r="L210" s="4" t="n"/>
      <c r="M210" s="4" t="n"/>
      <c r="N210" s="5">
        <f>IF(A210="","",SUM(E210:K210)-N(L210))</f>
        <v/>
      </c>
      <c r="O210">
        <f>IF(OR(A210="",M210=""),"",IF(ABS(M210-N210)&lt;=0.02,"OK","REVISAR"))</f>
        <v/>
      </c>
      <c r="P210">
        <f>IF(D210="","",IF(LEN(TRIM(D210))&lt;&gt;9,"REVISAR",IFERROR(IF(OR(ISNUMBER(VALUE(LEFT(UPPER(TRIM(D210)),1))),LEFT(UPPER(TRIM(D210)),1)="X",LEFT(UPPER(TRIM(D210)),1)="Y",LEFT(UPPER(TRIM(D210)),1)="Z"),IF(MID("TRWAGMYFPDXBNJZSQVHLCKE",MOD(VALUE(SUBSTITUTE(SUBSTITUTE(SUBSTITUTE(LEFT(UPPER(TRIM(D210)),8),"X","0"),"Y","1"),"Z","2")),23)+1,1)=RIGHT(UPPER(TRIM(D210)),1),"OK","REVISAR"),IF(OR(RIGHT(UPPER(TRIM(D210)),1)=TEXT(MOD(10-MOD((VALUE(MID(UPPER(TRIM(D210)),3,1))+VALUE(MID(UPPER(TRIM(D210)),5,1))+VALUE(MID(UPPER(TRIM(D210)),7,1)))+(INT(2*VALUE(MID(UPPER(TRIM(D210)),2,1))/10)+MOD(2*VALUE(MID(UPPER(TRIM(D210)),2,1)),10))+(INT(2*VALUE(MID(UPPER(TRIM(D210)),4,1))/10)+MOD(2*VALUE(MID(UPPER(TRIM(D210)),4,1)),10))+(INT(2*VALUE(MID(UPPER(TRIM(D210)),6,1))/10)+MOD(2*VALUE(MID(UPPER(TRIM(D210)),6,1)),10))+(INT(2*VALUE(MID(UPPER(TRIM(D210)),8,1))/10)+MOD(2*VALUE(MID(UPPER(TRIM(D210)),8,1)),10)),10),10),"0"),RIGHT(UPPER(TRIM(D210)),1)=MID("JABCDEFGHI",MOD(10-MOD((VALUE(MID(UPPER(TRIM(D210)),3,1))+VALUE(MID(UPPER(TRIM(D210)),5,1))+VALUE(MID(UPPER(TRIM(D210)),7,1)))+(INT(2*VALUE(MID(UPPER(TRIM(D210)),2,1))/10)+MOD(2*VALUE(MID(UPPER(TRIM(D210)),2,1)),10))+(INT(2*VALUE(MID(UPPER(TRIM(D210)),4,1))/10)+MOD(2*VALUE(MID(UPPER(TRIM(D210)),4,1)),10))+(INT(2*VALUE(MID(UPPER(TRIM(D210)),6,1))/10)+MOD(2*VALUE(MID(UPPER(TRIM(D210)),6,1)),10))+(INT(2*VALUE(MID(UPPER(TRIM(D210)),8,1))/10)+MOD(2*VALUE(MID(UPPER(TRIM(D210)),8,1)),10)),10),10)+1,1)),"OK","REVISAR")),"REVISAR")))</f>
        <v/>
      </c>
      <c r="Q210">
        <f>IF(B210="","",IF(COUNTIFS($B$2:$B$501,B210,$D$2:$D$501,D210)&gt;1,"DUPLICADA",""))</f>
        <v/>
      </c>
      <c r="R210">
        <f>IF(A210="","",ROUNDUP(MONTH(A210)/3,0))</f>
        <v/>
      </c>
      <c r="S210" s="3" t="n"/>
    </row>
    <row r="211">
      <c r="A211" s="2" t="n"/>
      <c r="B211" s="3" t="n"/>
      <c r="C211" s="3" t="n"/>
      <c r="D211" s="3" t="n"/>
      <c r="E211" s="4" t="n"/>
      <c r="F211" s="4" t="n"/>
      <c r="G211" s="4" t="n"/>
      <c r="H211" s="4" t="n"/>
      <c r="I211" s="5">
        <f>IF(E211="","",ROUND(E211*0.21,2))</f>
        <v/>
      </c>
      <c r="J211" s="5">
        <f>IF(F211="","",ROUND(F211*0.1,2))</f>
        <v/>
      </c>
      <c r="K211" s="5">
        <f>IF(G211="","",ROUND(G211*0.04,2))</f>
        <v/>
      </c>
      <c r="L211" s="4" t="n"/>
      <c r="M211" s="4" t="n"/>
      <c r="N211" s="5">
        <f>IF(A211="","",SUM(E211:K211)-N(L211))</f>
        <v/>
      </c>
      <c r="O211">
        <f>IF(OR(A211="",M211=""),"",IF(ABS(M211-N211)&lt;=0.02,"OK","REVISAR"))</f>
        <v/>
      </c>
      <c r="P211">
        <f>IF(D211="","",IF(LEN(TRIM(D211))&lt;&gt;9,"REVISAR",IFERROR(IF(OR(ISNUMBER(VALUE(LEFT(UPPER(TRIM(D211)),1))),LEFT(UPPER(TRIM(D211)),1)="X",LEFT(UPPER(TRIM(D211)),1)="Y",LEFT(UPPER(TRIM(D211)),1)="Z"),IF(MID("TRWAGMYFPDXBNJZSQVHLCKE",MOD(VALUE(SUBSTITUTE(SUBSTITUTE(SUBSTITUTE(LEFT(UPPER(TRIM(D211)),8),"X","0"),"Y","1"),"Z","2")),23)+1,1)=RIGHT(UPPER(TRIM(D211)),1),"OK","REVISAR"),IF(OR(RIGHT(UPPER(TRIM(D211)),1)=TEXT(MOD(10-MOD((VALUE(MID(UPPER(TRIM(D211)),3,1))+VALUE(MID(UPPER(TRIM(D211)),5,1))+VALUE(MID(UPPER(TRIM(D211)),7,1)))+(INT(2*VALUE(MID(UPPER(TRIM(D211)),2,1))/10)+MOD(2*VALUE(MID(UPPER(TRIM(D211)),2,1)),10))+(INT(2*VALUE(MID(UPPER(TRIM(D211)),4,1))/10)+MOD(2*VALUE(MID(UPPER(TRIM(D211)),4,1)),10))+(INT(2*VALUE(MID(UPPER(TRIM(D211)),6,1))/10)+MOD(2*VALUE(MID(UPPER(TRIM(D211)),6,1)),10))+(INT(2*VALUE(MID(UPPER(TRIM(D211)),8,1))/10)+MOD(2*VALUE(MID(UPPER(TRIM(D211)),8,1)),10)),10),10),"0"),RIGHT(UPPER(TRIM(D211)),1)=MID("JABCDEFGHI",MOD(10-MOD((VALUE(MID(UPPER(TRIM(D211)),3,1))+VALUE(MID(UPPER(TRIM(D211)),5,1))+VALUE(MID(UPPER(TRIM(D211)),7,1)))+(INT(2*VALUE(MID(UPPER(TRIM(D211)),2,1))/10)+MOD(2*VALUE(MID(UPPER(TRIM(D211)),2,1)),10))+(INT(2*VALUE(MID(UPPER(TRIM(D211)),4,1))/10)+MOD(2*VALUE(MID(UPPER(TRIM(D211)),4,1)),10))+(INT(2*VALUE(MID(UPPER(TRIM(D211)),6,1))/10)+MOD(2*VALUE(MID(UPPER(TRIM(D211)),6,1)),10))+(INT(2*VALUE(MID(UPPER(TRIM(D211)),8,1))/10)+MOD(2*VALUE(MID(UPPER(TRIM(D211)),8,1)),10)),10),10)+1,1)),"OK","REVISAR")),"REVISAR")))</f>
        <v/>
      </c>
      <c r="Q211">
        <f>IF(B211="","",IF(COUNTIFS($B$2:$B$501,B211,$D$2:$D$501,D211)&gt;1,"DUPLICADA",""))</f>
        <v/>
      </c>
      <c r="R211">
        <f>IF(A211="","",ROUNDUP(MONTH(A211)/3,0))</f>
        <v/>
      </c>
      <c r="S211" s="3" t="n"/>
    </row>
    <row r="212">
      <c r="A212" s="2" t="n"/>
      <c r="B212" s="3" t="n"/>
      <c r="C212" s="3" t="n"/>
      <c r="D212" s="3" t="n"/>
      <c r="E212" s="4" t="n"/>
      <c r="F212" s="4" t="n"/>
      <c r="G212" s="4" t="n"/>
      <c r="H212" s="4" t="n"/>
      <c r="I212" s="5">
        <f>IF(E212="","",ROUND(E212*0.21,2))</f>
        <v/>
      </c>
      <c r="J212" s="5">
        <f>IF(F212="","",ROUND(F212*0.1,2))</f>
        <v/>
      </c>
      <c r="K212" s="5">
        <f>IF(G212="","",ROUND(G212*0.04,2))</f>
        <v/>
      </c>
      <c r="L212" s="4" t="n"/>
      <c r="M212" s="4" t="n"/>
      <c r="N212" s="5">
        <f>IF(A212="","",SUM(E212:K212)-N(L212))</f>
        <v/>
      </c>
      <c r="O212">
        <f>IF(OR(A212="",M212=""),"",IF(ABS(M212-N212)&lt;=0.02,"OK","REVISAR"))</f>
        <v/>
      </c>
      <c r="P212">
        <f>IF(D212="","",IF(LEN(TRIM(D212))&lt;&gt;9,"REVISAR",IFERROR(IF(OR(ISNUMBER(VALUE(LEFT(UPPER(TRIM(D212)),1))),LEFT(UPPER(TRIM(D212)),1)="X",LEFT(UPPER(TRIM(D212)),1)="Y",LEFT(UPPER(TRIM(D212)),1)="Z"),IF(MID("TRWAGMYFPDXBNJZSQVHLCKE",MOD(VALUE(SUBSTITUTE(SUBSTITUTE(SUBSTITUTE(LEFT(UPPER(TRIM(D212)),8),"X","0"),"Y","1"),"Z","2")),23)+1,1)=RIGHT(UPPER(TRIM(D212)),1),"OK","REVISAR"),IF(OR(RIGHT(UPPER(TRIM(D212)),1)=TEXT(MOD(10-MOD((VALUE(MID(UPPER(TRIM(D212)),3,1))+VALUE(MID(UPPER(TRIM(D212)),5,1))+VALUE(MID(UPPER(TRIM(D212)),7,1)))+(INT(2*VALUE(MID(UPPER(TRIM(D212)),2,1))/10)+MOD(2*VALUE(MID(UPPER(TRIM(D212)),2,1)),10))+(INT(2*VALUE(MID(UPPER(TRIM(D212)),4,1))/10)+MOD(2*VALUE(MID(UPPER(TRIM(D212)),4,1)),10))+(INT(2*VALUE(MID(UPPER(TRIM(D212)),6,1))/10)+MOD(2*VALUE(MID(UPPER(TRIM(D212)),6,1)),10))+(INT(2*VALUE(MID(UPPER(TRIM(D212)),8,1))/10)+MOD(2*VALUE(MID(UPPER(TRIM(D212)),8,1)),10)),10),10),"0"),RIGHT(UPPER(TRIM(D212)),1)=MID("JABCDEFGHI",MOD(10-MOD((VALUE(MID(UPPER(TRIM(D212)),3,1))+VALUE(MID(UPPER(TRIM(D212)),5,1))+VALUE(MID(UPPER(TRIM(D212)),7,1)))+(INT(2*VALUE(MID(UPPER(TRIM(D212)),2,1))/10)+MOD(2*VALUE(MID(UPPER(TRIM(D212)),2,1)),10))+(INT(2*VALUE(MID(UPPER(TRIM(D212)),4,1))/10)+MOD(2*VALUE(MID(UPPER(TRIM(D212)),4,1)),10))+(INT(2*VALUE(MID(UPPER(TRIM(D212)),6,1))/10)+MOD(2*VALUE(MID(UPPER(TRIM(D212)),6,1)),10))+(INT(2*VALUE(MID(UPPER(TRIM(D212)),8,1))/10)+MOD(2*VALUE(MID(UPPER(TRIM(D212)),8,1)),10)),10),10)+1,1)),"OK","REVISAR")),"REVISAR")))</f>
        <v/>
      </c>
      <c r="Q212">
        <f>IF(B212="","",IF(COUNTIFS($B$2:$B$501,B212,$D$2:$D$501,D212)&gt;1,"DUPLICADA",""))</f>
        <v/>
      </c>
      <c r="R212">
        <f>IF(A212="","",ROUNDUP(MONTH(A212)/3,0))</f>
        <v/>
      </c>
      <c r="S212" s="3" t="n"/>
    </row>
    <row r="213">
      <c r="A213" s="2" t="n"/>
      <c r="B213" s="3" t="n"/>
      <c r="C213" s="3" t="n"/>
      <c r="D213" s="3" t="n"/>
      <c r="E213" s="4" t="n"/>
      <c r="F213" s="4" t="n"/>
      <c r="G213" s="4" t="n"/>
      <c r="H213" s="4" t="n"/>
      <c r="I213" s="5">
        <f>IF(E213="","",ROUND(E213*0.21,2))</f>
        <v/>
      </c>
      <c r="J213" s="5">
        <f>IF(F213="","",ROUND(F213*0.1,2))</f>
        <v/>
      </c>
      <c r="K213" s="5">
        <f>IF(G213="","",ROUND(G213*0.04,2))</f>
        <v/>
      </c>
      <c r="L213" s="4" t="n"/>
      <c r="M213" s="4" t="n"/>
      <c r="N213" s="5">
        <f>IF(A213="","",SUM(E213:K213)-N(L213))</f>
        <v/>
      </c>
      <c r="O213">
        <f>IF(OR(A213="",M213=""),"",IF(ABS(M213-N213)&lt;=0.02,"OK","REVISAR"))</f>
        <v/>
      </c>
      <c r="P213">
        <f>IF(D213="","",IF(LEN(TRIM(D213))&lt;&gt;9,"REVISAR",IFERROR(IF(OR(ISNUMBER(VALUE(LEFT(UPPER(TRIM(D213)),1))),LEFT(UPPER(TRIM(D213)),1)="X",LEFT(UPPER(TRIM(D213)),1)="Y",LEFT(UPPER(TRIM(D213)),1)="Z"),IF(MID("TRWAGMYFPDXBNJZSQVHLCKE",MOD(VALUE(SUBSTITUTE(SUBSTITUTE(SUBSTITUTE(LEFT(UPPER(TRIM(D213)),8),"X","0"),"Y","1"),"Z","2")),23)+1,1)=RIGHT(UPPER(TRIM(D213)),1),"OK","REVISAR"),IF(OR(RIGHT(UPPER(TRIM(D213)),1)=TEXT(MOD(10-MOD((VALUE(MID(UPPER(TRIM(D213)),3,1))+VALUE(MID(UPPER(TRIM(D213)),5,1))+VALUE(MID(UPPER(TRIM(D213)),7,1)))+(INT(2*VALUE(MID(UPPER(TRIM(D213)),2,1))/10)+MOD(2*VALUE(MID(UPPER(TRIM(D213)),2,1)),10))+(INT(2*VALUE(MID(UPPER(TRIM(D213)),4,1))/10)+MOD(2*VALUE(MID(UPPER(TRIM(D213)),4,1)),10))+(INT(2*VALUE(MID(UPPER(TRIM(D213)),6,1))/10)+MOD(2*VALUE(MID(UPPER(TRIM(D213)),6,1)),10))+(INT(2*VALUE(MID(UPPER(TRIM(D213)),8,1))/10)+MOD(2*VALUE(MID(UPPER(TRIM(D213)),8,1)),10)),10),10),"0"),RIGHT(UPPER(TRIM(D213)),1)=MID("JABCDEFGHI",MOD(10-MOD((VALUE(MID(UPPER(TRIM(D213)),3,1))+VALUE(MID(UPPER(TRIM(D213)),5,1))+VALUE(MID(UPPER(TRIM(D213)),7,1)))+(INT(2*VALUE(MID(UPPER(TRIM(D213)),2,1))/10)+MOD(2*VALUE(MID(UPPER(TRIM(D213)),2,1)),10))+(INT(2*VALUE(MID(UPPER(TRIM(D213)),4,1))/10)+MOD(2*VALUE(MID(UPPER(TRIM(D213)),4,1)),10))+(INT(2*VALUE(MID(UPPER(TRIM(D213)),6,1))/10)+MOD(2*VALUE(MID(UPPER(TRIM(D213)),6,1)),10))+(INT(2*VALUE(MID(UPPER(TRIM(D213)),8,1))/10)+MOD(2*VALUE(MID(UPPER(TRIM(D213)),8,1)),10)),10),10)+1,1)),"OK","REVISAR")),"REVISAR")))</f>
        <v/>
      </c>
      <c r="Q213">
        <f>IF(B213="","",IF(COUNTIFS($B$2:$B$501,B213,$D$2:$D$501,D213)&gt;1,"DUPLICADA",""))</f>
        <v/>
      </c>
      <c r="R213">
        <f>IF(A213="","",ROUNDUP(MONTH(A213)/3,0))</f>
        <v/>
      </c>
      <c r="S213" s="3" t="n"/>
    </row>
    <row r="214">
      <c r="A214" s="2" t="n"/>
      <c r="B214" s="3" t="n"/>
      <c r="C214" s="3" t="n"/>
      <c r="D214" s="3" t="n"/>
      <c r="E214" s="4" t="n"/>
      <c r="F214" s="4" t="n"/>
      <c r="G214" s="4" t="n"/>
      <c r="H214" s="4" t="n"/>
      <c r="I214" s="5">
        <f>IF(E214="","",ROUND(E214*0.21,2))</f>
        <v/>
      </c>
      <c r="J214" s="5">
        <f>IF(F214="","",ROUND(F214*0.1,2))</f>
        <v/>
      </c>
      <c r="K214" s="5">
        <f>IF(G214="","",ROUND(G214*0.04,2))</f>
        <v/>
      </c>
      <c r="L214" s="4" t="n"/>
      <c r="M214" s="4" t="n"/>
      <c r="N214" s="5">
        <f>IF(A214="","",SUM(E214:K214)-N(L214))</f>
        <v/>
      </c>
      <c r="O214">
        <f>IF(OR(A214="",M214=""),"",IF(ABS(M214-N214)&lt;=0.02,"OK","REVISAR"))</f>
        <v/>
      </c>
      <c r="P214">
        <f>IF(D214="","",IF(LEN(TRIM(D214))&lt;&gt;9,"REVISAR",IFERROR(IF(OR(ISNUMBER(VALUE(LEFT(UPPER(TRIM(D214)),1))),LEFT(UPPER(TRIM(D214)),1)="X",LEFT(UPPER(TRIM(D214)),1)="Y",LEFT(UPPER(TRIM(D214)),1)="Z"),IF(MID("TRWAGMYFPDXBNJZSQVHLCKE",MOD(VALUE(SUBSTITUTE(SUBSTITUTE(SUBSTITUTE(LEFT(UPPER(TRIM(D214)),8),"X","0"),"Y","1"),"Z","2")),23)+1,1)=RIGHT(UPPER(TRIM(D214)),1),"OK","REVISAR"),IF(OR(RIGHT(UPPER(TRIM(D214)),1)=TEXT(MOD(10-MOD((VALUE(MID(UPPER(TRIM(D214)),3,1))+VALUE(MID(UPPER(TRIM(D214)),5,1))+VALUE(MID(UPPER(TRIM(D214)),7,1)))+(INT(2*VALUE(MID(UPPER(TRIM(D214)),2,1))/10)+MOD(2*VALUE(MID(UPPER(TRIM(D214)),2,1)),10))+(INT(2*VALUE(MID(UPPER(TRIM(D214)),4,1))/10)+MOD(2*VALUE(MID(UPPER(TRIM(D214)),4,1)),10))+(INT(2*VALUE(MID(UPPER(TRIM(D214)),6,1))/10)+MOD(2*VALUE(MID(UPPER(TRIM(D214)),6,1)),10))+(INT(2*VALUE(MID(UPPER(TRIM(D214)),8,1))/10)+MOD(2*VALUE(MID(UPPER(TRIM(D214)),8,1)),10)),10),10),"0"),RIGHT(UPPER(TRIM(D214)),1)=MID("JABCDEFGHI",MOD(10-MOD((VALUE(MID(UPPER(TRIM(D214)),3,1))+VALUE(MID(UPPER(TRIM(D214)),5,1))+VALUE(MID(UPPER(TRIM(D214)),7,1)))+(INT(2*VALUE(MID(UPPER(TRIM(D214)),2,1))/10)+MOD(2*VALUE(MID(UPPER(TRIM(D214)),2,1)),10))+(INT(2*VALUE(MID(UPPER(TRIM(D214)),4,1))/10)+MOD(2*VALUE(MID(UPPER(TRIM(D214)),4,1)),10))+(INT(2*VALUE(MID(UPPER(TRIM(D214)),6,1))/10)+MOD(2*VALUE(MID(UPPER(TRIM(D214)),6,1)),10))+(INT(2*VALUE(MID(UPPER(TRIM(D214)),8,1))/10)+MOD(2*VALUE(MID(UPPER(TRIM(D214)),8,1)),10)),10),10)+1,1)),"OK","REVISAR")),"REVISAR")))</f>
        <v/>
      </c>
      <c r="Q214">
        <f>IF(B214="","",IF(COUNTIFS($B$2:$B$501,B214,$D$2:$D$501,D214)&gt;1,"DUPLICADA",""))</f>
        <v/>
      </c>
      <c r="R214">
        <f>IF(A214="","",ROUNDUP(MONTH(A214)/3,0))</f>
        <v/>
      </c>
      <c r="S214" s="3" t="n"/>
    </row>
    <row r="215">
      <c r="A215" s="2" t="n"/>
      <c r="B215" s="3" t="n"/>
      <c r="C215" s="3" t="n"/>
      <c r="D215" s="3" t="n"/>
      <c r="E215" s="4" t="n"/>
      <c r="F215" s="4" t="n"/>
      <c r="G215" s="4" t="n"/>
      <c r="H215" s="4" t="n"/>
      <c r="I215" s="5">
        <f>IF(E215="","",ROUND(E215*0.21,2))</f>
        <v/>
      </c>
      <c r="J215" s="5">
        <f>IF(F215="","",ROUND(F215*0.1,2))</f>
        <v/>
      </c>
      <c r="K215" s="5">
        <f>IF(G215="","",ROUND(G215*0.04,2))</f>
        <v/>
      </c>
      <c r="L215" s="4" t="n"/>
      <c r="M215" s="4" t="n"/>
      <c r="N215" s="5">
        <f>IF(A215="","",SUM(E215:K215)-N(L215))</f>
        <v/>
      </c>
      <c r="O215">
        <f>IF(OR(A215="",M215=""),"",IF(ABS(M215-N215)&lt;=0.02,"OK","REVISAR"))</f>
        <v/>
      </c>
      <c r="P215">
        <f>IF(D215="","",IF(LEN(TRIM(D215))&lt;&gt;9,"REVISAR",IFERROR(IF(OR(ISNUMBER(VALUE(LEFT(UPPER(TRIM(D215)),1))),LEFT(UPPER(TRIM(D215)),1)="X",LEFT(UPPER(TRIM(D215)),1)="Y",LEFT(UPPER(TRIM(D215)),1)="Z"),IF(MID("TRWAGMYFPDXBNJZSQVHLCKE",MOD(VALUE(SUBSTITUTE(SUBSTITUTE(SUBSTITUTE(LEFT(UPPER(TRIM(D215)),8),"X","0"),"Y","1"),"Z","2")),23)+1,1)=RIGHT(UPPER(TRIM(D215)),1),"OK","REVISAR"),IF(OR(RIGHT(UPPER(TRIM(D215)),1)=TEXT(MOD(10-MOD((VALUE(MID(UPPER(TRIM(D215)),3,1))+VALUE(MID(UPPER(TRIM(D215)),5,1))+VALUE(MID(UPPER(TRIM(D215)),7,1)))+(INT(2*VALUE(MID(UPPER(TRIM(D215)),2,1))/10)+MOD(2*VALUE(MID(UPPER(TRIM(D215)),2,1)),10))+(INT(2*VALUE(MID(UPPER(TRIM(D215)),4,1))/10)+MOD(2*VALUE(MID(UPPER(TRIM(D215)),4,1)),10))+(INT(2*VALUE(MID(UPPER(TRIM(D215)),6,1))/10)+MOD(2*VALUE(MID(UPPER(TRIM(D215)),6,1)),10))+(INT(2*VALUE(MID(UPPER(TRIM(D215)),8,1))/10)+MOD(2*VALUE(MID(UPPER(TRIM(D215)),8,1)),10)),10),10),"0"),RIGHT(UPPER(TRIM(D215)),1)=MID("JABCDEFGHI",MOD(10-MOD((VALUE(MID(UPPER(TRIM(D215)),3,1))+VALUE(MID(UPPER(TRIM(D215)),5,1))+VALUE(MID(UPPER(TRIM(D215)),7,1)))+(INT(2*VALUE(MID(UPPER(TRIM(D215)),2,1))/10)+MOD(2*VALUE(MID(UPPER(TRIM(D215)),2,1)),10))+(INT(2*VALUE(MID(UPPER(TRIM(D215)),4,1))/10)+MOD(2*VALUE(MID(UPPER(TRIM(D215)),4,1)),10))+(INT(2*VALUE(MID(UPPER(TRIM(D215)),6,1))/10)+MOD(2*VALUE(MID(UPPER(TRIM(D215)),6,1)),10))+(INT(2*VALUE(MID(UPPER(TRIM(D215)),8,1))/10)+MOD(2*VALUE(MID(UPPER(TRIM(D215)),8,1)),10)),10),10)+1,1)),"OK","REVISAR")),"REVISAR")))</f>
        <v/>
      </c>
      <c r="Q215">
        <f>IF(B215="","",IF(COUNTIFS($B$2:$B$501,B215,$D$2:$D$501,D215)&gt;1,"DUPLICADA",""))</f>
        <v/>
      </c>
      <c r="R215">
        <f>IF(A215="","",ROUNDUP(MONTH(A215)/3,0))</f>
        <v/>
      </c>
      <c r="S215" s="3" t="n"/>
    </row>
    <row r="216">
      <c r="A216" s="2" t="n"/>
      <c r="B216" s="3" t="n"/>
      <c r="C216" s="3" t="n"/>
      <c r="D216" s="3" t="n"/>
      <c r="E216" s="4" t="n"/>
      <c r="F216" s="4" t="n"/>
      <c r="G216" s="4" t="n"/>
      <c r="H216" s="4" t="n"/>
      <c r="I216" s="5">
        <f>IF(E216="","",ROUND(E216*0.21,2))</f>
        <v/>
      </c>
      <c r="J216" s="5">
        <f>IF(F216="","",ROUND(F216*0.1,2))</f>
        <v/>
      </c>
      <c r="K216" s="5">
        <f>IF(G216="","",ROUND(G216*0.04,2))</f>
        <v/>
      </c>
      <c r="L216" s="4" t="n"/>
      <c r="M216" s="4" t="n"/>
      <c r="N216" s="5">
        <f>IF(A216="","",SUM(E216:K216)-N(L216))</f>
        <v/>
      </c>
      <c r="O216">
        <f>IF(OR(A216="",M216=""),"",IF(ABS(M216-N216)&lt;=0.02,"OK","REVISAR"))</f>
        <v/>
      </c>
      <c r="P216">
        <f>IF(D216="","",IF(LEN(TRIM(D216))&lt;&gt;9,"REVISAR",IFERROR(IF(OR(ISNUMBER(VALUE(LEFT(UPPER(TRIM(D216)),1))),LEFT(UPPER(TRIM(D216)),1)="X",LEFT(UPPER(TRIM(D216)),1)="Y",LEFT(UPPER(TRIM(D216)),1)="Z"),IF(MID("TRWAGMYFPDXBNJZSQVHLCKE",MOD(VALUE(SUBSTITUTE(SUBSTITUTE(SUBSTITUTE(LEFT(UPPER(TRIM(D216)),8),"X","0"),"Y","1"),"Z","2")),23)+1,1)=RIGHT(UPPER(TRIM(D216)),1),"OK","REVISAR"),IF(OR(RIGHT(UPPER(TRIM(D216)),1)=TEXT(MOD(10-MOD((VALUE(MID(UPPER(TRIM(D216)),3,1))+VALUE(MID(UPPER(TRIM(D216)),5,1))+VALUE(MID(UPPER(TRIM(D216)),7,1)))+(INT(2*VALUE(MID(UPPER(TRIM(D216)),2,1))/10)+MOD(2*VALUE(MID(UPPER(TRIM(D216)),2,1)),10))+(INT(2*VALUE(MID(UPPER(TRIM(D216)),4,1))/10)+MOD(2*VALUE(MID(UPPER(TRIM(D216)),4,1)),10))+(INT(2*VALUE(MID(UPPER(TRIM(D216)),6,1))/10)+MOD(2*VALUE(MID(UPPER(TRIM(D216)),6,1)),10))+(INT(2*VALUE(MID(UPPER(TRIM(D216)),8,1))/10)+MOD(2*VALUE(MID(UPPER(TRIM(D216)),8,1)),10)),10),10),"0"),RIGHT(UPPER(TRIM(D216)),1)=MID("JABCDEFGHI",MOD(10-MOD((VALUE(MID(UPPER(TRIM(D216)),3,1))+VALUE(MID(UPPER(TRIM(D216)),5,1))+VALUE(MID(UPPER(TRIM(D216)),7,1)))+(INT(2*VALUE(MID(UPPER(TRIM(D216)),2,1))/10)+MOD(2*VALUE(MID(UPPER(TRIM(D216)),2,1)),10))+(INT(2*VALUE(MID(UPPER(TRIM(D216)),4,1))/10)+MOD(2*VALUE(MID(UPPER(TRIM(D216)),4,1)),10))+(INT(2*VALUE(MID(UPPER(TRIM(D216)),6,1))/10)+MOD(2*VALUE(MID(UPPER(TRIM(D216)),6,1)),10))+(INT(2*VALUE(MID(UPPER(TRIM(D216)),8,1))/10)+MOD(2*VALUE(MID(UPPER(TRIM(D216)),8,1)),10)),10),10)+1,1)),"OK","REVISAR")),"REVISAR")))</f>
        <v/>
      </c>
      <c r="Q216">
        <f>IF(B216="","",IF(COUNTIFS($B$2:$B$501,B216,$D$2:$D$501,D216)&gt;1,"DUPLICADA",""))</f>
        <v/>
      </c>
      <c r="R216">
        <f>IF(A216="","",ROUNDUP(MONTH(A216)/3,0))</f>
        <v/>
      </c>
      <c r="S216" s="3" t="n"/>
    </row>
    <row r="217">
      <c r="A217" s="2" t="n"/>
      <c r="B217" s="3" t="n"/>
      <c r="C217" s="3" t="n"/>
      <c r="D217" s="3" t="n"/>
      <c r="E217" s="4" t="n"/>
      <c r="F217" s="4" t="n"/>
      <c r="G217" s="4" t="n"/>
      <c r="H217" s="4" t="n"/>
      <c r="I217" s="5">
        <f>IF(E217="","",ROUND(E217*0.21,2))</f>
        <v/>
      </c>
      <c r="J217" s="5">
        <f>IF(F217="","",ROUND(F217*0.1,2))</f>
        <v/>
      </c>
      <c r="K217" s="5">
        <f>IF(G217="","",ROUND(G217*0.04,2))</f>
        <v/>
      </c>
      <c r="L217" s="4" t="n"/>
      <c r="M217" s="4" t="n"/>
      <c r="N217" s="5">
        <f>IF(A217="","",SUM(E217:K217)-N(L217))</f>
        <v/>
      </c>
      <c r="O217">
        <f>IF(OR(A217="",M217=""),"",IF(ABS(M217-N217)&lt;=0.02,"OK","REVISAR"))</f>
        <v/>
      </c>
      <c r="P217">
        <f>IF(D217="","",IF(LEN(TRIM(D217))&lt;&gt;9,"REVISAR",IFERROR(IF(OR(ISNUMBER(VALUE(LEFT(UPPER(TRIM(D217)),1))),LEFT(UPPER(TRIM(D217)),1)="X",LEFT(UPPER(TRIM(D217)),1)="Y",LEFT(UPPER(TRIM(D217)),1)="Z"),IF(MID("TRWAGMYFPDXBNJZSQVHLCKE",MOD(VALUE(SUBSTITUTE(SUBSTITUTE(SUBSTITUTE(LEFT(UPPER(TRIM(D217)),8),"X","0"),"Y","1"),"Z","2")),23)+1,1)=RIGHT(UPPER(TRIM(D217)),1),"OK","REVISAR"),IF(OR(RIGHT(UPPER(TRIM(D217)),1)=TEXT(MOD(10-MOD((VALUE(MID(UPPER(TRIM(D217)),3,1))+VALUE(MID(UPPER(TRIM(D217)),5,1))+VALUE(MID(UPPER(TRIM(D217)),7,1)))+(INT(2*VALUE(MID(UPPER(TRIM(D217)),2,1))/10)+MOD(2*VALUE(MID(UPPER(TRIM(D217)),2,1)),10))+(INT(2*VALUE(MID(UPPER(TRIM(D217)),4,1))/10)+MOD(2*VALUE(MID(UPPER(TRIM(D217)),4,1)),10))+(INT(2*VALUE(MID(UPPER(TRIM(D217)),6,1))/10)+MOD(2*VALUE(MID(UPPER(TRIM(D217)),6,1)),10))+(INT(2*VALUE(MID(UPPER(TRIM(D217)),8,1))/10)+MOD(2*VALUE(MID(UPPER(TRIM(D217)),8,1)),10)),10),10),"0"),RIGHT(UPPER(TRIM(D217)),1)=MID("JABCDEFGHI",MOD(10-MOD((VALUE(MID(UPPER(TRIM(D217)),3,1))+VALUE(MID(UPPER(TRIM(D217)),5,1))+VALUE(MID(UPPER(TRIM(D217)),7,1)))+(INT(2*VALUE(MID(UPPER(TRIM(D217)),2,1))/10)+MOD(2*VALUE(MID(UPPER(TRIM(D217)),2,1)),10))+(INT(2*VALUE(MID(UPPER(TRIM(D217)),4,1))/10)+MOD(2*VALUE(MID(UPPER(TRIM(D217)),4,1)),10))+(INT(2*VALUE(MID(UPPER(TRIM(D217)),6,1))/10)+MOD(2*VALUE(MID(UPPER(TRIM(D217)),6,1)),10))+(INT(2*VALUE(MID(UPPER(TRIM(D217)),8,1))/10)+MOD(2*VALUE(MID(UPPER(TRIM(D217)),8,1)),10)),10),10)+1,1)),"OK","REVISAR")),"REVISAR")))</f>
        <v/>
      </c>
      <c r="Q217">
        <f>IF(B217="","",IF(COUNTIFS($B$2:$B$501,B217,$D$2:$D$501,D217)&gt;1,"DUPLICADA",""))</f>
        <v/>
      </c>
      <c r="R217">
        <f>IF(A217="","",ROUNDUP(MONTH(A217)/3,0))</f>
        <v/>
      </c>
      <c r="S217" s="3" t="n"/>
    </row>
    <row r="218">
      <c r="A218" s="2" t="n"/>
      <c r="B218" s="3" t="n"/>
      <c r="C218" s="3" t="n"/>
      <c r="D218" s="3" t="n"/>
      <c r="E218" s="4" t="n"/>
      <c r="F218" s="4" t="n"/>
      <c r="G218" s="4" t="n"/>
      <c r="H218" s="4" t="n"/>
      <c r="I218" s="5">
        <f>IF(E218="","",ROUND(E218*0.21,2))</f>
        <v/>
      </c>
      <c r="J218" s="5">
        <f>IF(F218="","",ROUND(F218*0.1,2))</f>
        <v/>
      </c>
      <c r="K218" s="5">
        <f>IF(G218="","",ROUND(G218*0.04,2))</f>
        <v/>
      </c>
      <c r="L218" s="4" t="n"/>
      <c r="M218" s="4" t="n"/>
      <c r="N218" s="5">
        <f>IF(A218="","",SUM(E218:K218)-N(L218))</f>
        <v/>
      </c>
      <c r="O218">
        <f>IF(OR(A218="",M218=""),"",IF(ABS(M218-N218)&lt;=0.02,"OK","REVISAR"))</f>
        <v/>
      </c>
      <c r="P218">
        <f>IF(D218="","",IF(LEN(TRIM(D218))&lt;&gt;9,"REVISAR",IFERROR(IF(OR(ISNUMBER(VALUE(LEFT(UPPER(TRIM(D218)),1))),LEFT(UPPER(TRIM(D218)),1)="X",LEFT(UPPER(TRIM(D218)),1)="Y",LEFT(UPPER(TRIM(D218)),1)="Z"),IF(MID("TRWAGMYFPDXBNJZSQVHLCKE",MOD(VALUE(SUBSTITUTE(SUBSTITUTE(SUBSTITUTE(LEFT(UPPER(TRIM(D218)),8),"X","0"),"Y","1"),"Z","2")),23)+1,1)=RIGHT(UPPER(TRIM(D218)),1),"OK","REVISAR"),IF(OR(RIGHT(UPPER(TRIM(D218)),1)=TEXT(MOD(10-MOD((VALUE(MID(UPPER(TRIM(D218)),3,1))+VALUE(MID(UPPER(TRIM(D218)),5,1))+VALUE(MID(UPPER(TRIM(D218)),7,1)))+(INT(2*VALUE(MID(UPPER(TRIM(D218)),2,1))/10)+MOD(2*VALUE(MID(UPPER(TRIM(D218)),2,1)),10))+(INT(2*VALUE(MID(UPPER(TRIM(D218)),4,1))/10)+MOD(2*VALUE(MID(UPPER(TRIM(D218)),4,1)),10))+(INT(2*VALUE(MID(UPPER(TRIM(D218)),6,1))/10)+MOD(2*VALUE(MID(UPPER(TRIM(D218)),6,1)),10))+(INT(2*VALUE(MID(UPPER(TRIM(D218)),8,1))/10)+MOD(2*VALUE(MID(UPPER(TRIM(D218)),8,1)),10)),10),10),"0"),RIGHT(UPPER(TRIM(D218)),1)=MID("JABCDEFGHI",MOD(10-MOD((VALUE(MID(UPPER(TRIM(D218)),3,1))+VALUE(MID(UPPER(TRIM(D218)),5,1))+VALUE(MID(UPPER(TRIM(D218)),7,1)))+(INT(2*VALUE(MID(UPPER(TRIM(D218)),2,1))/10)+MOD(2*VALUE(MID(UPPER(TRIM(D218)),2,1)),10))+(INT(2*VALUE(MID(UPPER(TRIM(D218)),4,1))/10)+MOD(2*VALUE(MID(UPPER(TRIM(D218)),4,1)),10))+(INT(2*VALUE(MID(UPPER(TRIM(D218)),6,1))/10)+MOD(2*VALUE(MID(UPPER(TRIM(D218)),6,1)),10))+(INT(2*VALUE(MID(UPPER(TRIM(D218)),8,1))/10)+MOD(2*VALUE(MID(UPPER(TRIM(D218)),8,1)),10)),10),10)+1,1)),"OK","REVISAR")),"REVISAR")))</f>
        <v/>
      </c>
      <c r="Q218">
        <f>IF(B218="","",IF(COUNTIFS($B$2:$B$501,B218,$D$2:$D$501,D218)&gt;1,"DUPLICADA",""))</f>
        <v/>
      </c>
      <c r="R218">
        <f>IF(A218="","",ROUNDUP(MONTH(A218)/3,0))</f>
        <v/>
      </c>
      <c r="S218" s="3" t="n"/>
    </row>
    <row r="219">
      <c r="A219" s="2" t="n"/>
      <c r="B219" s="3" t="n"/>
      <c r="C219" s="3" t="n"/>
      <c r="D219" s="3" t="n"/>
      <c r="E219" s="4" t="n"/>
      <c r="F219" s="4" t="n"/>
      <c r="G219" s="4" t="n"/>
      <c r="H219" s="4" t="n"/>
      <c r="I219" s="5">
        <f>IF(E219="","",ROUND(E219*0.21,2))</f>
        <v/>
      </c>
      <c r="J219" s="5">
        <f>IF(F219="","",ROUND(F219*0.1,2))</f>
        <v/>
      </c>
      <c r="K219" s="5">
        <f>IF(G219="","",ROUND(G219*0.04,2))</f>
        <v/>
      </c>
      <c r="L219" s="4" t="n"/>
      <c r="M219" s="4" t="n"/>
      <c r="N219" s="5">
        <f>IF(A219="","",SUM(E219:K219)-N(L219))</f>
        <v/>
      </c>
      <c r="O219">
        <f>IF(OR(A219="",M219=""),"",IF(ABS(M219-N219)&lt;=0.02,"OK","REVISAR"))</f>
        <v/>
      </c>
      <c r="P219">
        <f>IF(D219="","",IF(LEN(TRIM(D219))&lt;&gt;9,"REVISAR",IFERROR(IF(OR(ISNUMBER(VALUE(LEFT(UPPER(TRIM(D219)),1))),LEFT(UPPER(TRIM(D219)),1)="X",LEFT(UPPER(TRIM(D219)),1)="Y",LEFT(UPPER(TRIM(D219)),1)="Z"),IF(MID("TRWAGMYFPDXBNJZSQVHLCKE",MOD(VALUE(SUBSTITUTE(SUBSTITUTE(SUBSTITUTE(LEFT(UPPER(TRIM(D219)),8),"X","0"),"Y","1"),"Z","2")),23)+1,1)=RIGHT(UPPER(TRIM(D219)),1),"OK","REVISAR"),IF(OR(RIGHT(UPPER(TRIM(D219)),1)=TEXT(MOD(10-MOD((VALUE(MID(UPPER(TRIM(D219)),3,1))+VALUE(MID(UPPER(TRIM(D219)),5,1))+VALUE(MID(UPPER(TRIM(D219)),7,1)))+(INT(2*VALUE(MID(UPPER(TRIM(D219)),2,1))/10)+MOD(2*VALUE(MID(UPPER(TRIM(D219)),2,1)),10))+(INT(2*VALUE(MID(UPPER(TRIM(D219)),4,1))/10)+MOD(2*VALUE(MID(UPPER(TRIM(D219)),4,1)),10))+(INT(2*VALUE(MID(UPPER(TRIM(D219)),6,1))/10)+MOD(2*VALUE(MID(UPPER(TRIM(D219)),6,1)),10))+(INT(2*VALUE(MID(UPPER(TRIM(D219)),8,1))/10)+MOD(2*VALUE(MID(UPPER(TRIM(D219)),8,1)),10)),10),10),"0"),RIGHT(UPPER(TRIM(D219)),1)=MID("JABCDEFGHI",MOD(10-MOD((VALUE(MID(UPPER(TRIM(D219)),3,1))+VALUE(MID(UPPER(TRIM(D219)),5,1))+VALUE(MID(UPPER(TRIM(D219)),7,1)))+(INT(2*VALUE(MID(UPPER(TRIM(D219)),2,1))/10)+MOD(2*VALUE(MID(UPPER(TRIM(D219)),2,1)),10))+(INT(2*VALUE(MID(UPPER(TRIM(D219)),4,1))/10)+MOD(2*VALUE(MID(UPPER(TRIM(D219)),4,1)),10))+(INT(2*VALUE(MID(UPPER(TRIM(D219)),6,1))/10)+MOD(2*VALUE(MID(UPPER(TRIM(D219)),6,1)),10))+(INT(2*VALUE(MID(UPPER(TRIM(D219)),8,1))/10)+MOD(2*VALUE(MID(UPPER(TRIM(D219)),8,1)),10)),10),10)+1,1)),"OK","REVISAR")),"REVISAR")))</f>
        <v/>
      </c>
      <c r="Q219">
        <f>IF(B219="","",IF(COUNTIFS($B$2:$B$501,B219,$D$2:$D$501,D219)&gt;1,"DUPLICADA",""))</f>
        <v/>
      </c>
      <c r="R219">
        <f>IF(A219="","",ROUNDUP(MONTH(A219)/3,0))</f>
        <v/>
      </c>
      <c r="S219" s="3" t="n"/>
    </row>
    <row r="220">
      <c r="A220" s="2" t="n"/>
      <c r="B220" s="3" t="n"/>
      <c r="C220" s="3" t="n"/>
      <c r="D220" s="3" t="n"/>
      <c r="E220" s="4" t="n"/>
      <c r="F220" s="4" t="n"/>
      <c r="G220" s="4" t="n"/>
      <c r="H220" s="4" t="n"/>
      <c r="I220" s="5">
        <f>IF(E220="","",ROUND(E220*0.21,2))</f>
        <v/>
      </c>
      <c r="J220" s="5">
        <f>IF(F220="","",ROUND(F220*0.1,2))</f>
        <v/>
      </c>
      <c r="K220" s="5">
        <f>IF(G220="","",ROUND(G220*0.04,2))</f>
        <v/>
      </c>
      <c r="L220" s="4" t="n"/>
      <c r="M220" s="4" t="n"/>
      <c r="N220" s="5">
        <f>IF(A220="","",SUM(E220:K220)-N(L220))</f>
        <v/>
      </c>
      <c r="O220">
        <f>IF(OR(A220="",M220=""),"",IF(ABS(M220-N220)&lt;=0.02,"OK","REVISAR"))</f>
        <v/>
      </c>
      <c r="P220">
        <f>IF(D220="","",IF(LEN(TRIM(D220))&lt;&gt;9,"REVISAR",IFERROR(IF(OR(ISNUMBER(VALUE(LEFT(UPPER(TRIM(D220)),1))),LEFT(UPPER(TRIM(D220)),1)="X",LEFT(UPPER(TRIM(D220)),1)="Y",LEFT(UPPER(TRIM(D220)),1)="Z"),IF(MID("TRWAGMYFPDXBNJZSQVHLCKE",MOD(VALUE(SUBSTITUTE(SUBSTITUTE(SUBSTITUTE(LEFT(UPPER(TRIM(D220)),8),"X","0"),"Y","1"),"Z","2")),23)+1,1)=RIGHT(UPPER(TRIM(D220)),1),"OK","REVISAR"),IF(OR(RIGHT(UPPER(TRIM(D220)),1)=TEXT(MOD(10-MOD((VALUE(MID(UPPER(TRIM(D220)),3,1))+VALUE(MID(UPPER(TRIM(D220)),5,1))+VALUE(MID(UPPER(TRIM(D220)),7,1)))+(INT(2*VALUE(MID(UPPER(TRIM(D220)),2,1))/10)+MOD(2*VALUE(MID(UPPER(TRIM(D220)),2,1)),10))+(INT(2*VALUE(MID(UPPER(TRIM(D220)),4,1))/10)+MOD(2*VALUE(MID(UPPER(TRIM(D220)),4,1)),10))+(INT(2*VALUE(MID(UPPER(TRIM(D220)),6,1))/10)+MOD(2*VALUE(MID(UPPER(TRIM(D220)),6,1)),10))+(INT(2*VALUE(MID(UPPER(TRIM(D220)),8,1))/10)+MOD(2*VALUE(MID(UPPER(TRIM(D220)),8,1)),10)),10),10),"0"),RIGHT(UPPER(TRIM(D220)),1)=MID("JABCDEFGHI",MOD(10-MOD((VALUE(MID(UPPER(TRIM(D220)),3,1))+VALUE(MID(UPPER(TRIM(D220)),5,1))+VALUE(MID(UPPER(TRIM(D220)),7,1)))+(INT(2*VALUE(MID(UPPER(TRIM(D220)),2,1))/10)+MOD(2*VALUE(MID(UPPER(TRIM(D220)),2,1)),10))+(INT(2*VALUE(MID(UPPER(TRIM(D220)),4,1))/10)+MOD(2*VALUE(MID(UPPER(TRIM(D220)),4,1)),10))+(INT(2*VALUE(MID(UPPER(TRIM(D220)),6,1))/10)+MOD(2*VALUE(MID(UPPER(TRIM(D220)),6,1)),10))+(INT(2*VALUE(MID(UPPER(TRIM(D220)),8,1))/10)+MOD(2*VALUE(MID(UPPER(TRIM(D220)),8,1)),10)),10),10)+1,1)),"OK","REVISAR")),"REVISAR")))</f>
        <v/>
      </c>
      <c r="Q220">
        <f>IF(B220="","",IF(COUNTIFS($B$2:$B$501,B220,$D$2:$D$501,D220)&gt;1,"DUPLICADA",""))</f>
        <v/>
      </c>
      <c r="R220">
        <f>IF(A220="","",ROUNDUP(MONTH(A220)/3,0))</f>
        <v/>
      </c>
      <c r="S220" s="3" t="n"/>
    </row>
    <row r="221">
      <c r="A221" s="2" t="n"/>
      <c r="B221" s="3" t="n"/>
      <c r="C221" s="3" t="n"/>
      <c r="D221" s="3" t="n"/>
      <c r="E221" s="4" t="n"/>
      <c r="F221" s="4" t="n"/>
      <c r="G221" s="4" t="n"/>
      <c r="H221" s="4" t="n"/>
      <c r="I221" s="5">
        <f>IF(E221="","",ROUND(E221*0.21,2))</f>
        <v/>
      </c>
      <c r="J221" s="5">
        <f>IF(F221="","",ROUND(F221*0.1,2))</f>
        <v/>
      </c>
      <c r="K221" s="5">
        <f>IF(G221="","",ROUND(G221*0.04,2))</f>
        <v/>
      </c>
      <c r="L221" s="4" t="n"/>
      <c r="M221" s="4" t="n"/>
      <c r="N221" s="5">
        <f>IF(A221="","",SUM(E221:K221)-N(L221))</f>
        <v/>
      </c>
      <c r="O221">
        <f>IF(OR(A221="",M221=""),"",IF(ABS(M221-N221)&lt;=0.02,"OK","REVISAR"))</f>
        <v/>
      </c>
      <c r="P221">
        <f>IF(D221="","",IF(LEN(TRIM(D221))&lt;&gt;9,"REVISAR",IFERROR(IF(OR(ISNUMBER(VALUE(LEFT(UPPER(TRIM(D221)),1))),LEFT(UPPER(TRIM(D221)),1)="X",LEFT(UPPER(TRIM(D221)),1)="Y",LEFT(UPPER(TRIM(D221)),1)="Z"),IF(MID("TRWAGMYFPDXBNJZSQVHLCKE",MOD(VALUE(SUBSTITUTE(SUBSTITUTE(SUBSTITUTE(LEFT(UPPER(TRIM(D221)),8),"X","0"),"Y","1"),"Z","2")),23)+1,1)=RIGHT(UPPER(TRIM(D221)),1),"OK","REVISAR"),IF(OR(RIGHT(UPPER(TRIM(D221)),1)=TEXT(MOD(10-MOD((VALUE(MID(UPPER(TRIM(D221)),3,1))+VALUE(MID(UPPER(TRIM(D221)),5,1))+VALUE(MID(UPPER(TRIM(D221)),7,1)))+(INT(2*VALUE(MID(UPPER(TRIM(D221)),2,1))/10)+MOD(2*VALUE(MID(UPPER(TRIM(D221)),2,1)),10))+(INT(2*VALUE(MID(UPPER(TRIM(D221)),4,1))/10)+MOD(2*VALUE(MID(UPPER(TRIM(D221)),4,1)),10))+(INT(2*VALUE(MID(UPPER(TRIM(D221)),6,1))/10)+MOD(2*VALUE(MID(UPPER(TRIM(D221)),6,1)),10))+(INT(2*VALUE(MID(UPPER(TRIM(D221)),8,1))/10)+MOD(2*VALUE(MID(UPPER(TRIM(D221)),8,1)),10)),10),10),"0"),RIGHT(UPPER(TRIM(D221)),1)=MID("JABCDEFGHI",MOD(10-MOD((VALUE(MID(UPPER(TRIM(D221)),3,1))+VALUE(MID(UPPER(TRIM(D221)),5,1))+VALUE(MID(UPPER(TRIM(D221)),7,1)))+(INT(2*VALUE(MID(UPPER(TRIM(D221)),2,1))/10)+MOD(2*VALUE(MID(UPPER(TRIM(D221)),2,1)),10))+(INT(2*VALUE(MID(UPPER(TRIM(D221)),4,1))/10)+MOD(2*VALUE(MID(UPPER(TRIM(D221)),4,1)),10))+(INT(2*VALUE(MID(UPPER(TRIM(D221)),6,1))/10)+MOD(2*VALUE(MID(UPPER(TRIM(D221)),6,1)),10))+(INT(2*VALUE(MID(UPPER(TRIM(D221)),8,1))/10)+MOD(2*VALUE(MID(UPPER(TRIM(D221)),8,1)),10)),10),10)+1,1)),"OK","REVISAR")),"REVISAR")))</f>
        <v/>
      </c>
      <c r="Q221">
        <f>IF(B221="","",IF(COUNTIFS($B$2:$B$501,B221,$D$2:$D$501,D221)&gt;1,"DUPLICADA",""))</f>
        <v/>
      </c>
      <c r="R221">
        <f>IF(A221="","",ROUNDUP(MONTH(A221)/3,0))</f>
        <v/>
      </c>
      <c r="S221" s="3" t="n"/>
    </row>
    <row r="222">
      <c r="A222" s="2" t="n"/>
      <c r="B222" s="3" t="n"/>
      <c r="C222" s="3" t="n"/>
      <c r="D222" s="3" t="n"/>
      <c r="E222" s="4" t="n"/>
      <c r="F222" s="4" t="n"/>
      <c r="G222" s="4" t="n"/>
      <c r="H222" s="4" t="n"/>
      <c r="I222" s="5">
        <f>IF(E222="","",ROUND(E222*0.21,2))</f>
        <v/>
      </c>
      <c r="J222" s="5">
        <f>IF(F222="","",ROUND(F222*0.1,2))</f>
        <v/>
      </c>
      <c r="K222" s="5">
        <f>IF(G222="","",ROUND(G222*0.04,2))</f>
        <v/>
      </c>
      <c r="L222" s="4" t="n"/>
      <c r="M222" s="4" t="n"/>
      <c r="N222" s="5">
        <f>IF(A222="","",SUM(E222:K222)-N(L222))</f>
        <v/>
      </c>
      <c r="O222">
        <f>IF(OR(A222="",M222=""),"",IF(ABS(M222-N222)&lt;=0.02,"OK","REVISAR"))</f>
        <v/>
      </c>
      <c r="P222">
        <f>IF(D222="","",IF(LEN(TRIM(D222))&lt;&gt;9,"REVISAR",IFERROR(IF(OR(ISNUMBER(VALUE(LEFT(UPPER(TRIM(D222)),1))),LEFT(UPPER(TRIM(D222)),1)="X",LEFT(UPPER(TRIM(D222)),1)="Y",LEFT(UPPER(TRIM(D222)),1)="Z"),IF(MID("TRWAGMYFPDXBNJZSQVHLCKE",MOD(VALUE(SUBSTITUTE(SUBSTITUTE(SUBSTITUTE(LEFT(UPPER(TRIM(D222)),8),"X","0"),"Y","1"),"Z","2")),23)+1,1)=RIGHT(UPPER(TRIM(D222)),1),"OK","REVISAR"),IF(OR(RIGHT(UPPER(TRIM(D222)),1)=TEXT(MOD(10-MOD((VALUE(MID(UPPER(TRIM(D222)),3,1))+VALUE(MID(UPPER(TRIM(D222)),5,1))+VALUE(MID(UPPER(TRIM(D222)),7,1)))+(INT(2*VALUE(MID(UPPER(TRIM(D222)),2,1))/10)+MOD(2*VALUE(MID(UPPER(TRIM(D222)),2,1)),10))+(INT(2*VALUE(MID(UPPER(TRIM(D222)),4,1))/10)+MOD(2*VALUE(MID(UPPER(TRIM(D222)),4,1)),10))+(INT(2*VALUE(MID(UPPER(TRIM(D222)),6,1))/10)+MOD(2*VALUE(MID(UPPER(TRIM(D222)),6,1)),10))+(INT(2*VALUE(MID(UPPER(TRIM(D222)),8,1))/10)+MOD(2*VALUE(MID(UPPER(TRIM(D222)),8,1)),10)),10),10),"0"),RIGHT(UPPER(TRIM(D222)),1)=MID("JABCDEFGHI",MOD(10-MOD((VALUE(MID(UPPER(TRIM(D222)),3,1))+VALUE(MID(UPPER(TRIM(D222)),5,1))+VALUE(MID(UPPER(TRIM(D222)),7,1)))+(INT(2*VALUE(MID(UPPER(TRIM(D222)),2,1))/10)+MOD(2*VALUE(MID(UPPER(TRIM(D222)),2,1)),10))+(INT(2*VALUE(MID(UPPER(TRIM(D222)),4,1))/10)+MOD(2*VALUE(MID(UPPER(TRIM(D222)),4,1)),10))+(INT(2*VALUE(MID(UPPER(TRIM(D222)),6,1))/10)+MOD(2*VALUE(MID(UPPER(TRIM(D222)),6,1)),10))+(INT(2*VALUE(MID(UPPER(TRIM(D222)),8,1))/10)+MOD(2*VALUE(MID(UPPER(TRIM(D222)),8,1)),10)),10),10)+1,1)),"OK","REVISAR")),"REVISAR")))</f>
        <v/>
      </c>
      <c r="Q222">
        <f>IF(B222="","",IF(COUNTIFS($B$2:$B$501,B222,$D$2:$D$501,D222)&gt;1,"DUPLICADA",""))</f>
        <v/>
      </c>
      <c r="R222">
        <f>IF(A222="","",ROUNDUP(MONTH(A222)/3,0))</f>
        <v/>
      </c>
      <c r="S222" s="3" t="n"/>
    </row>
    <row r="223">
      <c r="A223" s="2" t="n"/>
      <c r="B223" s="3" t="n"/>
      <c r="C223" s="3" t="n"/>
      <c r="D223" s="3" t="n"/>
      <c r="E223" s="4" t="n"/>
      <c r="F223" s="4" t="n"/>
      <c r="G223" s="4" t="n"/>
      <c r="H223" s="4" t="n"/>
      <c r="I223" s="5">
        <f>IF(E223="","",ROUND(E223*0.21,2))</f>
        <v/>
      </c>
      <c r="J223" s="5">
        <f>IF(F223="","",ROUND(F223*0.1,2))</f>
        <v/>
      </c>
      <c r="K223" s="5">
        <f>IF(G223="","",ROUND(G223*0.04,2))</f>
        <v/>
      </c>
      <c r="L223" s="4" t="n"/>
      <c r="M223" s="4" t="n"/>
      <c r="N223" s="5">
        <f>IF(A223="","",SUM(E223:K223)-N(L223))</f>
        <v/>
      </c>
      <c r="O223">
        <f>IF(OR(A223="",M223=""),"",IF(ABS(M223-N223)&lt;=0.02,"OK","REVISAR"))</f>
        <v/>
      </c>
      <c r="P223">
        <f>IF(D223="","",IF(LEN(TRIM(D223))&lt;&gt;9,"REVISAR",IFERROR(IF(OR(ISNUMBER(VALUE(LEFT(UPPER(TRIM(D223)),1))),LEFT(UPPER(TRIM(D223)),1)="X",LEFT(UPPER(TRIM(D223)),1)="Y",LEFT(UPPER(TRIM(D223)),1)="Z"),IF(MID("TRWAGMYFPDXBNJZSQVHLCKE",MOD(VALUE(SUBSTITUTE(SUBSTITUTE(SUBSTITUTE(LEFT(UPPER(TRIM(D223)),8),"X","0"),"Y","1"),"Z","2")),23)+1,1)=RIGHT(UPPER(TRIM(D223)),1),"OK","REVISAR"),IF(OR(RIGHT(UPPER(TRIM(D223)),1)=TEXT(MOD(10-MOD((VALUE(MID(UPPER(TRIM(D223)),3,1))+VALUE(MID(UPPER(TRIM(D223)),5,1))+VALUE(MID(UPPER(TRIM(D223)),7,1)))+(INT(2*VALUE(MID(UPPER(TRIM(D223)),2,1))/10)+MOD(2*VALUE(MID(UPPER(TRIM(D223)),2,1)),10))+(INT(2*VALUE(MID(UPPER(TRIM(D223)),4,1))/10)+MOD(2*VALUE(MID(UPPER(TRIM(D223)),4,1)),10))+(INT(2*VALUE(MID(UPPER(TRIM(D223)),6,1))/10)+MOD(2*VALUE(MID(UPPER(TRIM(D223)),6,1)),10))+(INT(2*VALUE(MID(UPPER(TRIM(D223)),8,1))/10)+MOD(2*VALUE(MID(UPPER(TRIM(D223)),8,1)),10)),10),10),"0"),RIGHT(UPPER(TRIM(D223)),1)=MID("JABCDEFGHI",MOD(10-MOD((VALUE(MID(UPPER(TRIM(D223)),3,1))+VALUE(MID(UPPER(TRIM(D223)),5,1))+VALUE(MID(UPPER(TRIM(D223)),7,1)))+(INT(2*VALUE(MID(UPPER(TRIM(D223)),2,1))/10)+MOD(2*VALUE(MID(UPPER(TRIM(D223)),2,1)),10))+(INT(2*VALUE(MID(UPPER(TRIM(D223)),4,1))/10)+MOD(2*VALUE(MID(UPPER(TRIM(D223)),4,1)),10))+(INT(2*VALUE(MID(UPPER(TRIM(D223)),6,1))/10)+MOD(2*VALUE(MID(UPPER(TRIM(D223)),6,1)),10))+(INT(2*VALUE(MID(UPPER(TRIM(D223)),8,1))/10)+MOD(2*VALUE(MID(UPPER(TRIM(D223)),8,1)),10)),10),10)+1,1)),"OK","REVISAR")),"REVISAR")))</f>
        <v/>
      </c>
      <c r="Q223">
        <f>IF(B223="","",IF(COUNTIFS($B$2:$B$501,B223,$D$2:$D$501,D223)&gt;1,"DUPLICADA",""))</f>
        <v/>
      </c>
      <c r="R223">
        <f>IF(A223="","",ROUNDUP(MONTH(A223)/3,0))</f>
        <v/>
      </c>
      <c r="S223" s="3" t="n"/>
    </row>
    <row r="224">
      <c r="A224" s="2" t="n"/>
      <c r="B224" s="3" t="n"/>
      <c r="C224" s="3" t="n"/>
      <c r="D224" s="3" t="n"/>
      <c r="E224" s="4" t="n"/>
      <c r="F224" s="4" t="n"/>
      <c r="G224" s="4" t="n"/>
      <c r="H224" s="4" t="n"/>
      <c r="I224" s="5">
        <f>IF(E224="","",ROUND(E224*0.21,2))</f>
        <v/>
      </c>
      <c r="J224" s="5">
        <f>IF(F224="","",ROUND(F224*0.1,2))</f>
        <v/>
      </c>
      <c r="K224" s="5">
        <f>IF(G224="","",ROUND(G224*0.04,2))</f>
        <v/>
      </c>
      <c r="L224" s="4" t="n"/>
      <c r="M224" s="4" t="n"/>
      <c r="N224" s="5">
        <f>IF(A224="","",SUM(E224:K224)-N(L224))</f>
        <v/>
      </c>
      <c r="O224">
        <f>IF(OR(A224="",M224=""),"",IF(ABS(M224-N224)&lt;=0.02,"OK","REVISAR"))</f>
        <v/>
      </c>
      <c r="P224">
        <f>IF(D224="","",IF(LEN(TRIM(D224))&lt;&gt;9,"REVISAR",IFERROR(IF(OR(ISNUMBER(VALUE(LEFT(UPPER(TRIM(D224)),1))),LEFT(UPPER(TRIM(D224)),1)="X",LEFT(UPPER(TRIM(D224)),1)="Y",LEFT(UPPER(TRIM(D224)),1)="Z"),IF(MID("TRWAGMYFPDXBNJZSQVHLCKE",MOD(VALUE(SUBSTITUTE(SUBSTITUTE(SUBSTITUTE(LEFT(UPPER(TRIM(D224)),8),"X","0"),"Y","1"),"Z","2")),23)+1,1)=RIGHT(UPPER(TRIM(D224)),1),"OK","REVISAR"),IF(OR(RIGHT(UPPER(TRIM(D224)),1)=TEXT(MOD(10-MOD((VALUE(MID(UPPER(TRIM(D224)),3,1))+VALUE(MID(UPPER(TRIM(D224)),5,1))+VALUE(MID(UPPER(TRIM(D224)),7,1)))+(INT(2*VALUE(MID(UPPER(TRIM(D224)),2,1))/10)+MOD(2*VALUE(MID(UPPER(TRIM(D224)),2,1)),10))+(INT(2*VALUE(MID(UPPER(TRIM(D224)),4,1))/10)+MOD(2*VALUE(MID(UPPER(TRIM(D224)),4,1)),10))+(INT(2*VALUE(MID(UPPER(TRIM(D224)),6,1))/10)+MOD(2*VALUE(MID(UPPER(TRIM(D224)),6,1)),10))+(INT(2*VALUE(MID(UPPER(TRIM(D224)),8,1))/10)+MOD(2*VALUE(MID(UPPER(TRIM(D224)),8,1)),10)),10),10),"0"),RIGHT(UPPER(TRIM(D224)),1)=MID("JABCDEFGHI",MOD(10-MOD((VALUE(MID(UPPER(TRIM(D224)),3,1))+VALUE(MID(UPPER(TRIM(D224)),5,1))+VALUE(MID(UPPER(TRIM(D224)),7,1)))+(INT(2*VALUE(MID(UPPER(TRIM(D224)),2,1))/10)+MOD(2*VALUE(MID(UPPER(TRIM(D224)),2,1)),10))+(INT(2*VALUE(MID(UPPER(TRIM(D224)),4,1))/10)+MOD(2*VALUE(MID(UPPER(TRIM(D224)),4,1)),10))+(INT(2*VALUE(MID(UPPER(TRIM(D224)),6,1))/10)+MOD(2*VALUE(MID(UPPER(TRIM(D224)),6,1)),10))+(INT(2*VALUE(MID(UPPER(TRIM(D224)),8,1))/10)+MOD(2*VALUE(MID(UPPER(TRIM(D224)),8,1)),10)),10),10)+1,1)),"OK","REVISAR")),"REVISAR")))</f>
        <v/>
      </c>
      <c r="Q224">
        <f>IF(B224="","",IF(COUNTIFS($B$2:$B$501,B224,$D$2:$D$501,D224)&gt;1,"DUPLICADA",""))</f>
        <v/>
      </c>
      <c r="R224">
        <f>IF(A224="","",ROUNDUP(MONTH(A224)/3,0))</f>
        <v/>
      </c>
      <c r="S224" s="3" t="n"/>
    </row>
    <row r="225">
      <c r="A225" s="2" t="n"/>
      <c r="B225" s="3" t="n"/>
      <c r="C225" s="3" t="n"/>
      <c r="D225" s="3" t="n"/>
      <c r="E225" s="4" t="n"/>
      <c r="F225" s="4" t="n"/>
      <c r="G225" s="4" t="n"/>
      <c r="H225" s="4" t="n"/>
      <c r="I225" s="5">
        <f>IF(E225="","",ROUND(E225*0.21,2))</f>
        <v/>
      </c>
      <c r="J225" s="5">
        <f>IF(F225="","",ROUND(F225*0.1,2))</f>
        <v/>
      </c>
      <c r="K225" s="5">
        <f>IF(G225="","",ROUND(G225*0.04,2))</f>
        <v/>
      </c>
      <c r="L225" s="4" t="n"/>
      <c r="M225" s="4" t="n"/>
      <c r="N225" s="5">
        <f>IF(A225="","",SUM(E225:K225)-N(L225))</f>
        <v/>
      </c>
      <c r="O225">
        <f>IF(OR(A225="",M225=""),"",IF(ABS(M225-N225)&lt;=0.02,"OK","REVISAR"))</f>
        <v/>
      </c>
      <c r="P225">
        <f>IF(D225="","",IF(LEN(TRIM(D225))&lt;&gt;9,"REVISAR",IFERROR(IF(OR(ISNUMBER(VALUE(LEFT(UPPER(TRIM(D225)),1))),LEFT(UPPER(TRIM(D225)),1)="X",LEFT(UPPER(TRIM(D225)),1)="Y",LEFT(UPPER(TRIM(D225)),1)="Z"),IF(MID("TRWAGMYFPDXBNJZSQVHLCKE",MOD(VALUE(SUBSTITUTE(SUBSTITUTE(SUBSTITUTE(LEFT(UPPER(TRIM(D225)),8),"X","0"),"Y","1"),"Z","2")),23)+1,1)=RIGHT(UPPER(TRIM(D225)),1),"OK","REVISAR"),IF(OR(RIGHT(UPPER(TRIM(D225)),1)=TEXT(MOD(10-MOD((VALUE(MID(UPPER(TRIM(D225)),3,1))+VALUE(MID(UPPER(TRIM(D225)),5,1))+VALUE(MID(UPPER(TRIM(D225)),7,1)))+(INT(2*VALUE(MID(UPPER(TRIM(D225)),2,1))/10)+MOD(2*VALUE(MID(UPPER(TRIM(D225)),2,1)),10))+(INT(2*VALUE(MID(UPPER(TRIM(D225)),4,1))/10)+MOD(2*VALUE(MID(UPPER(TRIM(D225)),4,1)),10))+(INT(2*VALUE(MID(UPPER(TRIM(D225)),6,1))/10)+MOD(2*VALUE(MID(UPPER(TRIM(D225)),6,1)),10))+(INT(2*VALUE(MID(UPPER(TRIM(D225)),8,1))/10)+MOD(2*VALUE(MID(UPPER(TRIM(D225)),8,1)),10)),10),10),"0"),RIGHT(UPPER(TRIM(D225)),1)=MID("JABCDEFGHI",MOD(10-MOD((VALUE(MID(UPPER(TRIM(D225)),3,1))+VALUE(MID(UPPER(TRIM(D225)),5,1))+VALUE(MID(UPPER(TRIM(D225)),7,1)))+(INT(2*VALUE(MID(UPPER(TRIM(D225)),2,1))/10)+MOD(2*VALUE(MID(UPPER(TRIM(D225)),2,1)),10))+(INT(2*VALUE(MID(UPPER(TRIM(D225)),4,1))/10)+MOD(2*VALUE(MID(UPPER(TRIM(D225)),4,1)),10))+(INT(2*VALUE(MID(UPPER(TRIM(D225)),6,1))/10)+MOD(2*VALUE(MID(UPPER(TRIM(D225)),6,1)),10))+(INT(2*VALUE(MID(UPPER(TRIM(D225)),8,1))/10)+MOD(2*VALUE(MID(UPPER(TRIM(D225)),8,1)),10)),10),10)+1,1)),"OK","REVISAR")),"REVISAR")))</f>
        <v/>
      </c>
      <c r="Q225">
        <f>IF(B225="","",IF(COUNTIFS($B$2:$B$501,B225,$D$2:$D$501,D225)&gt;1,"DUPLICADA",""))</f>
        <v/>
      </c>
      <c r="R225">
        <f>IF(A225="","",ROUNDUP(MONTH(A225)/3,0))</f>
        <v/>
      </c>
      <c r="S225" s="3" t="n"/>
    </row>
    <row r="226">
      <c r="A226" s="2" t="n"/>
      <c r="B226" s="3" t="n"/>
      <c r="C226" s="3" t="n"/>
      <c r="D226" s="3" t="n"/>
      <c r="E226" s="4" t="n"/>
      <c r="F226" s="4" t="n"/>
      <c r="G226" s="4" t="n"/>
      <c r="H226" s="4" t="n"/>
      <c r="I226" s="5">
        <f>IF(E226="","",ROUND(E226*0.21,2))</f>
        <v/>
      </c>
      <c r="J226" s="5">
        <f>IF(F226="","",ROUND(F226*0.1,2))</f>
        <v/>
      </c>
      <c r="K226" s="5">
        <f>IF(G226="","",ROUND(G226*0.04,2))</f>
        <v/>
      </c>
      <c r="L226" s="4" t="n"/>
      <c r="M226" s="4" t="n"/>
      <c r="N226" s="5">
        <f>IF(A226="","",SUM(E226:K226)-N(L226))</f>
        <v/>
      </c>
      <c r="O226">
        <f>IF(OR(A226="",M226=""),"",IF(ABS(M226-N226)&lt;=0.02,"OK","REVISAR"))</f>
        <v/>
      </c>
      <c r="P226">
        <f>IF(D226="","",IF(LEN(TRIM(D226))&lt;&gt;9,"REVISAR",IFERROR(IF(OR(ISNUMBER(VALUE(LEFT(UPPER(TRIM(D226)),1))),LEFT(UPPER(TRIM(D226)),1)="X",LEFT(UPPER(TRIM(D226)),1)="Y",LEFT(UPPER(TRIM(D226)),1)="Z"),IF(MID("TRWAGMYFPDXBNJZSQVHLCKE",MOD(VALUE(SUBSTITUTE(SUBSTITUTE(SUBSTITUTE(LEFT(UPPER(TRIM(D226)),8),"X","0"),"Y","1"),"Z","2")),23)+1,1)=RIGHT(UPPER(TRIM(D226)),1),"OK","REVISAR"),IF(OR(RIGHT(UPPER(TRIM(D226)),1)=TEXT(MOD(10-MOD((VALUE(MID(UPPER(TRIM(D226)),3,1))+VALUE(MID(UPPER(TRIM(D226)),5,1))+VALUE(MID(UPPER(TRIM(D226)),7,1)))+(INT(2*VALUE(MID(UPPER(TRIM(D226)),2,1))/10)+MOD(2*VALUE(MID(UPPER(TRIM(D226)),2,1)),10))+(INT(2*VALUE(MID(UPPER(TRIM(D226)),4,1))/10)+MOD(2*VALUE(MID(UPPER(TRIM(D226)),4,1)),10))+(INT(2*VALUE(MID(UPPER(TRIM(D226)),6,1))/10)+MOD(2*VALUE(MID(UPPER(TRIM(D226)),6,1)),10))+(INT(2*VALUE(MID(UPPER(TRIM(D226)),8,1))/10)+MOD(2*VALUE(MID(UPPER(TRIM(D226)),8,1)),10)),10),10),"0"),RIGHT(UPPER(TRIM(D226)),1)=MID("JABCDEFGHI",MOD(10-MOD((VALUE(MID(UPPER(TRIM(D226)),3,1))+VALUE(MID(UPPER(TRIM(D226)),5,1))+VALUE(MID(UPPER(TRIM(D226)),7,1)))+(INT(2*VALUE(MID(UPPER(TRIM(D226)),2,1))/10)+MOD(2*VALUE(MID(UPPER(TRIM(D226)),2,1)),10))+(INT(2*VALUE(MID(UPPER(TRIM(D226)),4,1))/10)+MOD(2*VALUE(MID(UPPER(TRIM(D226)),4,1)),10))+(INT(2*VALUE(MID(UPPER(TRIM(D226)),6,1))/10)+MOD(2*VALUE(MID(UPPER(TRIM(D226)),6,1)),10))+(INT(2*VALUE(MID(UPPER(TRIM(D226)),8,1))/10)+MOD(2*VALUE(MID(UPPER(TRIM(D226)),8,1)),10)),10),10)+1,1)),"OK","REVISAR")),"REVISAR")))</f>
        <v/>
      </c>
      <c r="Q226">
        <f>IF(B226="","",IF(COUNTIFS($B$2:$B$501,B226,$D$2:$D$501,D226)&gt;1,"DUPLICADA",""))</f>
        <v/>
      </c>
      <c r="R226">
        <f>IF(A226="","",ROUNDUP(MONTH(A226)/3,0))</f>
        <v/>
      </c>
      <c r="S226" s="3" t="n"/>
    </row>
    <row r="227">
      <c r="A227" s="2" t="n"/>
      <c r="B227" s="3" t="n"/>
      <c r="C227" s="3" t="n"/>
      <c r="D227" s="3" t="n"/>
      <c r="E227" s="4" t="n"/>
      <c r="F227" s="4" t="n"/>
      <c r="G227" s="4" t="n"/>
      <c r="H227" s="4" t="n"/>
      <c r="I227" s="5">
        <f>IF(E227="","",ROUND(E227*0.21,2))</f>
        <v/>
      </c>
      <c r="J227" s="5">
        <f>IF(F227="","",ROUND(F227*0.1,2))</f>
        <v/>
      </c>
      <c r="K227" s="5">
        <f>IF(G227="","",ROUND(G227*0.04,2))</f>
        <v/>
      </c>
      <c r="L227" s="4" t="n"/>
      <c r="M227" s="4" t="n"/>
      <c r="N227" s="5">
        <f>IF(A227="","",SUM(E227:K227)-N(L227))</f>
        <v/>
      </c>
      <c r="O227">
        <f>IF(OR(A227="",M227=""),"",IF(ABS(M227-N227)&lt;=0.02,"OK","REVISAR"))</f>
        <v/>
      </c>
      <c r="P227">
        <f>IF(D227="","",IF(LEN(TRIM(D227))&lt;&gt;9,"REVISAR",IFERROR(IF(OR(ISNUMBER(VALUE(LEFT(UPPER(TRIM(D227)),1))),LEFT(UPPER(TRIM(D227)),1)="X",LEFT(UPPER(TRIM(D227)),1)="Y",LEFT(UPPER(TRIM(D227)),1)="Z"),IF(MID("TRWAGMYFPDXBNJZSQVHLCKE",MOD(VALUE(SUBSTITUTE(SUBSTITUTE(SUBSTITUTE(LEFT(UPPER(TRIM(D227)),8),"X","0"),"Y","1"),"Z","2")),23)+1,1)=RIGHT(UPPER(TRIM(D227)),1),"OK","REVISAR"),IF(OR(RIGHT(UPPER(TRIM(D227)),1)=TEXT(MOD(10-MOD((VALUE(MID(UPPER(TRIM(D227)),3,1))+VALUE(MID(UPPER(TRIM(D227)),5,1))+VALUE(MID(UPPER(TRIM(D227)),7,1)))+(INT(2*VALUE(MID(UPPER(TRIM(D227)),2,1))/10)+MOD(2*VALUE(MID(UPPER(TRIM(D227)),2,1)),10))+(INT(2*VALUE(MID(UPPER(TRIM(D227)),4,1))/10)+MOD(2*VALUE(MID(UPPER(TRIM(D227)),4,1)),10))+(INT(2*VALUE(MID(UPPER(TRIM(D227)),6,1))/10)+MOD(2*VALUE(MID(UPPER(TRIM(D227)),6,1)),10))+(INT(2*VALUE(MID(UPPER(TRIM(D227)),8,1))/10)+MOD(2*VALUE(MID(UPPER(TRIM(D227)),8,1)),10)),10),10),"0"),RIGHT(UPPER(TRIM(D227)),1)=MID("JABCDEFGHI",MOD(10-MOD((VALUE(MID(UPPER(TRIM(D227)),3,1))+VALUE(MID(UPPER(TRIM(D227)),5,1))+VALUE(MID(UPPER(TRIM(D227)),7,1)))+(INT(2*VALUE(MID(UPPER(TRIM(D227)),2,1))/10)+MOD(2*VALUE(MID(UPPER(TRIM(D227)),2,1)),10))+(INT(2*VALUE(MID(UPPER(TRIM(D227)),4,1))/10)+MOD(2*VALUE(MID(UPPER(TRIM(D227)),4,1)),10))+(INT(2*VALUE(MID(UPPER(TRIM(D227)),6,1))/10)+MOD(2*VALUE(MID(UPPER(TRIM(D227)),6,1)),10))+(INT(2*VALUE(MID(UPPER(TRIM(D227)),8,1))/10)+MOD(2*VALUE(MID(UPPER(TRIM(D227)),8,1)),10)),10),10)+1,1)),"OK","REVISAR")),"REVISAR")))</f>
        <v/>
      </c>
      <c r="Q227">
        <f>IF(B227="","",IF(COUNTIFS($B$2:$B$501,B227,$D$2:$D$501,D227)&gt;1,"DUPLICADA",""))</f>
        <v/>
      </c>
      <c r="R227">
        <f>IF(A227="","",ROUNDUP(MONTH(A227)/3,0))</f>
        <v/>
      </c>
      <c r="S227" s="3" t="n"/>
    </row>
    <row r="228">
      <c r="A228" s="2" t="n"/>
      <c r="B228" s="3" t="n"/>
      <c r="C228" s="3" t="n"/>
      <c r="D228" s="3" t="n"/>
      <c r="E228" s="4" t="n"/>
      <c r="F228" s="4" t="n"/>
      <c r="G228" s="4" t="n"/>
      <c r="H228" s="4" t="n"/>
      <c r="I228" s="5">
        <f>IF(E228="","",ROUND(E228*0.21,2))</f>
        <v/>
      </c>
      <c r="J228" s="5">
        <f>IF(F228="","",ROUND(F228*0.1,2))</f>
        <v/>
      </c>
      <c r="K228" s="5">
        <f>IF(G228="","",ROUND(G228*0.04,2))</f>
        <v/>
      </c>
      <c r="L228" s="4" t="n"/>
      <c r="M228" s="4" t="n"/>
      <c r="N228" s="5">
        <f>IF(A228="","",SUM(E228:K228)-N(L228))</f>
        <v/>
      </c>
      <c r="O228">
        <f>IF(OR(A228="",M228=""),"",IF(ABS(M228-N228)&lt;=0.02,"OK","REVISAR"))</f>
        <v/>
      </c>
      <c r="P228">
        <f>IF(D228="","",IF(LEN(TRIM(D228))&lt;&gt;9,"REVISAR",IFERROR(IF(OR(ISNUMBER(VALUE(LEFT(UPPER(TRIM(D228)),1))),LEFT(UPPER(TRIM(D228)),1)="X",LEFT(UPPER(TRIM(D228)),1)="Y",LEFT(UPPER(TRIM(D228)),1)="Z"),IF(MID("TRWAGMYFPDXBNJZSQVHLCKE",MOD(VALUE(SUBSTITUTE(SUBSTITUTE(SUBSTITUTE(LEFT(UPPER(TRIM(D228)),8),"X","0"),"Y","1"),"Z","2")),23)+1,1)=RIGHT(UPPER(TRIM(D228)),1),"OK","REVISAR"),IF(OR(RIGHT(UPPER(TRIM(D228)),1)=TEXT(MOD(10-MOD((VALUE(MID(UPPER(TRIM(D228)),3,1))+VALUE(MID(UPPER(TRIM(D228)),5,1))+VALUE(MID(UPPER(TRIM(D228)),7,1)))+(INT(2*VALUE(MID(UPPER(TRIM(D228)),2,1))/10)+MOD(2*VALUE(MID(UPPER(TRIM(D228)),2,1)),10))+(INT(2*VALUE(MID(UPPER(TRIM(D228)),4,1))/10)+MOD(2*VALUE(MID(UPPER(TRIM(D228)),4,1)),10))+(INT(2*VALUE(MID(UPPER(TRIM(D228)),6,1))/10)+MOD(2*VALUE(MID(UPPER(TRIM(D228)),6,1)),10))+(INT(2*VALUE(MID(UPPER(TRIM(D228)),8,1))/10)+MOD(2*VALUE(MID(UPPER(TRIM(D228)),8,1)),10)),10),10),"0"),RIGHT(UPPER(TRIM(D228)),1)=MID("JABCDEFGHI",MOD(10-MOD((VALUE(MID(UPPER(TRIM(D228)),3,1))+VALUE(MID(UPPER(TRIM(D228)),5,1))+VALUE(MID(UPPER(TRIM(D228)),7,1)))+(INT(2*VALUE(MID(UPPER(TRIM(D228)),2,1))/10)+MOD(2*VALUE(MID(UPPER(TRIM(D228)),2,1)),10))+(INT(2*VALUE(MID(UPPER(TRIM(D228)),4,1))/10)+MOD(2*VALUE(MID(UPPER(TRIM(D228)),4,1)),10))+(INT(2*VALUE(MID(UPPER(TRIM(D228)),6,1))/10)+MOD(2*VALUE(MID(UPPER(TRIM(D228)),6,1)),10))+(INT(2*VALUE(MID(UPPER(TRIM(D228)),8,1))/10)+MOD(2*VALUE(MID(UPPER(TRIM(D228)),8,1)),10)),10),10)+1,1)),"OK","REVISAR")),"REVISAR")))</f>
        <v/>
      </c>
      <c r="Q228">
        <f>IF(B228="","",IF(COUNTIFS($B$2:$B$501,B228,$D$2:$D$501,D228)&gt;1,"DUPLICADA",""))</f>
        <v/>
      </c>
      <c r="R228">
        <f>IF(A228="","",ROUNDUP(MONTH(A228)/3,0))</f>
        <v/>
      </c>
      <c r="S228" s="3" t="n"/>
    </row>
    <row r="229">
      <c r="A229" s="2" t="n"/>
      <c r="B229" s="3" t="n"/>
      <c r="C229" s="3" t="n"/>
      <c r="D229" s="3" t="n"/>
      <c r="E229" s="4" t="n"/>
      <c r="F229" s="4" t="n"/>
      <c r="G229" s="4" t="n"/>
      <c r="H229" s="4" t="n"/>
      <c r="I229" s="5">
        <f>IF(E229="","",ROUND(E229*0.21,2))</f>
        <v/>
      </c>
      <c r="J229" s="5">
        <f>IF(F229="","",ROUND(F229*0.1,2))</f>
        <v/>
      </c>
      <c r="K229" s="5">
        <f>IF(G229="","",ROUND(G229*0.04,2))</f>
        <v/>
      </c>
      <c r="L229" s="4" t="n"/>
      <c r="M229" s="4" t="n"/>
      <c r="N229" s="5">
        <f>IF(A229="","",SUM(E229:K229)-N(L229))</f>
        <v/>
      </c>
      <c r="O229">
        <f>IF(OR(A229="",M229=""),"",IF(ABS(M229-N229)&lt;=0.02,"OK","REVISAR"))</f>
        <v/>
      </c>
      <c r="P229">
        <f>IF(D229="","",IF(LEN(TRIM(D229))&lt;&gt;9,"REVISAR",IFERROR(IF(OR(ISNUMBER(VALUE(LEFT(UPPER(TRIM(D229)),1))),LEFT(UPPER(TRIM(D229)),1)="X",LEFT(UPPER(TRIM(D229)),1)="Y",LEFT(UPPER(TRIM(D229)),1)="Z"),IF(MID("TRWAGMYFPDXBNJZSQVHLCKE",MOD(VALUE(SUBSTITUTE(SUBSTITUTE(SUBSTITUTE(LEFT(UPPER(TRIM(D229)),8),"X","0"),"Y","1"),"Z","2")),23)+1,1)=RIGHT(UPPER(TRIM(D229)),1),"OK","REVISAR"),IF(OR(RIGHT(UPPER(TRIM(D229)),1)=TEXT(MOD(10-MOD((VALUE(MID(UPPER(TRIM(D229)),3,1))+VALUE(MID(UPPER(TRIM(D229)),5,1))+VALUE(MID(UPPER(TRIM(D229)),7,1)))+(INT(2*VALUE(MID(UPPER(TRIM(D229)),2,1))/10)+MOD(2*VALUE(MID(UPPER(TRIM(D229)),2,1)),10))+(INT(2*VALUE(MID(UPPER(TRIM(D229)),4,1))/10)+MOD(2*VALUE(MID(UPPER(TRIM(D229)),4,1)),10))+(INT(2*VALUE(MID(UPPER(TRIM(D229)),6,1))/10)+MOD(2*VALUE(MID(UPPER(TRIM(D229)),6,1)),10))+(INT(2*VALUE(MID(UPPER(TRIM(D229)),8,1))/10)+MOD(2*VALUE(MID(UPPER(TRIM(D229)),8,1)),10)),10),10),"0"),RIGHT(UPPER(TRIM(D229)),1)=MID("JABCDEFGHI",MOD(10-MOD((VALUE(MID(UPPER(TRIM(D229)),3,1))+VALUE(MID(UPPER(TRIM(D229)),5,1))+VALUE(MID(UPPER(TRIM(D229)),7,1)))+(INT(2*VALUE(MID(UPPER(TRIM(D229)),2,1))/10)+MOD(2*VALUE(MID(UPPER(TRIM(D229)),2,1)),10))+(INT(2*VALUE(MID(UPPER(TRIM(D229)),4,1))/10)+MOD(2*VALUE(MID(UPPER(TRIM(D229)),4,1)),10))+(INT(2*VALUE(MID(UPPER(TRIM(D229)),6,1))/10)+MOD(2*VALUE(MID(UPPER(TRIM(D229)),6,1)),10))+(INT(2*VALUE(MID(UPPER(TRIM(D229)),8,1))/10)+MOD(2*VALUE(MID(UPPER(TRIM(D229)),8,1)),10)),10),10)+1,1)),"OK","REVISAR")),"REVISAR")))</f>
        <v/>
      </c>
      <c r="Q229">
        <f>IF(B229="","",IF(COUNTIFS($B$2:$B$501,B229,$D$2:$D$501,D229)&gt;1,"DUPLICADA",""))</f>
        <v/>
      </c>
      <c r="R229">
        <f>IF(A229="","",ROUNDUP(MONTH(A229)/3,0))</f>
        <v/>
      </c>
      <c r="S229" s="3" t="n"/>
    </row>
    <row r="230">
      <c r="A230" s="2" t="n"/>
      <c r="B230" s="3" t="n"/>
      <c r="C230" s="3" t="n"/>
      <c r="D230" s="3" t="n"/>
      <c r="E230" s="4" t="n"/>
      <c r="F230" s="4" t="n"/>
      <c r="G230" s="4" t="n"/>
      <c r="H230" s="4" t="n"/>
      <c r="I230" s="5">
        <f>IF(E230="","",ROUND(E230*0.21,2))</f>
        <v/>
      </c>
      <c r="J230" s="5">
        <f>IF(F230="","",ROUND(F230*0.1,2))</f>
        <v/>
      </c>
      <c r="K230" s="5">
        <f>IF(G230="","",ROUND(G230*0.04,2))</f>
        <v/>
      </c>
      <c r="L230" s="4" t="n"/>
      <c r="M230" s="4" t="n"/>
      <c r="N230" s="5">
        <f>IF(A230="","",SUM(E230:K230)-N(L230))</f>
        <v/>
      </c>
      <c r="O230">
        <f>IF(OR(A230="",M230=""),"",IF(ABS(M230-N230)&lt;=0.02,"OK","REVISAR"))</f>
        <v/>
      </c>
      <c r="P230">
        <f>IF(D230="","",IF(LEN(TRIM(D230))&lt;&gt;9,"REVISAR",IFERROR(IF(OR(ISNUMBER(VALUE(LEFT(UPPER(TRIM(D230)),1))),LEFT(UPPER(TRIM(D230)),1)="X",LEFT(UPPER(TRIM(D230)),1)="Y",LEFT(UPPER(TRIM(D230)),1)="Z"),IF(MID("TRWAGMYFPDXBNJZSQVHLCKE",MOD(VALUE(SUBSTITUTE(SUBSTITUTE(SUBSTITUTE(LEFT(UPPER(TRIM(D230)),8),"X","0"),"Y","1"),"Z","2")),23)+1,1)=RIGHT(UPPER(TRIM(D230)),1),"OK","REVISAR"),IF(OR(RIGHT(UPPER(TRIM(D230)),1)=TEXT(MOD(10-MOD((VALUE(MID(UPPER(TRIM(D230)),3,1))+VALUE(MID(UPPER(TRIM(D230)),5,1))+VALUE(MID(UPPER(TRIM(D230)),7,1)))+(INT(2*VALUE(MID(UPPER(TRIM(D230)),2,1))/10)+MOD(2*VALUE(MID(UPPER(TRIM(D230)),2,1)),10))+(INT(2*VALUE(MID(UPPER(TRIM(D230)),4,1))/10)+MOD(2*VALUE(MID(UPPER(TRIM(D230)),4,1)),10))+(INT(2*VALUE(MID(UPPER(TRIM(D230)),6,1))/10)+MOD(2*VALUE(MID(UPPER(TRIM(D230)),6,1)),10))+(INT(2*VALUE(MID(UPPER(TRIM(D230)),8,1))/10)+MOD(2*VALUE(MID(UPPER(TRIM(D230)),8,1)),10)),10),10),"0"),RIGHT(UPPER(TRIM(D230)),1)=MID("JABCDEFGHI",MOD(10-MOD((VALUE(MID(UPPER(TRIM(D230)),3,1))+VALUE(MID(UPPER(TRIM(D230)),5,1))+VALUE(MID(UPPER(TRIM(D230)),7,1)))+(INT(2*VALUE(MID(UPPER(TRIM(D230)),2,1))/10)+MOD(2*VALUE(MID(UPPER(TRIM(D230)),2,1)),10))+(INT(2*VALUE(MID(UPPER(TRIM(D230)),4,1))/10)+MOD(2*VALUE(MID(UPPER(TRIM(D230)),4,1)),10))+(INT(2*VALUE(MID(UPPER(TRIM(D230)),6,1))/10)+MOD(2*VALUE(MID(UPPER(TRIM(D230)),6,1)),10))+(INT(2*VALUE(MID(UPPER(TRIM(D230)),8,1))/10)+MOD(2*VALUE(MID(UPPER(TRIM(D230)),8,1)),10)),10),10)+1,1)),"OK","REVISAR")),"REVISAR")))</f>
        <v/>
      </c>
      <c r="Q230">
        <f>IF(B230="","",IF(COUNTIFS($B$2:$B$501,B230,$D$2:$D$501,D230)&gt;1,"DUPLICADA",""))</f>
        <v/>
      </c>
      <c r="R230">
        <f>IF(A230="","",ROUNDUP(MONTH(A230)/3,0))</f>
        <v/>
      </c>
      <c r="S230" s="3" t="n"/>
    </row>
    <row r="231">
      <c r="A231" s="2" t="n"/>
      <c r="B231" s="3" t="n"/>
      <c r="C231" s="3" t="n"/>
      <c r="D231" s="3" t="n"/>
      <c r="E231" s="4" t="n"/>
      <c r="F231" s="4" t="n"/>
      <c r="G231" s="4" t="n"/>
      <c r="H231" s="4" t="n"/>
      <c r="I231" s="5">
        <f>IF(E231="","",ROUND(E231*0.21,2))</f>
        <v/>
      </c>
      <c r="J231" s="5">
        <f>IF(F231="","",ROUND(F231*0.1,2))</f>
        <v/>
      </c>
      <c r="K231" s="5">
        <f>IF(G231="","",ROUND(G231*0.04,2))</f>
        <v/>
      </c>
      <c r="L231" s="4" t="n"/>
      <c r="M231" s="4" t="n"/>
      <c r="N231" s="5">
        <f>IF(A231="","",SUM(E231:K231)-N(L231))</f>
        <v/>
      </c>
      <c r="O231">
        <f>IF(OR(A231="",M231=""),"",IF(ABS(M231-N231)&lt;=0.02,"OK","REVISAR"))</f>
        <v/>
      </c>
      <c r="P231">
        <f>IF(D231="","",IF(LEN(TRIM(D231))&lt;&gt;9,"REVISAR",IFERROR(IF(OR(ISNUMBER(VALUE(LEFT(UPPER(TRIM(D231)),1))),LEFT(UPPER(TRIM(D231)),1)="X",LEFT(UPPER(TRIM(D231)),1)="Y",LEFT(UPPER(TRIM(D231)),1)="Z"),IF(MID("TRWAGMYFPDXBNJZSQVHLCKE",MOD(VALUE(SUBSTITUTE(SUBSTITUTE(SUBSTITUTE(LEFT(UPPER(TRIM(D231)),8),"X","0"),"Y","1"),"Z","2")),23)+1,1)=RIGHT(UPPER(TRIM(D231)),1),"OK","REVISAR"),IF(OR(RIGHT(UPPER(TRIM(D231)),1)=TEXT(MOD(10-MOD((VALUE(MID(UPPER(TRIM(D231)),3,1))+VALUE(MID(UPPER(TRIM(D231)),5,1))+VALUE(MID(UPPER(TRIM(D231)),7,1)))+(INT(2*VALUE(MID(UPPER(TRIM(D231)),2,1))/10)+MOD(2*VALUE(MID(UPPER(TRIM(D231)),2,1)),10))+(INT(2*VALUE(MID(UPPER(TRIM(D231)),4,1))/10)+MOD(2*VALUE(MID(UPPER(TRIM(D231)),4,1)),10))+(INT(2*VALUE(MID(UPPER(TRIM(D231)),6,1))/10)+MOD(2*VALUE(MID(UPPER(TRIM(D231)),6,1)),10))+(INT(2*VALUE(MID(UPPER(TRIM(D231)),8,1))/10)+MOD(2*VALUE(MID(UPPER(TRIM(D231)),8,1)),10)),10),10),"0"),RIGHT(UPPER(TRIM(D231)),1)=MID("JABCDEFGHI",MOD(10-MOD((VALUE(MID(UPPER(TRIM(D231)),3,1))+VALUE(MID(UPPER(TRIM(D231)),5,1))+VALUE(MID(UPPER(TRIM(D231)),7,1)))+(INT(2*VALUE(MID(UPPER(TRIM(D231)),2,1))/10)+MOD(2*VALUE(MID(UPPER(TRIM(D231)),2,1)),10))+(INT(2*VALUE(MID(UPPER(TRIM(D231)),4,1))/10)+MOD(2*VALUE(MID(UPPER(TRIM(D231)),4,1)),10))+(INT(2*VALUE(MID(UPPER(TRIM(D231)),6,1))/10)+MOD(2*VALUE(MID(UPPER(TRIM(D231)),6,1)),10))+(INT(2*VALUE(MID(UPPER(TRIM(D231)),8,1))/10)+MOD(2*VALUE(MID(UPPER(TRIM(D231)),8,1)),10)),10),10)+1,1)),"OK","REVISAR")),"REVISAR")))</f>
        <v/>
      </c>
      <c r="Q231">
        <f>IF(B231="","",IF(COUNTIFS($B$2:$B$501,B231,$D$2:$D$501,D231)&gt;1,"DUPLICADA",""))</f>
        <v/>
      </c>
      <c r="R231">
        <f>IF(A231="","",ROUNDUP(MONTH(A231)/3,0))</f>
        <v/>
      </c>
      <c r="S231" s="3" t="n"/>
    </row>
    <row r="232">
      <c r="A232" s="2" t="n"/>
      <c r="B232" s="3" t="n"/>
      <c r="C232" s="3" t="n"/>
      <c r="D232" s="3" t="n"/>
      <c r="E232" s="4" t="n"/>
      <c r="F232" s="4" t="n"/>
      <c r="G232" s="4" t="n"/>
      <c r="H232" s="4" t="n"/>
      <c r="I232" s="5">
        <f>IF(E232="","",ROUND(E232*0.21,2))</f>
        <v/>
      </c>
      <c r="J232" s="5">
        <f>IF(F232="","",ROUND(F232*0.1,2))</f>
        <v/>
      </c>
      <c r="K232" s="5">
        <f>IF(G232="","",ROUND(G232*0.04,2))</f>
        <v/>
      </c>
      <c r="L232" s="4" t="n"/>
      <c r="M232" s="4" t="n"/>
      <c r="N232" s="5">
        <f>IF(A232="","",SUM(E232:K232)-N(L232))</f>
        <v/>
      </c>
      <c r="O232">
        <f>IF(OR(A232="",M232=""),"",IF(ABS(M232-N232)&lt;=0.02,"OK","REVISAR"))</f>
        <v/>
      </c>
      <c r="P232">
        <f>IF(D232="","",IF(LEN(TRIM(D232))&lt;&gt;9,"REVISAR",IFERROR(IF(OR(ISNUMBER(VALUE(LEFT(UPPER(TRIM(D232)),1))),LEFT(UPPER(TRIM(D232)),1)="X",LEFT(UPPER(TRIM(D232)),1)="Y",LEFT(UPPER(TRIM(D232)),1)="Z"),IF(MID("TRWAGMYFPDXBNJZSQVHLCKE",MOD(VALUE(SUBSTITUTE(SUBSTITUTE(SUBSTITUTE(LEFT(UPPER(TRIM(D232)),8),"X","0"),"Y","1"),"Z","2")),23)+1,1)=RIGHT(UPPER(TRIM(D232)),1),"OK","REVISAR"),IF(OR(RIGHT(UPPER(TRIM(D232)),1)=TEXT(MOD(10-MOD((VALUE(MID(UPPER(TRIM(D232)),3,1))+VALUE(MID(UPPER(TRIM(D232)),5,1))+VALUE(MID(UPPER(TRIM(D232)),7,1)))+(INT(2*VALUE(MID(UPPER(TRIM(D232)),2,1))/10)+MOD(2*VALUE(MID(UPPER(TRIM(D232)),2,1)),10))+(INT(2*VALUE(MID(UPPER(TRIM(D232)),4,1))/10)+MOD(2*VALUE(MID(UPPER(TRIM(D232)),4,1)),10))+(INT(2*VALUE(MID(UPPER(TRIM(D232)),6,1))/10)+MOD(2*VALUE(MID(UPPER(TRIM(D232)),6,1)),10))+(INT(2*VALUE(MID(UPPER(TRIM(D232)),8,1))/10)+MOD(2*VALUE(MID(UPPER(TRIM(D232)),8,1)),10)),10),10),"0"),RIGHT(UPPER(TRIM(D232)),1)=MID("JABCDEFGHI",MOD(10-MOD((VALUE(MID(UPPER(TRIM(D232)),3,1))+VALUE(MID(UPPER(TRIM(D232)),5,1))+VALUE(MID(UPPER(TRIM(D232)),7,1)))+(INT(2*VALUE(MID(UPPER(TRIM(D232)),2,1))/10)+MOD(2*VALUE(MID(UPPER(TRIM(D232)),2,1)),10))+(INT(2*VALUE(MID(UPPER(TRIM(D232)),4,1))/10)+MOD(2*VALUE(MID(UPPER(TRIM(D232)),4,1)),10))+(INT(2*VALUE(MID(UPPER(TRIM(D232)),6,1))/10)+MOD(2*VALUE(MID(UPPER(TRIM(D232)),6,1)),10))+(INT(2*VALUE(MID(UPPER(TRIM(D232)),8,1))/10)+MOD(2*VALUE(MID(UPPER(TRIM(D232)),8,1)),10)),10),10)+1,1)),"OK","REVISAR")),"REVISAR")))</f>
        <v/>
      </c>
      <c r="Q232">
        <f>IF(B232="","",IF(COUNTIFS($B$2:$B$501,B232,$D$2:$D$501,D232)&gt;1,"DUPLICADA",""))</f>
        <v/>
      </c>
      <c r="R232">
        <f>IF(A232="","",ROUNDUP(MONTH(A232)/3,0))</f>
        <v/>
      </c>
      <c r="S232" s="3" t="n"/>
    </row>
    <row r="233">
      <c r="A233" s="2" t="n"/>
      <c r="B233" s="3" t="n"/>
      <c r="C233" s="3" t="n"/>
      <c r="D233" s="3" t="n"/>
      <c r="E233" s="4" t="n"/>
      <c r="F233" s="4" t="n"/>
      <c r="G233" s="4" t="n"/>
      <c r="H233" s="4" t="n"/>
      <c r="I233" s="5">
        <f>IF(E233="","",ROUND(E233*0.21,2))</f>
        <v/>
      </c>
      <c r="J233" s="5">
        <f>IF(F233="","",ROUND(F233*0.1,2))</f>
        <v/>
      </c>
      <c r="K233" s="5">
        <f>IF(G233="","",ROUND(G233*0.04,2))</f>
        <v/>
      </c>
      <c r="L233" s="4" t="n"/>
      <c r="M233" s="4" t="n"/>
      <c r="N233" s="5">
        <f>IF(A233="","",SUM(E233:K233)-N(L233))</f>
        <v/>
      </c>
      <c r="O233">
        <f>IF(OR(A233="",M233=""),"",IF(ABS(M233-N233)&lt;=0.02,"OK","REVISAR"))</f>
        <v/>
      </c>
      <c r="P233">
        <f>IF(D233="","",IF(LEN(TRIM(D233))&lt;&gt;9,"REVISAR",IFERROR(IF(OR(ISNUMBER(VALUE(LEFT(UPPER(TRIM(D233)),1))),LEFT(UPPER(TRIM(D233)),1)="X",LEFT(UPPER(TRIM(D233)),1)="Y",LEFT(UPPER(TRIM(D233)),1)="Z"),IF(MID("TRWAGMYFPDXBNJZSQVHLCKE",MOD(VALUE(SUBSTITUTE(SUBSTITUTE(SUBSTITUTE(LEFT(UPPER(TRIM(D233)),8),"X","0"),"Y","1"),"Z","2")),23)+1,1)=RIGHT(UPPER(TRIM(D233)),1),"OK","REVISAR"),IF(OR(RIGHT(UPPER(TRIM(D233)),1)=TEXT(MOD(10-MOD((VALUE(MID(UPPER(TRIM(D233)),3,1))+VALUE(MID(UPPER(TRIM(D233)),5,1))+VALUE(MID(UPPER(TRIM(D233)),7,1)))+(INT(2*VALUE(MID(UPPER(TRIM(D233)),2,1))/10)+MOD(2*VALUE(MID(UPPER(TRIM(D233)),2,1)),10))+(INT(2*VALUE(MID(UPPER(TRIM(D233)),4,1))/10)+MOD(2*VALUE(MID(UPPER(TRIM(D233)),4,1)),10))+(INT(2*VALUE(MID(UPPER(TRIM(D233)),6,1))/10)+MOD(2*VALUE(MID(UPPER(TRIM(D233)),6,1)),10))+(INT(2*VALUE(MID(UPPER(TRIM(D233)),8,1))/10)+MOD(2*VALUE(MID(UPPER(TRIM(D233)),8,1)),10)),10),10),"0"),RIGHT(UPPER(TRIM(D233)),1)=MID("JABCDEFGHI",MOD(10-MOD((VALUE(MID(UPPER(TRIM(D233)),3,1))+VALUE(MID(UPPER(TRIM(D233)),5,1))+VALUE(MID(UPPER(TRIM(D233)),7,1)))+(INT(2*VALUE(MID(UPPER(TRIM(D233)),2,1))/10)+MOD(2*VALUE(MID(UPPER(TRIM(D233)),2,1)),10))+(INT(2*VALUE(MID(UPPER(TRIM(D233)),4,1))/10)+MOD(2*VALUE(MID(UPPER(TRIM(D233)),4,1)),10))+(INT(2*VALUE(MID(UPPER(TRIM(D233)),6,1))/10)+MOD(2*VALUE(MID(UPPER(TRIM(D233)),6,1)),10))+(INT(2*VALUE(MID(UPPER(TRIM(D233)),8,1))/10)+MOD(2*VALUE(MID(UPPER(TRIM(D233)),8,1)),10)),10),10)+1,1)),"OK","REVISAR")),"REVISAR")))</f>
        <v/>
      </c>
      <c r="Q233">
        <f>IF(B233="","",IF(COUNTIFS($B$2:$B$501,B233,$D$2:$D$501,D233)&gt;1,"DUPLICADA",""))</f>
        <v/>
      </c>
      <c r="R233">
        <f>IF(A233="","",ROUNDUP(MONTH(A233)/3,0))</f>
        <v/>
      </c>
      <c r="S233" s="3" t="n"/>
    </row>
    <row r="234">
      <c r="A234" s="2" t="n"/>
      <c r="B234" s="3" t="n"/>
      <c r="C234" s="3" t="n"/>
      <c r="D234" s="3" t="n"/>
      <c r="E234" s="4" t="n"/>
      <c r="F234" s="4" t="n"/>
      <c r="G234" s="4" t="n"/>
      <c r="H234" s="4" t="n"/>
      <c r="I234" s="5">
        <f>IF(E234="","",ROUND(E234*0.21,2))</f>
        <v/>
      </c>
      <c r="J234" s="5">
        <f>IF(F234="","",ROUND(F234*0.1,2))</f>
        <v/>
      </c>
      <c r="K234" s="5">
        <f>IF(G234="","",ROUND(G234*0.04,2))</f>
        <v/>
      </c>
      <c r="L234" s="4" t="n"/>
      <c r="M234" s="4" t="n"/>
      <c r="N234" s="5">
        <f>IF(A234="","",SUM(E234:K234)-N(L234))</f>
        <v/>
      </c>
      <c r="O234">
        <f>IF(OR(A234="",M234=""),"",IF(ABS(M234-N234)&lt;=0.02,"OK","REVISAR"))</f>
        <v/>
      </c>
      <c r="P234">
        <f>IF(D234="","",IF(LEN(TRIM(D234))&lt;&gt;9,"REVISAR",IFERROR(IF(OR(ISNUMBER(VALUE(LEFT(UPPER(TRIM(D234)),1))),LEFT(UPPER(TRIM(D234)),1)="X",LEFT(UPPER(TRIM(D234)),1)="Y",LEFT(UPPER(TRIM(D234)),1)="Z"),IF(MID("TRWAGMYFPDXBNJZSQVHLCKE",MOD(VALUE(SUBSTITUTE(SUBSTITUTE(SUBSTITUTE(LEFT(UPPER(TRIM(D234)),8),"X","0"),"Y","1"),"Z","2")),23)+1,1)=RIGHT(UPPER(TRIM(D234)),1),"OK","REVISAR"),IF(OR(RIGHT(UPPER(TRIM(D234)),1)=TEXT(MOD(10-MOD((VALUE(MID(UPPER(TRIM(D234)),3,1))+VALUE(MID(UPPER(TRIM(D234)),5,1))+VALUE(MID(UPPER(TRIM(D234)),7,1)))+(INT(2*VALUE(MID(UPPER(TRIM(D234)),2,1))/10)+MOD(2*VALUE(MID(UPPER(TRIM(D234)),2,1)),10))+(INT(2*VALUE(MID(UPPER(TRIM(D234)),4,1))/10)+MOD(2*VALUE(MID(UPPER(TRIM(D234)),4,1)),10))+(INT(2*VALUE(MID(UPPER(TRIM(D234)),6,1))/10)+MOD(2*VALUE(MID(UPPER(TRIM(D234)),6,1)),10))+(INT(2*VALUE(MID(UPPER(TRIM(D234)),8,1))/10)+MOD(2*VALUE(MID(UPPER(TRIM(D234)),8,1)),10)),10),10),"0"),RIGHT(UPPER(TRIM(D234)),1)=MID("JABCDEFGHI",MOD(10-MOD((VALUE(MID(UPPER(TRIM(D234)),3,1))+VALUE(MID(UPPER(TRIM(D234)),5,1))+VALUE(MID(UPPER(TRIM(D234)),7,1)))+(INT(2*VALUE(MID(UPPER(TRIM(D234)),2,1))/10)+MOD(2*VALUE(MID(UPPER(TRIM(D234)),2,1)),10))+(INT(2*VALUE(MID(UPPER(TRIM(D234)),4,1))/10)+MOD(2*VALUE(MID(UPPER(TRIM(D234)),4,1)),10))+(INT(2*VALUE(MID(UPPER(TRIM(D234)),6,1))/10)+MOD(2*VALUE(MID(UPPER(TRIM(D234)),6,1)),10))+(INT(2*VALUE(MID(UPPER(TRIM(D234)),8,1))/10)+MOD(2*VALUE(MID(UPPER(TRIM(D234)),8,1)),10)),10),10)+1,1)),"OK","REVISAR")),"REVISAR")))</f>
        <v/>
      </c>
      <c r="Q234">
        <f>IF(B234="","",IF(COUNTIFS($B$2:$B$501,B234,$D$2:$D$501,D234)&gt;1,"DUPLICADA",""))</f>
        <v/>
      </c>
      <c r="R234">
        <f>IF(A234="","",ROUNDUP(MONTH(A234)/3,0))</f>
        <v/>
      </c>
      <c r="S234" s="3" t="n"/>
    </row>
    <row r="235">
      <c r="A235" s="2" t="n"/>
      <c r="B235" s="3" t="n"/>
      <c r="C235" s="3" t="n"/>
      <c r="D235" s="3" t="n"/>
      <c r="E235" s="4" t="n"/>
      <c r="F235" s="4" t="n"/>
      <c r="G235" s="4" t="n"/>
      <c r="H235" s="4" t="n"/>
      <c r="I235" s="5">
        <f>IF(E235="","",ROUND(E235*0.21,2))</f>
        <v/>
      </c>
      <c r="J235" s="5">
        <f>IF(F235="","",ROUND(F235*0.1,2))</f>
        <v/>
      </c>
      <c r="K235" s="5">
        <f>IF(G235="","",ROUND(G235*0.04,2))</f>
        <v/>
      </c>
      <c r="L235" s="4" t="n"/>
      <c r="M235" s="4" t="n"/>
      <c r="N235" s="5">
        <f>IF(A235="","",SUM(E235:K235)-N(L235))</f>
        <v/>
      </c>
      <c r="O235">
        <f>IF(OR(A235="",M235=""),"",IF(ABS(M235-N235)&lt;=0.02,"OK","REVISAR"))</f>
        <v/>
      </c>
      <c r="P235">
        <f>IF(D235="","",IF(LEN(TRIM(D235))&lt;&gt;9,"REVISAR",IFERROR(IF(OR(ISNUMBER(VALUE(LEFT(UPPER(TRIM(D235)),1))),LEFT(UPPER(TRIM(D235)),1)="X",LEFT(UPPER(TRIM(D235)),1)="Y",LEFT(UPPER(TRIM(D235)),1)="Z"),IF(MID("TRWAGMYFPDXBNJZSQVHLCKE",MOD(VALUE(SUBSTITUTE(SUBSTITUTE(SUBSTITUTE(LEFT(UPPER(TRIM(D235)),8),"X","0"),"Y","1"),"Z","2")),23)+1,1)=RIGHT(UPPER(TRIM(D235)),1),"OK","REVISAR"),IF(OR(RIGHT(UPPER(TRIM(D235)),1)=TEXT(MOD(10-MOD((VALUE(MID(UPPER(TRIM(D235)),3,1))+VALUE(MID(UPPER(TRIM(D235)),5,1))+VALUE(MID(UPPER(TRIM(D235)),7,1)))+(INT(2*VALUE(MID(UPPER(TRIM(D235)),2,1))/10)+MOD(2*VALUE(MID(UPPER(TRIM(D235)),2,1)),10))+(INT(2*VALUE(MID(UPPER(TRIM(D235)),4,1))/10)+MOD(2*VALUE(MID(UPPER(TRIM(D235)),4,1)),10))+(INT(2*VALUE(MID(UPPER(TRIM(D235)),6,1))/10)+MOD(2*VALUE(MID(UPPER(TRIM(D235)),6,1)),10))+(INT(2*VALUE(MID(UPPER(TRIM(D235)),8,1))/10)+MOD(2*VALUE(MID(UPPER(TRIM(D235)),8,1)),10)),10),10),"0"),RIGHT(UPPER(TRIM(D235)),1)=MID("JABCDEFGHI",MOD(10-MOD((VALUE(MID(UPPER(TRIM(D235)),3,1))+VALUE(MID(UPPER(TRIM(D235)),5,1))+VALUE(MID(UPPER(TRIM(D235)),7,1)))+(INT(2*VALUE(MID(UPPER(TRIM(D235)),2,1))/10)+MOD(2*VALUE(MID(UPPER(TRIM(D235)),2,1)),10))+(INT(2*VALUE(MID(UPPER(TRIM(D235)),4,1))/10)+MOD(2*VALUE(MID(UPPER(TRIM(D235)),4,1)),10))+(INT(2*VALUE(MID(UPPER(TRIM(D235)),6,1))/10)+MOD(2*VALUE(MID(UPPER(TRIM(D235)),6,1)),10))+(INT(2*VALUE(MID(UPPER(TRIM(D235)),8,1))/10)+MOD(2*VALUE(MID(UPPER(TRIM(D235)),8,1)),10)),10),10)+1,1)),"OK","REVISAR")),"REVISAR")))</f>
        <v/>
      </c>
      <c r="Q235">
        <f>IF(B235="","",IF(COUNTIFS($B$2:$B$501,B235,$D$2:$D$501,D235)&gt;1,"DUPLICADA",""))</f>
        <v/>
      </c>
      <c r="R235">
        <f>IF(A235="","",ROUNDUP(MONTH(A235)/3,0))</f>
        <v/>
      </c>
      <c r="S235" s="3" t="n"/>
    </row>
    <row r="236">
      <c r="A236" s="2" t="n"/>
      <c r="B236" s="3" t="n"/>
      <c r="C236" s="3" t="n"/>
      <c r="D236" s="3" t="n"/>
      <c r="E236" s="4" t="n"/>
      <c r="F236" s="4" t="n"/>
      <c r="G236" s="4" t="n"/>
      <c r="H236" s="4" t="n"/>
      <c r="I236" s="5">
        <f>IF(E236="","",ROUND(E236*0.21,2))</f>
        <v/>
      </c>
      <c r="J236" s="5">
        <f>IF(F236="","",ROUND(F236*0.1,2))</f>
        <v/>
      </c>
      <c r="K236" s="5">
        <f>IF(G236="","",ROUND(G236*0.04,2))</f>
        <v/>
      </c>
      <c r="L236" s="4" t="n"/>
      <c r="M236" s="4" t="n"/>
      <c r="N236" s="5">
        <f>IF(A236="","",SUM(E236:K236)-N(L236))</f>
        <v/>
      </c>
      <c r="O236">
        <f>IF(OR(A236="",M236=""),"",IF(ABS(M236-N236)&lt;=0.02,"OK","REVISAR"))</f>
        <v/>
      </c>
      <c r="P236">
        <f>IF(D236="","",IF(LEN(TRIM(D236))&lt;&gt;9,"REVISAR",IFERROR(IF(OR(ISNUMBER(VALUE(LEFT(UPPER(TRIM(D236)),1))),LEFT(UPPER(TRIM(D236)),1)="X",LEFT(UPPER(TRIM(D236)),1)="Y",LEFT(UPPER(TRIM(D236)),1)="Z"),IF(MID("TRWAGMYFPDXBNJZSQVHLCKE",MOD(VALUE(SUBSTITUTE(SUBSTITUTE(SUBSTITUTE(LEFT(UPPER(TRIM(D236)),8),"X","0"),"Y","1"),"Z","2")),23)+1,1)=RIGHT(UPPER(TRIM(D236)),1),"OK","REVISAR"),IF(OR(RIGHT(UPPER(TRIM(D236)),1)=TEXT(MOD(10-MOD((VALUE(MID(UPPER(TRIM(D236)),3,1))+VALUE(MID(UPPER(TRIM(D236)),5,1))+VALUE(MID(UPPER(TRIM(D236)),7,1)))+(INT(2*VALUE(MID(UPPER(TRIM(D236)),2,1))/10)+MOD(2*VALUE(MID(UPPER(TRIM(D236)),2,1)),10))+(INT(2*VALUE(MID(UPPER(TRIM(D236)),4,1))/10)+MOD(2*VALUE(MID(UPPER(TRIM(D236)),4,1)),10))+(INT(2*VALUE(MID(UPPER(TRIM(D236)),6,1))/10)+MOD(2*VALUE(MID(UPPER(TRIM(D236)),6,1)),10))+(INT(2*VALUE(MID(UPPER(TRIM(D236)),8,1))/10)+MOD(2*VALUE(MID(UPPER(TRIM(D236)),8,1)),10)),10),10),"0"),RIGHT(UPPER(TRIM(D236)),1)=MID("JABCDEFGHI",MOD(10-MOD((VALUE(MID(UPPER(TRIM(D236)),3,1))+VALUE(MID(UPPER(TRIM(D236)),5,1))+VALUE(MID(UPPER(TRIM(D236)),7,1)))+(INT(2*VALUE(MID(UPPER(TRIM(D236)),2,1))/10)+MOD(2*VALUE(MID(UPPER(TRIM(D236)),2,1)),10))+(INT(2*VALUE(MID(UPPER(TRIM(D236)),4,1))/10)+MOD(2*VALUE(MID(UPPER(TRIM(D236)),4,1)),10))+(INT(2*VALUE(MID(UPPER(TRIM(D236)),6,1))/10)+MOD(2*VALUE(MID(UPPER(TRIM(D236)),6,1)),10))+(INT(2*VALUE(MID(UPPER(TRIM(D236)),8,1))/10)+MOD(2*VALUE(MID(UPPER(TRIM(D236)),8,1)),10)),10),10)+1,1)),"OK","REVISAR")),"REVISAR")))</f>
        <v/>
      </c>
      <c r="Q236">
        <f>IF(B236="","",IF(COUNTIFS($B$2:$B$501,B236,$D$2:$D$501,D236)&gt;1,"DUPLICADA",""))</f>
        <v/>
      </c>
      <c r="R236">
        <f>IF(A236="","",ROUNDUP(MONTH(A236)/3,0))</f>
        <v/>
      </c>
      <c r="S236" s="3" t="n"/>
    </row>
    <row r="237">
      <c r="A237" s="2" t="n"/>
      <c r="B237" s="3" t="n"/>
      <c r="C237" s="3" t="n"/>
      <c r="D237" s="3" t="n"/>
      <c r="E237" s="4" t="n"/>
      <c r="F237" s="4" t="n"/>
      <c r="G237" s="4" t="n"/>
      <c r="H237" s="4" t="n"/>
      <c r="I237" s="5">
        <f>IF(E237="","",ROUND(E237*0.21,2))</f>
        <v/>
      </c>
      <c r="J237" s="5">
        <f>IF(F237="","",ROUND(F237*0.1,2))</f>
        <v/>
      </c>
      <c r="K237" s="5">
        <f>IF(G237="","",ROUND(G237*0.04,2))</f>
        <v/>
      </c>
      <c r="L237" s="4" t="n"/>
      <c r="M237" s="4" t="n"/>
      <c r="N237" s="5">
        <f>IF(A237="","",SUM(E237:K237)-N(L237))</f>
        <v/>
      </c>
      <c r="O237">
        <f>IF(OR(A237="",M237=""),"",IF(ABS(M237-N237)&lt;=0.02,"OK","REVISAR"))</f>
        <v/>
      </c>
      <c r="P237">
        <f>IF(D237="","",IF(LEN(TRIM(D237))&lt;&gt;9,"REVISAR",IFERROR(IF(OR(ISNUMBER(VALUE(LEFT(UPPER(TRIM(D237)),1))),LEFT(UPPER(TRIM(D237)),1)="X",LEFT(UPPER(TRIM(D237)),1)="Y",LEFT(UPPER(TRIM(D237)),1)="Z"),IF(MID("TRWAGMYFPDXBNJZSQVHLCKE",MOD(VALUE(SUBSTITUTE(SUBSTITUTE(SUBSTITUTE(LEFT(UPPER(TRIM(D237)),8),"X","0"),"Y","1"),"Z","2")),23)+1,1)=RIGHT(UPPER(TRIM(D237)),1),"OK","REVISAR"),IF(OR(RIGHT(UPPER(TRIM(D237)),1)=TEXT(MOD(10-MOD((VALUE(MID(UPPER(TRIM(D237)),3,1))+VALUE(MID(UPPER(TRIM(D237)),5,1))+VALUE(MID(UPPER(TRIM(D237)),7,1)))+(INT(2*VALUE(MID(UPPER(TRIM(D237)),2,1))/10)+MOD(2*VALUE(MID(UPPER(TRIM(D237)),2,1)),10))+(INT(2*VALUE(MID(UPPER(TRIM(D237)),4,1))/10)+MOD(2*VALUE(MID(UPPER(TRIM(D237)),4,1)),10))+(INT(2*VALUE(MID(UPPER(TRIM(D237)),6,1))/10)+MOD(2*VALUE(MID(UPPER(TRIM(D237)),6,1)),10))+(INT(2*VALUE(MID(UPPER(TRIM(D237)),8,1))/10)+MOD(2*VALUE(MID(UPPER(TRIM(D237)),8,1)),10)),10),10),"0"),RIGHT(UPPER(TRIM(D237)),1)=MID("JABCDEFGHI",MOD(10-MOD((VALUE(MID(UPPER(TRIM(D237)),3,1))+VALUE(MID(UPPER(TRIM(D237)),5,1))+VALUE(MID(UPPER(TRIM(D237)),7,1)))+(INT(2*VALUE(MID(UPPER(TRIM(D237)),2,1))/10)+MOD(2*VALUE(MID(UPPER(TRIM(D237)),2,1)),10))+(INT(2*VALUE(MID(UPPER(TRIM(D237)),4,1))/10)+MOD(2*VALUE(MID(UPPER(TRIM(D237)),4,1)),10))+(INT(2*VALUE(MID(UPPER(TRIM(D237)),6,1))/10)+MOD(2*VALUE(MID(UPPER(TRIM(D237)),6,1)),10))+(INT(2*VALUE(MID(UPPER(TRIM(D237)),8,1))/10)+MOD(2*VALUE(MID(UPPER(TRIM(D237)),8,1)),10)),10),10)+1,1)),"OK","REVISAR")),"REVISAR")))</f>
        <v/>
      </c>
      <c r="Q237">
        <f>IF(B237="","",IF(COUNTIFS($B$2:$B$501,B237,$D$2:$D$501,D237)&gt;1,"DUPLICADA",""))</f>
        <v/>
      </c>
      <c r="R237">
        <f>IF(A237="","",ROUNDUP(MONTH(A237)/3,0))</f>
        <v/>
      </c>
      <c r="S237" s="3" t="n"/>
    </row>
    <row r="238">
      <c r="A238" s="2" t="n"/>
      <c r="B238" s="3" t="n"/>
      <c r="C238" s="3" t="n"/>
      <c r="D238" s="3" t="n"/>
      <c r="E238" s="4" t="n"/>
      <c r="F238" s="4" t="n"/>
      <c r="G238" s="4" t="n"/>
      <c r="H238" s="4" t="n"/>
      <c r="I238" s="5">
        <f>IF(E238="","",ROUND(E238*0.21,2))</f>
        <v/>
      </c>
      <c r="J238" s="5">
        <f>IF(F238="","",ROUND(F238*0.1,2))</f>
        <v/>
      </c>
      <c r="K238" s="5">
        <f>IF(G238="","",ROUND(G238*0.04,2))</f>
        <v/>
      </c>
      <c r="L238" s="4" t="n"/>
      <c r="M238" s="4" t="n"/>
      <c r="N238" s="5">
        <f>IF(A238="","",SUM(E238:K238)-N(L238))</f>
        <v/>
      </c>
      <c r="O238">
        <f>IF(OR(A238="",M238=""),"",IF(ABS(M238-N238)&lt;=0.02,"OK","REVISAR"))</f>
        <v/>
      </c>
      <c r="P238">
        <f>IF(D238="","",IF(LEN(TRIM(D238))&lt;&gt;9,"REVISAR",IFERROR(IF(OR(ISNUMBER(VALUE(LEFT(UPPER(TRIM(D238)),1))),LEFT(UPPER(TRIM(D238)),1)="X",LEFT(UPPER(TRIM(D238)),1)="Y",LEFT(UPPER(TRIM(D238)),1)="Z"),IF(MID("TRWAGMYFPDXBNJZSQVHLCKE",MOD(VALUE(SUBSTITUTE(SUBSTITUTE(SUBSTITUTE(LEFT(UPPER(TRIM(D238)),8),"X","0"),"Y","1"),"Z","2")),23)+1,1)=RIGHT(UPPER(TRIM(D238)),1),"OK","REVISAR"),IF(OR(RIGHT(UPPER(TRIM(D238)),1)=TEXT(MOD(10-MOD((VALUE(MID(UPPER(TRIM(D238)),3,1))+VALUE(MID(UPPER(TRIM(D238)),5,1))+VALUE(MID(UPPER(TRIM(D238)),7,1)))+(INT(2*VALUE(MID(UPPER(TRIM(D238)),2,1))/10)+MOD(2*VALUE(MID(UPPER(TRIM(D238)),2,1)),10))+(INT(2*VALUE(MID(UPPER(TRIM(D238)),4,1))/10)+MOD(2*VALUE(MID(UPPER(TRIM(D238)),4,1)),10))+(INT(2*VALUE(MID(UPPER(TRIM(D238)),6,1))/10)+MOD(2*VALUE(MID(UPPER(TRIM(D238)),6,1)),10))+(INT(2*VALUE(MID(UPPER(TRIM(D238)),8,1))/10)+MOD(2*VALUE(MID(UPPER(TRIM(D238)),8,1)),10)),10),10),"0"),RIGHT(UPPER(TRIM(D238)),1)=MID("JABCDEFGHI",MOD(10-MOD((VALUE(MID(UPPER(TRIM(D238)),3,1))+VALUE(MID(UPPER(TRIM(D238)),5,1))+VALUE(MID(UPPER(TRIM(D238)),7,1)))+(INT(2*VALUE(MID(UPPER(TRIM(D238)),2,1))/10)+MOD(2*VALUE(MID(UPPER(TRIM(D238)),2,1)),10))+(INT(2*VALUE(MID(UPPER(TRIM(D238)),4,1))/10)+MOD(2*VALUE(MID(UPPER(TRIM(D238)),4,1)),10))+(INT(2*VALUE(MID(UPPER(TRIM(D238)),6,1))/10)+MOD(2*VALUE(MID(UPPER(TRIM(D238)),6,1)),10))+(INT(2*VALUE(MID(UPPER(TRIM(D238)),8,1))/10)+MOD(2*VALUE(MID(UPPER(TRIM(D238)),8,1)),10)),10),10)+1,1)),"OK","REVISAR")),"REVISAR")))</f>
        <v/>
      </c>
      <c r="Q238">
        <f>IF(B238="","",IF(COUNTIFS($B$2:$B$501,B238,$D$2:$D$501,D238)&gt;1,"DUPLICADA",""))</f>
        <v/>
      </c>
      <c r="R238">
        <f>IF(A238="","",ROUNDUP(MONTH(A238)/3,0))</f>
        <v/>
      </c>
      <c r="S238" s="3" t="n"/>
    </row>
    <row r="239">
      <c r="A239" s="2" t="n"/>
      <c r="B239" s="3" t="n"/>
      <c r="C239" s="3" t="n"/>
      <c r="D239" s="3" t="n"/>
      <c r="E239" s="4" t="n"/>
      <c r="F239" s="4" t="n"/>
      <c r="G239" s="4" t="n"/>
      <c r="H239" s="4" t="n"/>
      <c r="I239" s="5">
        <f>IF(E239="","",ROUND(E239*0.21,2))</f>
        <v/>
      </c>
      <c r="J239" s="5">
        <f>IF(F239="","",ROUND(F239*0.1,2))</f>
        <v/>
      </c>
      <c r="K239" s="5">
        <f>IF(G239="","",ROUND(G239*0.04,2))</f>
        <v/>
      </c>
      <c r="L239" s="4" t="n"/>
      <c r="M239" s="4" t="n"/>
      <c r="N239" s="5">
        <f>IF(A239="","",SUM(E239:K239)-N(L239))</f>
        <v/>
      </c>
      <c r="O239">
        <f>IF(OR(A239="",M239=""),"",IF(ABS(M239-N239)&lt;=0.02,"OK","REVISAR"))</f>
        <v/>
      </c>
      <c r="P239">
        <f>IF(D239="","",IF(LEN(TRIM(D239))&lt;&gt;9,"REVISAR",IFERROR(IF(OR(ISNUMBER(VALUE(LEFT(UPPER(TRIM(D239)),1))),LEFT(UPPER(TRIM(D239)),1)="X",LEFT(UPPER(TRIM(D239)),1)="Y",LEFT(UPPER(TRIM(D239)),1)="Z"),IF(MID("TRWAGMYFPDXBNJZSQVHLCKE",MOD(VALUE(SUBSTITUTE(SUBSTITUTE(SUBSTITUTE(LEFT(UPPER(TRIM(D239)),8),"X","0"),"Y","1"),"Z","2")),23)+1,1)=RIGHT(UPPER(TRIM(D239)),1),"OK","REVISAR"),IF(OR(RIGHT(UPPER(TRIM(D239)),1)=TEXT(MOD(10-MOD((VALUE(MID(UPPER(TRIM(D239)),3,1))+VALUE(MID(UPPER(TRIM(D239)),5,1))+VALUE(MID(UPPER(TRIM(D239)),7,1)))+(INT(2*VALUE(MID(UPPER(TRIM(D239)),2,1))/10)+MOD(2*VALUE(MID(UPPER(TRIM(D239)),2,1)),10))+(INT(2*VALUE(MID(UPPER(TRIM(D239)),4,1))/10)+MOD(2*VALUE(MID(UPPER(TRIM(D239)),4,1)),10))+(INT(2*VALUE(MID(UPPER(TRIM(D239)),6,1))/10)+MOD(2*VALUE(MID(UPPER(TRIM(D239)),6,1)),10))+(INT(2*VALUE(MID(UPPER(TRIM(D239)),8,1))/10)+MOD(2*VALUE(MID(UPPER(TRIM(D239)),8,1)),10)),10),10),"0"),RIGHT(UPPER(TRIM(D239)),1)=MID("JABCDEFGHI",MOD(10-MOD((VALUE(MID(UPPER(TRIM(D239)),3,1))+VALUE(MID(UPPER(TRIM(D239)),5,1))+VALUE(MID(UPPER(TRIM(D239)),7,1)))+(INT(2*VALUE(MID(UPPER(TRIM(D239)),2,1))/10)+MOD(2*VALUE(MID(UPPER(TRIM(D239)),2,1)),10))+(INT(2*VALUE(MID(UPPER(TRIM(D239)),4,1))/10)+MOD(2*VALUE(MID(UPPER(TRIM(D239)),4,1)),10))+(INT(2*VALUE(MID(UPPER(TRIM(D239)),6,1))/10)+MOD(2*VALUE(MID(UPPER(TRIM(D239)),6,1)),10))+(INT(2*VALUE(MID(UPPER(TRIM(D239)),8,1))/10)+MOD(2*VALUE(MID(UPPER(TRIM(D239)),8,1)),10)),10),10)+1,1)),"OK","REVISAR")),"REVISAR")))</f>
        <v/>
      </c>
      <c r="Q239">
        <f>IF(B239="","",IF(COUNTIFS($B$2:$B$501,B239,$D$2:$D$501,D239)&gt;1,"DUPLICADA",""))</f>
        <v/>
      </c>
      <c r="R239">
        <f>IF(A239="","",ROUNDUP(MONTH(A239)/3,0))</f>
        <v/>
      </c>
      <c r="S239" s="3" t="n"/>
    </row>
    <row r="240">
      <c r="A240" s="2" t="n"/>
      <c r="B240" s="3" t="n"/>
      <c r="C240" s="3" t="n"/>
      <c r="D240" s="3" t="n"/>
      <c r="E240" s="4" t="n"/>
      <c r="F240" s="4" t="n"/>
      <c r="G240" s="4" t="n"/>
      <c r="H240" s="4" t="n"/>
      <c r="I240" s="5">
        <f>IF(E240="","",ROUND(E240*0.21,2))</f>
        <v/>
      </c>
      <c r="J240" s="5">
        <f>IF(F240="","",ROUND(F240*0.1,2))</f>
        <v/>
      </c>
      <c r="K240" s="5">
        <f>IF(G240="","",ROUND(G240*0.04,2))</f>
        <v/>
      </c>
      <c r="L240" s="4" t="n"/>
      <c r="M240" s="4" t="n"/>
      <c r="N240" s="5">
        <f>IF(A240="","",SUM(E240:K240)-N(L240))</f>
        <v/>
      </c>
      <c r="O240">
        <f>IF(OR(A240="",M240=""),"",IF(ABS(M240-N240)&lt;=0.02,"OK","REVISAR"))</f>
        <v/>
      </c>
      <c r="P240">
        <f>IF(D240="","",IF(LEN(TRIM(D240))&lt;&gt;9,"REVISAR",IFERROR(IF(OR(ISNUMBER(VALUE(LEFT(UPPER(TRIM(D240)),1))),LEFT(UPPER(TRIM(D240)),1)="X",LEFT(UPPER(TRIM(D240)),1)="Y",LEFT(UPPER(TRIM(D240)),1)="Z"),IF(MID("TRWAGMYFPDXBNJZSQVHLCKE",MOD(VALUE(SUBSTITUTE(SUBSTITUTE(SUBSTITUTE(LEFT(UPPER(TRIM(D240)),8),"X","0"),"Y","1"),"Z","2")),23)+1,1)=RIGHT(UPPER(TRIM(D240)),1),"OK","REVISAR"),IF(OR(RIGHT(UPPER(TRIM(D240)),1)=TEXT(MOD(10-MOD((VALUE(MID(UPPER(TRIM(D240)),3,1))+VALUE(MID(UPPER(TRIM(D240)),5,1))+VALUE(MID(UPPER(TRIM(D240)),7,1)))+(INT(2*VALUE(MID(UPPER(TRIM(D240)),2,1))/10)+MOD(2*VALUE(MID(UPPER(TRIM(D240)),2,1)),10))+(INT(2*VALUE(MID(UPPER(TRIM(D240)),4,1))/10)+MOD(2*VALUE(MID(UPPER(TRIM(D240)),4,1)),10))+(INT(2*VALUE(MID(UPPER(TRIM(D240)),6,1))/10)+MOD(2*VALUE(MID(UPPER(TRIM(D240)),6,1)),10))+(INT(2*VALUE(MID(UPPER(TRIM(D240)),8,1))/10)+MOD(2*VALUE(MID(UPPER(TRIM(D240)),8,1)),10)),10),10),"0"),RIGHT(UPPER(TRIM(D240)),1)=MID("JABCDEFGHI",MOD(10-MOD((VALUE(MID(UPPER(TRIM(D240)),3,1))+VALUE(MID(UPPER(TRIM(D240)),5,1))+VALUE(MID(UPPER(TRIM(D240)),7,1)))+(INT(2*VALUE(MID(UPPER(TRIM(D240)),2,1))/10)+MOD(2*VALUE(MID(UPPER(TRIM(D240)),2,1)),10))+(INT(2*VALUE(MID(UPPER(TRIM(D240)),4,1))/10)+MOD(2*VALUE(MID(UPPER(TRIM(D240)),4,1)),10))+(INT(2*VALUE(MID(UPPER(TRIM(D240)),6,1))/10)+MOD(2*VALUE(MID(UPPER(TRIM(D240)),6,1)),10))+(INT(2*VALUE(MID(UPPER(TRIM(D240)),8,1))/10)+MOD(2*VALUE(MID(UPPER(TRIM(D240)),8,1)),10)),10),10)+1,1)),"OK","REVISAR")),"REVISAR")))</f>
        <v/>
      </c>
      <c r="Q240">
        <f>IF(B240="","",IF(COUNTIFS($B$2:$B$501,B240,$D$2:$D$501,D240)&gt;1,"DUPLICADA",""))</f>
        <v/>
      </c>
      <c r="R240">
        <f>IF(A240="","",ROUNDUP(MONTH(A240)/3,0))</f>
        <v/>
      </c>
      <c r="S240" s="3" t="n"/>
    </row>
    <row r="241">
      <c r="A241" s="2" t="n"/>
      <c r="B241" s="3" t="n"/>
      <c r="C241" s="3" t="n"/>
      <c r="D241" s="3" t="n"/>
      <c r="E241" s="4" t="n"/>
      <c r="F241" s="4" t="n"/>
      <c r="G241" s="4" t="n"/>
      <c r="H241" s="4" t="n"/>
      <c r="I241" s="5">
        <f>IF(E241="","",ROUND(E241*0.21,2))</f>
        <v/>
      </c>
      <c r="J241" s="5">
        <f>IF(F241="","",ROUND(F241*0.1,2))</f>
        <v/>
      </c>
      <c r="K241" s="5">
        <f>IF(G241="","",ROUND(G241*0.04,2))</f>
        <v/>
      </c>
      <c r="L241" s="4" t="n"/>
      <c r="M241" s="4" t="n"/>
      <c r="N241" s="5">
        <f>IF(A241="","",SUM(E241:K241)-N(L241))</f>
        <v/>
      </c>
      <c r="O241">
        <f>IF(OR(A241="",M241=""),"",IF(ABS(M241-N241)&lt;=0.02,"OK","REVISAR"))</f>
        <v/>
      </c>
      <c r="P241">
        <f>IF(D241="","",IF(LEN(TRIM(D241))&lt;&gt;9,"REVISAR",IFERROR(IF(OR(ISNUMBER(VALUE(LEFT(UPPER(TRIM(D241)),1))),LEFT(UPPER(TRIM(D241)),1)="X",LEFT(UPPER(TRIM(D241)),1)="Y",LEFT(UPPER(TRIM(D241)),1)="Z"),IF(MID("TRWAGMYFPDXBNJZSQVHLCKE",MOD(VALUE(SUBSTITUTE(SUBSTITUTE(SUBSTITUTE(LEFT(UPPER(TRIM(D241)),8),"X","0"),"Y","1"),"Z","2")),23)+1,1)=RIGHT(UPPER(TRIM(D241)),1),"OK","REVISAR"),IF(OR(RIGHT(UPPER(TRIM(D241)),1)=TEXT(MOD(10-MOD((VALUE(MID(UPPER(TRIM(D241)),3,1))+VALUE(MID(UPPER(TRIM(D241)),5,1))+VALUE(MID(UPPER(TRIM(D241)),7,1)))+(INT(2*VALUE(MID(UPPER(TRIM(D241)),2,1))/10)+MOD(2*VALUE(MID(UPPER(TRIM(D241)),2,1)),10))+(INT(2*VALUE(MID(UPPER(TRIM(D241)),4,1))/10)+MOD(2*VALUE(MID(UPPER(TRIM(D241)),4,1)),10))+(INT(2*VALUE(MID(UPPER(TRIM(D241)),6,1))/10)+MOD(2*VALUE(MID(UPPER(TRIM(D241)),6,1)),10))+(INT(2*VALUE(MID(UPPER(TRIM(D241)),8,1))/10)+MOD(2*VALUE(MID(UPPER(TRIM(D241)),8,1)),10)),10),10),"0"),RIGHT(UPPER(TRIM(D241)),1)=MID("JABCDEFGHI",MOD(10-MOD((VALUE(MID(UPPER(TRIM(D241)),3,1))+VALUE(MID(UPPER(TRIM(D241)),5,1))+VALUE(MID(UPPER(TRIM(D241)),7,1)))+(INT(2*VALUE(MID(UPPER(TRIM(D241)),2,1))/10)+MOD(2*VALUE(MID(UPPER(TRIM(D241)),2,1)),10))+(INT(2*VALUE(MID(UPPER(TRIM(D241)),4,1))/10)+MOD(2*VALUE(MID(UPPER(TRIM(D241)),4,1)),10))+(INT(2*VALUE(MID(UPPER(TRIM(D241)),6,1))/10)+MOD(2*VALUE(MID(UPPER(TRIM(D241)),6,1)),10))+(INT(2*VALUE(MID(UPPER(TRIM(D241)),8,1))/10)+MOD(2*VALUE(MID(UPPER(TRIM(D241)),8,1)),10)),10),10)+1,1)),"OK","REVISAR")),"REVISAR")))</f>
        <v/>
      </c>
      <c r="Q241">
        <f>IF(B241="","",IF(COUNTIFS($B$2:$B$501,B241,$D$2:$D$501,D241)&gt;1,"DUPLICADA",""))</f>
        <v/>
      </c>
      <c r="R241">
        <f>IF(A241="","",ROUNDUP(MONTH(A241)/3,0))</f>
        <v/>
      </c>
      <c r="S241" s="3" t="n"/>
    </row>
    <row r="242">
      <c r="A242" s="2" t="n"/>
      <c r="B242" s="3" t="n"/>
      <c r="C242" s="3" t="n"/>
      <c r="D242" s="3" t="n"/>
      <c r="E242" s="4" t="n"/>
      <c r="F242" s="4" t="n"/>
      <c r="G242" s="4" t="n"/>
      <c r="H242" s="4" t="n"/>
      <c r="I242" s="5">
        <f>IF(E242="","",ROUND(E242*0.21,2))</f>
        <v/>
      </c>
      <c r="J242" s="5">
        <f>IF(F242="","",ROUND(F242*0.1,2))</f>
        <v/>
      </c>
      <c r="K242" s="5">
        <f>IF(G242="","",ROUND(G242*0.04,2))</f>
        <v/>
      </c>
      <c r="L242" s="4" t="n"/>
      <c r="M242" s="4" t="n"/>
      <c r="N242" s="5">
        <f>IF(A242="","",SUM(E242:K242)-N(L242))</f>
        <v/>
      </c>
      <c r="O242">
        <f>IF(OR(A242="",M242=""),"",IF(ABS(M242-N242)&lt;=0.02,"OK","REVISAR"))</f>
        <v/>
      </c>
      <c r="P242">
        <f>IF(D242="","",IF(LEN(TRIM(D242))&lt;&gt;9,"REVISAR",IFERROR(IF(OR(ISNUMBER(VALUE(LEFT(UPPER(TRIM(D242)),1))),LEFT(UPPER(TRIM(D242)),1)="X",LEFT(UPPER(TRIM(D242)),1)="Y",LEFT(UPPER(TRIM(D242)),1)="Z"),IF(MID("TRWAGMYFPDXBNJZSQVHLCKE",MOD(VALUE(SUBSTITUTE(SUBSTITUTE(SUBSTITUTE(LEFT(UPPER(TRIM(D242)),8),"X","0"),"Y","1"),"Z","2")),23)+1,1)=RIGHT(UPPER(TRIM(D242)),1),"OK","REVISAR"),IF(OR(RIGHT(UPPER(TRIM(D242)),1)=TEXT(MOD(10-MOD((VALUE(MID(UPPER(TRIM(D242)),3,1))+VALUE(MID(UPPER(TRIM(D242)),5,1))+VALUE(MID(UPPER(TRIM(D242)),7,1)))+(INT(2*VALUE(MID(UPPER(TRIM(D242)),2,1))/10)+MOD(2*VALUE(MID(UPPER(TRIM(D242)),2,1)),10))+(INT(2*VALUE(MID(UPPER(TRIM(D242)),4,1))/10)+MOD(2*VALUE(MID(UPPER(TRIM(D242)),4,1)),10))+(INT(2*VALUE(MID(UPPER(TRIM(D242)),6,1))/10)+MOD(2*VALUE(MID(UPPER(TRIM(D242)),6,1)),10))+(INT(2*VALUE(MID(UPPER(TRIM(D242)),8,1))/10)+MOD(2*VALUE(MID(UPPER(TRIM(D242)),8,1)),10)),10),10),"0"),RIGHT(UPPER(TRIM(D242)),1)=MID("JABCDEFGHI",MOD(10-MOD((VALUE(MID(UPPER(TRIM(D242)),3,1))+VALUE(MID(UPPER(TRIM(D242)),5,1))+VALUE(MID(UPPER(TRIM(D242)),7,1)))+(INT(2*VALUE(MID(UPPER(TRIM(D242)),2,1))/10)+MOD(2*VALUE(MID(UPPER(TRIM(D242)),2,1)),10))+(INT(2*VALUE(MID(UPPER(TRIM(D242)),4,1))/10)+MOD(2*VALUE(MID(UPPER(TRIM(D242)),4,1)),10))+(INT(2*VALUE(MID(UPPER(TRIM(D242)),6,1))/10)+MOD(2*VALUE(MID(UPPER(TRIM(D242)),6,1)),10))+(INT(2*VALUE(MID(UPPER(TRIM(D242)),8,1))/10)+MOD(2*VALUE(MID(UPPER(TRIM(D242)),8,1)),10)),10),10)+1,1)),"OK","REVISAR")),"REVISAR")))</f>
        <v/>
      </c>
      <c r="Q242">
        <f>IF(B242="","",IF(COUNTIFS($B$2:$B$501,B242,$D$2:$D$501,D242)&gt;1,"DUPLICADA",""))</f>
        <v/>
      </c>
      <c r="R242">
        <f>IF(A242="","",ROUNDUP(MONTH(A242)/3,0))</f>
        <v/>
      </c>
      <c r="S242" s="3" t="n"/>
    </row>
    <row r="243">
      <c r="A243" s="2" t="n"/>
      <c r="B243" s="3" t="n"/>
      <c r="C243" s="3" t="n"/>
      <c r="D243" s="3" t="n"/>
      <c r="E243" s="4" t="n"/>
      <c r="F243" s="4" t="n"/>
      <c r="G243" s="4" t="n"/>
      <c r="H243" s="4" t="n"/>
      <c r="I243" s="5">
        <f>IF(E243="","",ROUND(E243*0.21,2))</f>
        <v/>
      </c>
      <c r="J243" s="5">
        <f>IF(F243="","",ROUND(F243*0.1,2))</f>
        <v/>
      </c>
      <c r="K243" s="5">
        <f>IF(G243="","",ROUND(G243*0.04,2))</f>
        <v/>
      </c>
      <c r="L243" s="4" t="n"/>
      <c r="M243" s="4" t="n"/>
      <c r="N243" s="5">
        <f>IF(A243="","",SUM(E243:K243)-N(L243))</f>
        <v/>
      </c>
      <c r="O243">
        <f>IF(OR(A243="",M243=""),"",IF(ABS(M243-N243)&lt;=0.02,"OK","REVISAR"))</f>
        <v/>
      </c>
      <c r="P243">
        <f>IF(D243="","",IF(LEN(TRIM(D243))&lt;&gt;9,"REVISAR",IFERROR(IF(OR(ISNUMBER(VALUE(LEFT(UPPER(TRIM(D243)),1))),LEFT(UPPER(TRIM(D243)),1)="X",LEFT(UPPER(TRIM(D243)),1)="Y",LEFT(UPPER(TRIM(D243)),1)="Z"),IF(MID("TRWAGMYFPDXBNJZSQVHLCKE",MOD(VALUE(SUBSTITUTE(SUBSTITUTE(SUBSTITUTE(LEFT(UPPER(TRIM(D243)),8),"X","0"),"Y","1"),"Z","2")),23)+1,1)=RIGHT(UPPER(TRIM(D243)),1),"OK","REVISAR"),IF(OR(RIGHT(UPPER(TRIM(D243)),1)=TEXT(MOD(10-MOD((VALUE(MID(UPPER(TRIM(D243)),3,1))+VALUE(MID(UPPER(TRIM(D243)),5,1))+VALUE(MID(UPPER(TRIM(D243)),7,1)))+(INT(2*VALUE(MID(UPPER(TRIM(D243)),2,1))/10)+MOD(2*VALUE(MID(UPPER(TRIM(D243)),2,1)),10))+(INT(2*VALUE(MID(UPPER(TRIM(D243)),4,1))/10)+MOD(2*VALUE(MID(UPPER(TRIM(D243)),4,1)),10))+(INT(2*VALUE(MID(UPPER(TRIM(D243)),6,1))/10)+MOD(2*VALUE(MID(UPPER(TRIM(D243)),6,1)),10))+(INT(2*VALUE(MID(UPPER(TRIM(D243)),8,1))/10)+MOD(2*VALUE(MID(UPPER(TRIM(D243)),8,1)),10)),10),10),"0"),RIGHT(UPPER(TRIM(D243)),1)=MID("JABCDEFGHI",MOD(10-MOD((VALUE(MID(UPPER(TRIM(D243)),3,1))+VALUE(MID(UPPER(TRIM(D243)),5,1))+VALUE(MID(UPPER(TRIM(D243)),7,1)))+(INT(2*VALUE(MID(UPPER(TRIM(D243)),2,1))/10)+MOD(2*VALUE(MID(UPPER(TRIM(D243)),2,1)),10))+(INT(2*VALUE(MID(UPPER(TRIM(D243)),4,1))/10)+MOD(2*VALUE(MID(UPPER(TRIM(D243)),4,1)),10))+(INT(2*VALUE(MID(UPPER(TRIM(D243)),6,1))/10)+MOD(2*VALUE(MID(UPPER(TRIM(D243)),6,1)),10))+(INT(2*VALUE(MID(UPPER(TRIM(D243)),8,1))/10)+MOD(2*VALUE(MID(UPPER(TRIM(D243)),8,1)),10)),10),10)+1,1)),"OK","REVISAR")),"REVISAR")))</f>
        <v/>
      </c>
      <c r="Q243">
        <f>IF(B243="","",IF(COUNTIFS($B$2:$B$501,B243,$D$2:$D$501,D243)&gt;1,"DUPLICADA",""))</f>
        <v/>
      </c>
      <c r="R243">
        <f>IF(A243="","",ROUNDUP(MONTH(A243)/3,0))</f>
        <v/>
      </c>
      <c r="S243" s="3" t="n"/>
    </row>
    <row r="244">
      <c r="A244" s="2" t="n"/>
      <c r="B244" s="3" t="n"/>
      <c r="C244" s="3" t="n"/>
      <c r="D244" s="3" t="n"/>
      <c r="E244" s="4" t="n"/>
      <c r="F244" s="4" t="n"/>
      <c r="G244" s="4" t="n"/>
      <c r="H244" s="4" t="n"/>
      <c r="I244" s="5">
        <f>IF(E244="","",ROUND(E244*0.21,2))</f>
        <v/>
      </c>
      <c r="J244" s="5">
        <f>IF(F244="","",ROUND(F244*0.1,2))</f>
        <v/>
      </c>
      <c r="K244" s="5">
        <f>IF(G244="","",ROUND(G244*0.04,2))</f>
        <v/>
      </c>
      <c r="L244" s="4" t="n"/>
      <c r="M244" s="4" t="n"/>
      <c r="N244" s="5">
        <f>IF(A244="","",SUM(E244:K244)-N(L244))</f>
        <v/>
      </c>
      <c r="O244">
        <f>IF(OR(A244="",M244=""),"",IF(ABS(M244-N244)&lt;=0.02,"OK","REVISAR"))</f>
        <v/>
      </c>
      <c r="P244">
        <f>IF(D244="","",IF(LEN(TRIM(D244))&lt;&gt;9,"REVISAR",IFERROR(IF(OR(ISNUMBER(VALUE(LEFT(UPPER(TRIM(D244)),1))),LEFT(UPPER(TRIM(D244)),1)="X",LEFT(UPPER(TRIM(D244)),1)="Y",LEFT(UPPER(TRIM(D244)),1)="Z"),IF(MID("TRWAGMYFPDXBNJZSQVHLCKE",MOD(VALUE(SUBSTITUTE(SUBSTITUTE(SUBSTITUTE(LEFT(UPPER(TRIM(D244)),8),"X","0"),"Y","1"),"Z","2")),23)+1,1)=RIGHT(UPPER(TRIM(D244)),1),"OK","REVISAR"),IF(OR(RIGHT(UPPER(TRIM(D244)),1)=TEXT(MOD(10-MOD((VALUE(MID(UPPER(TRIM(D244)),3,1))+VALUE(MID(UPPER(TRIM(D244)),5,1))+VALUE(MID(UPPER(TRIM(D244)),7,1)))+(INT(2*VALUE(MID(UPPER(TRIM(D244)),2,1))/10)+MOD(2*VALUE(MID(UPPER(TRIM(D244)),2,1)),10))+(INT(2*VALUE(MID(UPPER(TRIM(D244)),4,1))/10)+MOD(2*VALUE(MID(UPPER(TRIM(D244)),4,1)),10))+(INT(2*VALUE(MID(UPPER(TRIM(D244)),6,1))/10)+MOD(2*VALUE(MID(UPPER(TRIM(D244)),6,1)),10))+(INT(2*VALUE(MID(UPPER(TRIM(D244)),8,1))/10)+MOD(2*VALUE(MID(UPPER(TRIM(D244)),8,1)),10)),10),10),"0"),RIGHT(UPPER(TRIM(D244)),1)=MID("JABCDEFGHI",MOD(10-MOD((VALUE(MID(UPPER(TRIM(D244)),3,1))+VALUE(MID(UPPER(TRIM(D244)),5,1))+VALUE(MID(UPPER(TRIM(D244)),7,1)))+(INT(2*VALUE(MID(UPPER(TRIM(D244)),2,1))/10)+MOD(2*VALUE(MID(UPPER(TRIM(D244)),2,1)),10))+(INT(2*VALUE(MID(UPPER(TRIM(D244)),4,1))/10)+MOD(2*VALUE(MID(UPPER(TRIM(D244)),4,1)),10))+(INT(2*VALUE(MID(UPPER(TRIM(D244)),6,1))/10)+MOD(2*VALUE(MID(UPPER(TRIM(D244)),6,1)),10))+(INT(2*VALUE(MID(UPPER(TRIM(D244)),8,1))/10)+MOD(2*VALUE(MID(UPPER(TRIM(D244)),8,1)),10)),10),10)+1,1)),"OK","REVISAR")),"REVISAR")))</f>
        <v/>
      </c>
      <c r="Q244">
        <f>IF(B244="","",IF(COUNTIFS($B$2:$B$501,B244,$D$2:$D$501,D244)&gt;1,"DUPLICADA",""))</f>
        <v/>
      </c>
      <c r="R244">
        <f>IF(A244="","",ROUNDUP(MONTH(A244)/3,0))</f>
        <v/>
      </c>
      <c r="S244" s="3" t="n"/>
    </row>
    <row r="245">
      <c r="A245" s="2" t="n"/>
      <c r="B245" s="3" t="n"/>
      <c r="C245" s="3" t="n"/>
      <c r="D245" s="3" t="n"/>
      <c r="E245" s="4" t="n"/>
      <c r="F245" s="4" t="n"/>
      <c r="G245" s="4" t="n"/>
      <c r="H245" s="4" t="n"/>
      <c r="I245" s="5">
        <f>IF(E245="","",ROUND(E245*0.21,2))</f>
        <v/>
      </c>
      <c r="J245" s="5">
        <f>IF(F245="","",ROUND(F245*0.1,2))</f>
        <v/>
      </c>
      <c r="K245" s="5">
        <f>IF(G245="","",ROUND(G245*0.04,2))</f>
        <v/>
      </c>
      <c r="L245" s="4" t="n"/>
      <c r="M245" s="4" t="n"/>
      <c r="N245" s="5">
        <f>IF(A245="","",SUM(E245:K245)-N(L245))</f>
        <v/>
      </c>
      <c r="O245">
        <f>IF(OR(A245="",M245=""),"",IF(ABS(M245-N245)&lt;=0.02,"OK","REVISAR"))</f>
        <v/>
      </c>
      <c r="P245">
        <f>IF(D245="","",IF(LEN(TRIM(D245))&lt;&gt;9,"REVISAR",IFERROR(IF(OR(ISNUMBER(VALUE(LEFT(UPPER(TRIM(D245)),1))),LEFT(UPPER(TRIM(D245)),1)="X",LEFT(UPPER(TRIM(D245)),1)="Y",LEFT(UPPER(TRIM(D245)),1)="Z"),IF(MID("TRWAGMYFPDXBNJZSQVHLCKE",MOD(VALUE(SUBSTITUTE(SUBSTITUTE(SUBSTITUTE(LEFT(UPPER(TRIM(D245)),8),"X","0"),"Y","1"),"Z","2")),23)+1,1)=RIGHT(UPPER(TRIM(D245)),1),"OK","REVISAR"),IF(OR(RIGHT(UPPER(TRIM(D245)),1)=TEXT(MOD(10-MOD((VALUE(MID(UPPER(TRIM(D245)),3,1))+VALUE(MID(UPPER(TRIM(D245)),5,1))+VALUE(MID(UPPER(TRIM(D245)),7,1)))+(INT(2*VALUE(MID(UPPER(TRIM(D245)),2,1))/10)+MOD(2*VALUE(MID(UPPER(TRIM(D245)),2,1)),10))+(INT(2*VALUE(MID(UPPER(TRIM(D245)),4,1))/10)+MOD(2*VALUE(MID(UPPER(TRIM(D245)),4,1)),10))+(INT(2*VALUE(MID(UPPER(TRIM(D245)),6,1))/10)+MOD(2*VALUE(MID(UPPER(TRIM(D245)),6,1)),10))+(INT(2*VALUE(MID(UPPER(TRIM(D245)),8,1))/10)+MOD(2*VALUE(MID(UPPER(TRIM(D245)),8,1)),10)),10),10),"0"),RIGHT(UPPER(TRIM(D245)),1)=MID("JABCDEFGHI",MOD(10-MOD((VALUE(MID(UPPER(TRIM(D245)),3,1))+VALUE(MID(UPPER(TRIM(D245)),5,1))+VALUE(MID(UPPER(TRIM(D245)),7,1)))+(INT(2*VALUE(MID(UPPER(TRIM(D245)),2,1))/10)+MOD(2*VALUE(MID(UPPER(TRIM(D245)),2,1)),10))+(INT(2*VALUE(MID(UPPER(TRIM(D245)),4,1))/10)+MOD(2*VALUE(MID(UPPER(TRIM(D245)),4,1)),10))+(INT(2*VALUE(MID(UPPER(TRIM(D245)),6,1))/10)+MOD(2*VALUE(MID(UPPER(TRIM(D245)),6,1)),10))+(INT(2*VALUE(MID(UPPER(TRIM(D245)),8,1))/10)+MOD(2*VALUE(MID(UPPER(TRIM(D245)),8,1)),10)),10),10)+1,1)),"OK","REVISAR")),"REVISAR")))</f>
        <v/>
      </c>
      <c r="Q245">
        <f>IF(B245="","",IF(COUNTIFS($B$2:$B$501,B245,$D$2:$D$501,D245)&gt;1,"DUPLICADA",""))</f>
        <v/>
      </c>
      <c r="R245">
        <f>IF(A245="","",ROUNDUP(MONTH(A245)/3,0))</f>
        <v/>
      </c>
      <c r="S245" s="3" t="n"/>
    </row>
    <row r="246">
      <c r="A246" s="2" t="n"/>
      <c r="B246" s="3" t="n"/>
      <c r="C246" s="3" t="n"/>
      <c r="D246" s="3" t="n"/>
      <c r="E246" s="4" t="n"/>
      <c r="F246" s="4" t="n"/>
      <c r="G246" s="4" t="n"/>
      <c r="H246" s="4" t="n"/>
      <c r="I246" s="5">
        <f>IF(E246="","",ROUND(E246*0.21,2))</f>
        <v/>
      </c>
      <c r="J246" s="5">
        <f>IF(F246="","",ROUND(F246*0.1,2))</f>
        <v/>
      </c>
      <c r="K246" s="5">
        <f>IF(G246="","",ROUND(G246*0.04,2))</f>
        <v/>
      </c>
      <c r="L246" s="4" t="n"/>
      <c r="M246" s="4" t="n"/>
      <c r="N246" s="5">
        <f>IF(A246="","",SUM(E246:K246)-N(L246))</f>
        <v/>
      </c>
      <c r="O246">
        <f>IF(OR(A246="",M246=""),"",IF(ABS(M246-N246)&lt;=0.02,"OK","REVISAR"))</f>
        <v/>
      </c>
      <c r="P246">
        <f>IF(D246="","",IF(LEN(TRIM(D246))&lt;&gt;9,"REVISAR",IFERROR(IF(OR(ISNUMBER(VALUE(LEFT(UPPER(TRIM(D246)),1))),LEFT(UPPER(TRIM(D246)),1)="X",LEFT(UPPER(TRIM(D246)),1)="Y",LEFT(UPPER(TRIM(D246)),1)="Z"),IF(MID("TRWAGMYFPDXBNJZSQVHLCKE",MOD(VALUE(SUBSTITUTE(SUBSTITUTE(SUBSTITUTE(LEFT(UPPER(TRIM(D246)),8),"X","0"),"Y","1"),"Z","2")),23)+1,1)=RIGHT(UPPER(TRIM(D246)),1),"OK","REVISAR"),IF(OR(RIGHT(UPPER(TRIM(D246)),1)=TEXT(MOD(10-MOD((VALUE(MID(UPPER(TRIM(D246)),3,1))+VALUE(MID(UPPER(TRIM(D246)),5,1))+VALUE(MID(UPPER(TRIM(D246)),7,1)))+(INT(2*VALUE(MID(UPPER(TRIM(D246)),2,1))/10)+MOD(2*VALUE(MID(UPPER(TRIM(D246)),2,1)),10))+(INT(2*VALUE(MID(UPPER(TRIM(D246)),4,1))/10)+MOD(2*VALUE(MID(UPPER(TRIM(D246)),4,1)),10))+(INT(2*VALUE(MID(UPPER(TRIM(D246)),6,1))/10)+MOD(2*VALUE(MID(UPPER(TRIM(D246)),6,1)),10))+(INT(2*VALUE(MID(UPPER(TRIM(D246)),8,1))/10)+MOD(2*VALUE(MID(UPPER(TRIM(D246)),8,1)),10)),10),10),"0"),RIGHT(UPPER(TRIM(D246)),1)=MID("JABCDEFGHI",MOD(10-MOD((VALUE(MID(UPPER(TRIM(D246)),3,1))+VALUE(MID(UPPER(TRIM(D246)),5,1))+VALUE(MID(UPPER(TRIM(D246)),7,1)))+(INT(2*VALUE(MID(UPPER(TRIM(D246)),2,1))/10)+MOD(2*VALUE(MID(UPPER(TRIM(D246)),2,1)),10))+(INT(2*VALUE(MID(UPPER(TRIM(D246)),4,1))/10)+MOD(2*VALUE(MID(UPPER(TRIM(D246)),4,1)),10))+(INT(2*VALUE(MID(UPPER(TRIM(D246)),6,1))/10)+MOD(2*VALUE(MID(UPPER(TRIM(D246)),6,1)),10))+(INT(2*VALUE(MID(UPPER(TRIM(D246)),8,1))/10)+MOD(2*VALUE(MID(UPPER(TRIM(D246)),8,1)),10)),10),10)+1,1)),"OK","REVISAR")),"REVISAR")))</f>
        <v/>
      </c>
      <c r="Q246">
        <f>IF(B246="","",IF(COUNTIFS($B$2:$B$501,B246,$D$2:$D$501,D246)&gt;1,"DUPLICADA",""))</f>
        <v/>
      </c>
      <c r="R246">
        <f>IF(A246="","",ROUNDUP(MONTH(A246)/3,0))</f>
        <v/>
      </c>
      <c r="S246" s="3" t="n"/>
    </row>
    <row r="247">
      <c r="A247" s="2" t="n"/>
      <c r="B247" s="3" t="n"/>
      <c r="C247" s="3" t="n"/>
      <c r="D247" s="3" t="n"/>
      <c r="E247" s="4" t="n"/>
      <c r="F247" s="4" t="n"/>
      <c r="G247" s="4" t="n"/>
      <c r="H247" s="4" t="n"/>
      <c r="I247" s="5">
        <f>IF(E247="","",ROUND(E247*0.21,2))</f>
        <v/>
      </c>
      <c r="J247" s="5">
        <f>IF(F247="","",ROUND(F247*0.1,2))</f>
        <v/>
      </c>
      <c r="K247" s="5">
        <f>IF(G247="","",ROUND(G247*0.04,2))</f>
        <v/>
      </c>
      <c r="L247" s="4" t="n"/>
      <c r="M247" s="4" t="n"/>
      <c r="N247" s="5">
        <f>IF(A247="","",SUM(E247:K247)-N(L247))</f>
        <v/>
      </c>
      <c r="O247">
        <f>IF(OR(A247="",M247=""),"",IF(ABS(M247-N247)&lt;=0.02,"OK","REVISAR"))</f>
        <v/>
      </c>
      <c r="P247">
        <f>IF(D247="","",IF(LEN(TRIM(D247))&lt;&gt;9,"REVISAR",IFERROR(IF(OR(ISNUMBER(VALUE(LEFT(UPPER(TRIM(D247)),1))),LEFT(UPPER(TRIM(D247)),1)="X",LEFT(UPPER(TRIM(D247)),1)="Y",LEFT(UPPER(TRIM(D247)),1)="Z"),IF(MID("TRWAGMYFPDXBNJZSQVHLCKE",MOD(VALUE(SUBSTITUTE(SUBSTITUTE(SUBSTITUTE(LEFT(UPPER(TRIM(D247)),8),"X","0"),"Y","1"),"Z","2")),23)+1,1)=RIGHT(UPPER(TRIM(D247)),1),"OK","REVISAR"),IF(OR(RIGHT(UPPER(TRIM(D247)),1)=TEXT(MOD(10-MOD((VALUE(MID(UPPER(TRIM(D247)),3,1))+VALUE(MID(UPPER(TRIM(D247)),5,1))+VALUE(MID(UPPER(TRIM(D247)),7,1)))+(INT(2*VALUE(MID(UPPER(TRIM(D247)),2,1))/10)+MOD(2*VALUE(MID(UPPER(TRIM(D247)),2,1)),10))+(INT(2*VALUE(MID(UPPER(TRIM(D247)),4,1))/10)+MOD(2*VALUE(MID(UPPER(TRIM(D247)),4,1)),10))+(INT(2*VALUE(MID(UPPER(TRIM(D247)),6,1))/10)+MOD(2*VALUE(MID(UPPER(TRIM(D247)),6,1)),10))+(INT(2*VALUE(MID(UPPER(TRIM(D247)),8,1))/10)+MOD(2*VALUE(MID(UPPER(TRIM(D247)),8,1)),10)),10),10),"0"),RIGHT(UPPER(TRIM(D247)),1)=MID("JABCDEFGHI",MOD(10-MOD((VALUE(MID(UPPER(TRIM(D247)),3,1))+VALUE(MID(UPPER(TRIM(D247)),5,1))+VALUE(MID(UPPER(TRIM(D247)),7,1)))+(INT(2*VALUE(MID(UPPER(TRIM(D247)),2,1))/10)+MOD(2*VALUE(MID(UPPER(TRIM(D247)),2,1)),10))+(INT(2*VALUE(MID(UPPER(TRIM(D247)),4,1))/10)+MOD(2*VALUE(MID(UPPER(TRIM(D247)),4,1)),10))+(INT(2*VALUE(MID(UPPER(TRIM(D247)),6,1))/10)+MOD(2*VALUE(MID(UPPER(TRIM(D247)),6,1)),10))+(INT(2*VALUE(MID(UPPER(TRIM(D247)),8,1))/10)+MOD(2*VALUE(MID(UPPER(TRIM(D247)),8,1)),10)),10),10)+1,1)),"OK","REVISAR")),"REVISAR")))</f>
        <v/>
      </c>
      <c r="Q247">
        <f>IF(B247="","",IF(COUNTIFS($B$2:$B$501,B247,$D$2:$D$501,D247)&gt;1,"DUPLICADA",""))</f>
        <v/>
      </c>
      <c r="R247">
        <f>IF(A247="","",ROUNDUP(MONTH(A247)/3,0))</f>
        <v/>
      </c>
      <c r="S247" s="3" t="n"/>
    </row>
    <row r="248">
      <c r="A248" s="2" t="n"/>
      <c r="B248" s="3" t="n"/>
      <c r="C248" s="3" t="n"/>
      <c r="D248" s="3" t="n"/>
      <c r="E248" s="4" t="n"/>
      <c r="F248" s="4" t="n"/>
      <c r="G248" s="4" t="n"/>
      <c r="H248" s="4" t="n"/>
      <c r="I248" s="5">
        <f>IF(E248="","",ROUND(E248*0.21,2))</f>
        <v/>
      </c>
      <c r="J248" s="5">
        <f>IF(F248="","",ROUND(F248*0.1,2))</f>
        <v/>
      </c>
      <c r="K248" s="5">
        <f>IF(G248="","",ROUND(G248*0.04,2))</f>
        <v/>
      </c>
      <c r="L248" s="4" t="n"/>
      <c r="M248" s="4" t="n"/>
      <c r="N248" s="5">
        <f>IF(A248="","",SUM(E248:K248)-N(L248))</f>
        <v/>
      </c>
      <c r="O248">
        <f>IF(OR(A248="",M248=""),"",IF(ABS(M248-N248)&lt;=0.02,"OK","REVISAR"))</f>
        <v/>
      </c>
      <c r="P248">
        <f>IF(D248="","",IF(LEN(TRIM(D248))&lt;&gt;9,"REVISAR",IFERROR(IF(OR(ISNUMBER(VALUE(LEFT(UPPER(TRIM(D248)),1))),LEFT(UPPER(TRIM(D248)),1)="X",LEFT(UPPER(TRIM(D248)),1)="Y",LEFT(UPPER(TRIM(D248)),1)="Z"),IF(MID("TRWAGMYFPDXBNJZSQVHLCKE",MOD(VALUE(SUBSTITUTE(SUBSTITUTE(SUBSTITUTE(LEFT(UPPER(TRIM(D248)),8),"X","0"),"Y","1"),"Z","2")),23)+1,1)=RIGHT(UPPER(TRIM(D248)),1),"OK","REVISAR"),IF(OR(RIGHT(UPPER(TRIM(D248)),1)=TEXT(MOD(10-MOD((VALUE(MID(UPPER(TRIM(D248)),3,1))+VALUE(MID(UPPER(TRIM(D248)),5,1))+VALUE(MID(UPPER(TRIM(D248)),7,1)))+(INT(2*VALUE(MID(UPPER(TRIM(D248)),2,1))/10)+MOD(2*VALUE(MID(UPPER(TRIM(D248)),2,1)),10))+(INT(2*VALUE(MID(UPPER(TRIM(D248)),4,1))/10)+MOD(2*VALUE(MID(UPPER(TRIM(D248)),4,1)),10))+(INT(2*VALUE(MID(UPPER(TRIM(D248)),6,1))/10)+MOD(2*VALUE(MID(UPPER(TRIM(D248)),6,1)),10))+(INT(2*VALUE(MID(UPPER(TRIM(D248)),8,1))/10)+MOD(2*VALUE(MID(UPPER(TRIM(D248)),8,1)),10)),10),10),"0"),RIGHT(UPPER(TRIM(D248)),1)=MID("JABCDEFGHI",MOD(10-MOD((VALUE(MID(UPPER(TRIM(D248)),3,1))+VALUE(MID(UPPER(TRIM(D248)),5,1))+VALUE(MID(UPPER(TRIM(D248)),7,1)))+(INT(2*VALUE(MID(UPPER(TRIM(D248)),2,1))/10)+MOD(2*VALUE(MID(UPPER(TRIM(D248)),2,1)),10))+(INT(2*VALUE(MID(UPPER(TRIM(D248)),4,1))/10)+MOD(2*VALUE(MID(UPPER(TRIM(D248)),4,1)),10))+(INT(2*VALUE(MID(UPPER(TRIM(D248)),6,1))/10)+MOD(2*VALUE(MID(UPPER(TRIM(D248)),6,1)),10))+(INT(2*VALUE(MID(UPPER(TRIM(D248)),8,1))/10)+MOD(2*VALUE(MID(UPPER(TRIM(D248)),8,1)),10)),10),10)+1,1)),"OK","REVISAR")),"REVISAR")))</f>
        <v/>
      </c>
      <c r="Q248">
        <f>IF(B248="","",IF(COUNTIFS($B$2:$B$501,B248,$D$2:$D$501,D248)&gt;1,"DUPLICADA",""))</f>
        <v/>
      </c>
      <c r="R248">
        <f>IF(A248="","",ROUNDUP(MONTH(A248)/3,0))</f>
        <v/>
      </c>
      <c r="S248" s="3" t="n"/>
    </row>
    <row r="249">
      <c r="A249" s="2" t="n"/>
      <c r="B249" s="3" t="n"/>
      <c r="C249" s="3" t="n"/>
      <c r="D249" s="3" t="n"/>
      <c r="E249" s="4" t="n"/>
      <c r="F249" s="4" t="n"/>
      <c r="G249" s="4" t="n"/>
      <c r="H249" s="4" t="n"/>
      <c r="I249" s="5">
        <f>IF(E249="","",ROUND(E249*0.21,2))</f>
        <v/>
      </c>
      <c r="J249" s="5">
        <f>IF(F249="","",ROUND(F249*0.1,2))</f>
        <v/>
      </c>
      <c r="K249" s="5">
        <f>IF(G249="","",ROUND(G249*0.04,2))</f>
        <v/>
      </c>
      <c r="L249" s="4" t="n"/>
      <c r="M249" s="4" t="n"/>
      <c r="N249" s="5">
        <f>IF(A249="","",SUM(E249:K249)-N(L249))</f>
        <v/>
      </c>
      <c r="O249">
        <f>IF(OR(A249="",M249=""),"",IF(ABS(M249-N249)&lt;=0.02,"OK","REVISAR"))</f>
        <v/>
      </c>
      <c r="P249">
        <f>IF(D249="","",IF(LEN(TRIM(D249))&lt;&gt;9,"REVISAR",IFERROR(IF(OR(ISNUMBER(VALUE(LEFT(UPPER(TRIM(D249)),1))),LEFT(UPPER(TRIM(D249)),1)="X",LEFT(UPPER(TRIM(D249)),1)="Y",LEFT(UPPER(TRIM(D249)),1)="Z"),IF(MID("TRWAGMYFPDXBNJZSQVHLCKE",MOD(VALUE(SUBSTITUTE(SUBSTITUTE(SUBSTITUTE(LEFT(UPPER(TRIM(D249)),8),"X","0"),"Y","1"),"Z","2")),23)+1,1)=RIGHT(UPPER(TRIM(D249)),1),"OK","REVISAR"),IF(OR(RIGHT(UPPER(TRIM(D249)),1)=TEXT(MOD(10-MOD((VALUE(MID(UPPER(TRIM(D249)),3,1))+VALUE(MID(UPPER(TRIM(D249)),5,1))+VALUE(MID(UPPER(TRIM(D249)),7,1)))+(INT(2*VALUE(MID(UPPER(TRIM(D249)),2,1))/10)+MOD(2*VALUE(MID(UPPER(TRIM(D249)),2,1)),10))+(INT(2*VALUE(MID(UPPER(TRIM(D249)),4,1))/10)+MOD(2*VALUE(MID(UPPER(TRIM(D249)),4,1)),10))+(INT(2*VALUE(MID(UPPER(TRIM(D249)),6,1))/10)+MOD(2*VALUE(MID(UPPER(TRIM(D249)),6,1)),10))+(INT(2*VALUE(MID(UPPER(TRIM(D249)),8,1))/10)+MOD(2*VALUE(MID(UPPER(TRIM(D249)),8,1)),10)),10),10),"0"),RIGHT(UPPER(TRIM(D249)),1)=MID("JABCDEFGHI",MOD(10-MOD((VALUE(MID(UPPER(TRIM(D249)),3,1))+VALUE(MID(UPPER(TRIM(D249)),5,1))+VALUE(MID(UPPER(TRIM(D249)),7,1)))+(INT(2*VALUE(MID(UPPER(TRIM(D249)),2,1))/10)+MOD(2*VALUE(MID(UPPER(TRIM(D249)),2,1)),10))+(INT(2*VALUE(MID(UPPER(TRIM(D249)),4,1))/10)+MOD(2*VALUE(MID(UPPER(TRIM(D249)),4,1)),10))+(INT(2*VALUE(MID(UPPER(TRIM(D249)),6,1))/10)+MOD(2*VALUE(MID(UPPER(TRIM(D249)),6,1)),10))+(INT(2*VALUE(MID(UPPER(TRIM(D249)),8,1))/10)+MOD(2*VALUE(MID(UPPER(TRIM(D249)),8,1)),10)),10),10)+1,1)),"OK","REVISAR")),"REVISAR")))</f>
        <v/>
      </c>
      <c r="Q249">
        <f>IF(B249="","",IF(COUNTIFS($B$2:$B$501,B249,$D$2:$D$501,D249)&gt;1,"DUPLICADA",""))</f>
        <v/>
      </c>
      <c r="R249">
        <f>IF(A249="","",ROUNDUP(MONTH(A249)/3,0))</f>
        <v/>
      </c>
      <c r="S249" s="3" t="n"/>
    </row>
    <row r="250">
      <c r="A250" s="2" t="n"/>
      <c r="B250" s="3" t="n"/>
      <c r="C250" s="3" t="n"/>
      <c r="D250" s="3" t="n"/>
      <c r="E250" s="4" t="n"/>
      <c r="F250" s="4" t="n"/>
      <c r="G250" s="4" t="n"/>
      <c r="H250" s="4" t="n"/>
      <c r="I250" s="5">
        <f>IF(E250="","",ROUND(E250*0.21,2))</f>
        <v/>
      </c>
      <c r="J250" s="5">
        <f>IF(F250="","",ROUND(F250*0.1,2))</f>
        <v/>
      </c>
      <c r="K250" s="5">
        <f>IF(G250="","",ROUND(G250*0.04,2))</f>
        <v/>
      </c>
      <c r="L250" s="4" t="n"/>
      <c r="M250" s="4" t="n"/>
      <c r="N250" s="5">
        <f>IF(A250="","",SUM(E250:K250)-N(L250))</f>
        <v/>
      </c>
      <c r="O250">
        <f>IF(OR(A250="",M250=""),"",IF(ABS(M250-N250)&lt;=0.02,"OK","REVISAR"))</f>
        <v/>
      </c>
      <c r="P250">
        <f>IF(D250="","",IF(LEN(TRIM(D250))&lt;&gt;9,"REVISAR",IFERROR(IF(OR(ISNUMBER(VALUE(LEFT(UPPER(TRIM(D250)),1))),LEFT(UPPER(TRIM(D250)),1)="X",LEFT(UPPER(TRIM(D250)),1)="Y",LEFT(UPPER(TRIM(D250)),1)="Z"),IF(MID("TRWAGMYFPDXBNJZSQVHLCKE",MOD(VALUE(SUBSTITUTE(SUBSTITUTE(SUBSTITUTE(LEFT(UPPER(TRIM(D250)),8),"X","0"),"Y","1"),"Z","2")),23)+1,1)=RIGHT(UPPER(TRIM(D250)),1),"OK","REVISAR"),IF(OR(RIGHT(UPPER(TRIM(D250)),1)=TEXT(MOD(10-MOD((VALUE(MID(UPPER(TRIM(D250)),3,1))+VALUE(MID(UPPER(TRIM(D250)),5,1))+VALUE(MID(UPPER(TRIM(D250)),7,1)))+(INT(2*VALUE(MID(UPPER(TRIM(D250)),2,1))/10)+MOD(2*VALUE(MID(UPPER(TRIM(D250)),2,1)),10))+(INT(2*VALUE(MID(UPPER(TRIM(D250)),4,1))/10)+MOD(2*VALUE(MID(UPPER(TRIM(D250)),4,1)),10))+(INT(2*VALUE(MID(UPPER(TRIM(D250)),6,1))/10)+MOD(2*VALUE(MID(UPPER(TRIM(D250)),6,1)),10))+(INT(2*VALUE(MID(UPPER(TRIM(D250)),8,1))/10)+MOD(2*VALUE(MID(UPPER(TRIM(D250)),8,1)),10)),10),10),"0"),RIGHT(UPPER(TRIM(D250)),1)=MID("JABCDEFGHI",MOD(10-MOD((VALUE(MID(UPPER(TRIM(D250)),3,1))+VALUE(MID(UPPER(TRIM(D250)),5,1))+VALUE(MID(UPPER(TRIM(D250)),7,1)))+(INT(2*VALUE(MID(UPPER(TRIM(D250)),2,1))/10)+MOD(2*VALUE(MID(UPPER(TRIM(D250)),2,1)),10))+(INT(2*VALUE(MID(UPPER(TRIM(D250)),4,1))/10)+MOD(2*VALUE(MID(UPPER(TRIM(D250)),4,1)),10))+(INT(2*VALUE(MID(UPPER(TRIM(D250)),6,1))/10)+MOD(2*VALUE(MID(UPPER(TRIM(D250)),6,1)),10))+(INT(2*VALUE(MID(UPPER(TRIM(D250)),8,1))/10)+MOD(2*VALUE(MID(UPPER(TRIM(D250)),8,1)),10)),10),10)+1,1)),"OK","REVISAR")),"REVISAR")))</f>
        <v/>
      </c>
      <c r="Q250">
        <f>IF(B250="","",IF(COUNTIFS($B$2:$B$501,B250,$D$2:$D$501,D250)&gt;1,"DUPLICADA",""))</f>
        <v/>
      </c>
      <c r="R250">
        <f>IF(A250="","",ROUNDUP(MONTH(A250)/3,0))</f>
        <v/>
      </c>
      <c r="S250" s="3" t="n"/>
    </row>
    <row r="251">
      <c r="A251" s="2" t="n"/>
      <c r="B251" s="3" t="n"/>
      <c r="C251" s="3" t="n"/>
      <c r="D251" s="3" t="n"/>
      <c r="E251" s="4" t="n"/>
      <c r="F251" s="4" t="n"/>
      <c r="G251" s="4" t="n"/>
      <c r="H251" s="4" t="n"/>
      <c r="I251" s="5">
        <f>IF(E251="","",ROUND(E251*0.21,2))</f>
        <v/>
      </c>
      <c r="J251" s="5">
        <f>IF(F251="","",ROUND(F251*0.1,2))</f>
        <v/>
      </c>
      <c r="K251" s="5">
        <f>IF(G251="","",ROUND(G251*0.04,2))</f>
        <v/>
      </c>
      <c r="L251" s="4" t="n"/>
      <c r="M251" s="4" t="n"/>
      <c r="N251" s="5">
        <f>IF(A251="","",SUM(E251:K251)-N(L251))</f>
        <v/>
      </c>
      <c r="O251">
        <f>IF(OR(A251="",M251=""),"",IF(ABS(M251-N251)&lt;=0.02,"OK","REVISAR"))</f>
        <v/>
      </c>
      <c r="P251">
        <f>IF(D251="","",IF(LEN(TRIM(D251))&lt;&gt;9,"REVISAR",IFERROR(IF(OR(ISNUMBER(VALUE(LEFT(UPPER(TRIM(D251)),1))),LEFT(UPPER(TRIM(D251)),1)="X",LEFT(UPPER(TRIM(D251)),1)="Y",LEFT(UPPER(TRIM(D251)),1)="Z"),IF(MID("TRWAGMYFPDXBNJZSQVHLCKE",MOD(VALUE(SUBSTITUTE(SUBSTITUTE(SUBSTITUTE(LEFT(UPPER(TRIM(D251)),8),"X","0"),"Y","1"),"Z","2")),23)+1,1)=RIGHT(UPPER(TRIM(D251)),1),"OK","REVISAR"),IF(OR(RIGHT(UPPER(TRIM(D251)),1)=TEXT(MOD(10-MOD((VALUE(MID(UPPER(TRIM(D251)),3,1))+VALUE(MID(UPPER(TRIM(D251)),5,1))+VALUE(MID(UPPER(TRIM(D251)),7,1)))+(INT(2*VALUE(MID(UPPER(TRIM(D251)),2,1))/10)+MOD(2*VALUE(MID(UPPER(TRIM(D251)),2,1)),10))+(INT(2*VALUE(MID(UPPER(TRIM(D251)),4,1))/10)+MOD(2*VALUE(MID(UPPER(TRIM(D251)),4,1)),10))+(INT(2*VALUE(MID(UPPER(TRIM(D251)),6,1))/10)+MOD(2*VALUE(MID(UPPER(TRIM(D251)),6,1)),10))+(INT(2*VALUE(MID(UPPER(TRIM(D251)),8,1))/10)+MOD(2*VALUE(MID(UPPER(TRIM(D251)),8,1)),10)),10),10),"0"),RIGHT(UPPER(TRIM(D251)),1)=MID("JABCDEFGHI",MOD(10-MOD((VALUE(MID(UPPER(TRIM(D251)),3,1))+VALUE(MID(UPPER(TRIM(D251)),5,1))+VALUE(MID(UPPER(TRIM(D251)),7,1)))+(INT(2*VALUE(MID(UPPER(TRIM(D251)),2,1))/10)+MOD(2*VALUE(MID(UPPER(TRIM(D251)),2,1)),10))+(INT(2*VALUE(MID(UPPER(TRIM(D251)),4,1))/10)+MOD(2*VALUE(MID(UPPER(TRIM(D251)),4,1)),10))+(INT(2*VALUE(MID(UPPER(TRIM(D251)),6,1))/10)+MOD(2*VALUE(MID(UPPER(TRIM(D251)),6,1)),10))+(INT(2*VALUE(MID(UPPER(TRIM(D251)),8,1))/10)+MOD(2*VALUE(MID(UPPER(TRIM(D251)),8,1)),10)),10),10)+1,1)),"OK","REVISAR")),"REVISAR")))</f>
        <v/>
      </c>
      <c r="Q251">
        <f>IF(B251="","",IF(COUNTIFS($B$2:$B$501,B251,$D$2:$D$501,D251)&gt;1,"DUPLICADA",""))</f>
        <v/>
      </c>
      <c r="R251">
        <f>IF(A251="","",ROUNDUP(MONTH(A251)/3,0))</f>
        <v/>
      </c>
      <c r="S251" s="3" t="n"/>
    </row>
    <row r="252">
      <c r="A252" s="2" t="n"/>
      <c r="B252" s="3" t="n"/>
      <c r="C252" s="3" t="n"/>
      <c r="D252" s="3" t="n"/>
      <c r="E252" s="4" t="n"/>
      <c r="F252" s="4" t="n"/>
      <c r="G252" s="4" t="n"/>
      <c r="H252" s="4" t="n"/>
      <c r="I252" s="5">
        <f>IF(E252="","",ROUND(E252*0.21,2))</f>
        <v/>
      </c>
      <c r="J252" s="5">
        <f>IF(F252="","",ROUND(F252*0.1,2))</f>
        <v/>
      </c>
      <c r="K252" s="5">
        <f>IF(G252="","",ROUND(G252*0.04,2))</f>
        <v/>
      </c>
      <c r="L252" s="4" t="n"/>
      <c r="M252" s="4" t="n"/>
      <c r="N252" s="5">
        <f>IF(A252="","",SUM(E252:K252)-N(L252))</f>
        <v/>
      </c>
      <c r="O252">
        <f>IF(OR(A252="",M252=""),"",IF(ABS(M252-N252)&lt;=0.02,"OK","REVISAR"))</f>
        <v/>
      </c>
      <c r="P252">
        <f>IF(D252="","",IF(LEN(TRIM(D252))&lt;&gt;9,"REVISAR",IFERROR(IF(OR(ISNUMBER(VALUE(LEFT(UPPER(TRIM(D252)),1))),LEFT(UPPER(TRIM(D252)),1)="X",LEFT(UPPER(TRIM(D252)),1)="Y",LEFT(UPPER(TRIM(D252)),1)="Z"),IF(MID("TRWAGMYFPDXBNJZSQVHLCKE",MOD(VALUE(SUBSTITUTE(SUBSTITUTE(SUBSTITUTE(LEFT(UPPER(TRIM(D252)),8),"X","0"),"Y","1"),"Z","2")),23)+1,1)=RIGHT(UPPER(TRIM(D252)),1),"OK","REVISAR"),IF(OR(RIGHT(UPPER(TRIM(D252)),1)=TEXT(MOD(10-MOD((VALUE(MID(UPPER(TRIM(D252)),3,1))+VALUE(MID(UPPER(TRIM(D252)),5,1))+VALUE(MID(UPPER(TRIM(D252)),7,1)))+(INT(2*VALUE(MID(UPPER(TRIM(D252)),2,1))/10)+MOD(2*VALUE(MID(UPPER(TRIM(D252)),2,1)),10))+(INT(2*VALUE(MID(UPPER(TRIM(D252)),4,1))/10)+MOD(2*VALUE(MID(UPPER(TRIM(D252)),4,1)),10))+(INT(2*VALUE(MID(UPPER(TRIM(D252)),6,1))/10)+MOD(2*VALUE(MID(UPPER(TRIM(D252)),6,1)),10))+(INT(2*VALUE(MID(UPPER(TRIM(D252)),8,1))/10)+MOD(2*VALUE(MID(UPPER(TRIM(D252)),8,1)),10)),10),10),"0"),RIGHT(UPPER(TRIM(D252)),1)=MID("JABCDEFGHI",MOD(10-MOD((VALUE(MID(UPPER(TRIM(D252)),3,1))+VALUE(MID(UPPER(TRIM(D252)),5,1))+VALUE(MID(UPPER(TRIM(D252)),7,1)))+(INT(2*VALUE(MID(UPPER(TRIM(D252)),2,1))/10)+MOD(2*VALUE(MID(UPPER(TRIM(D252)),2,1)),10))+(INT(2*VALUE(MID(UPPER(TRIM(D252)),4,1))/10)+MOD(2*VALUE(MID(UPPER(TRIM(D252)),4,1)),10))+(INT(2*VALUE(MID(UPPER(TRIM(D252)),6,1))/10)+MOD(2*VALUE(MID(UPPER(TRIM(D252)),6,1)),10))+(INT(2*VALUE(MID(UPPER(TRIM(D252)),8,1))/10)+MOD(2*VALUE(MID(UPPER(TRIM(D252)),8,1)),10)),10),10)+1,1)),"OK","REVISAR")),"REVISAR")))</f>
        <v/>
      </c>
      <c r="Q252">
        <f>IF(B252="","",IF(COUNTIFS($B$2:$B$501,B252,$D$2:$D$501,D252)&gt;1,"DUPLICADA",""))</f>
        <v/>
      </c>
      <c r="R252">
        <f>IF(A252="","",ROUNDUP(MONTH(A252)/3,0))</f>
        <v/>
      </c>
      <c r="S252" s="3" t="n"/>
    </row>
    <row r="253">
      <c r="A253" s="2" t="n"/>
      <c r="B253" s="3" t="n"/>
      <c r="C253" s="3" t="n"/>
      <c r="D253" s="3" t="n"/>
      <c r="E253" s="4" t="n"/>
      <c r="F253" s="4" t="n"/>
      <c r="G253" s="4" t="n"/>
      <c r="H253" s="4" t="n"/>
      <c r="I253" s="5">
        <f>IF(E253="","",ROUND(E253*0.21,2))</f>
        <v/>
      </c>
      <c r="J253" s="5">
        <f>IF(F253="","",ROUND(F253*0.1,2))</f>
        <v/>
      </c>
      <c r="K253" s="5">
        <f>IF(G253="","",ROUND(G253*0.04,2))</f>
        <v/>
      </c>
      <c r="L253" s="4" t="n"/>
      <c r="M253" s="4" t="n"/>
      <c r="N253" s="5">
        <f>IF(A253="","",SUM(E253:K253)-N(L253))</f>
        <v/>
      </c>
      <c r="O253">
        <f>IF(OR(A253="",M253=""),"",IF(ABS(M253-N253)&lt;=0.02,"OK","REVISAR"))</f>
        <v/>
      </c>
      <c r="P253">
        <f>IF(D253="","",IF(LEN(TRIM(D253))&lt;&gt;9,"REVISAR",IFERROR(IF(OR(ISNUMBER(VALUE(LEFT(UPPER(TRIM(D253)),1))),LEFT(UPPER(TRIM(D253)),1)="X",LEFT(UPPER(TRIM(D253)),1)="Y",LEFT(UPPER(TRIM(D253)),1)="Z"),IF(MID("TRWAGMYFPDXBNJZSQVHLCKE",MOD(VALUE(SUBSTITUTE(SUBSTITUTE(SUBSTITUTE(LEFT(UPPER(TRIM(D253)),8),"X","0"),"Y","1"),"Z","2")),23)+1,1)=RIGHT(UPPER(TRIM(D253)),1),"OK","REVISAR"),IF(OR(RIGHT(UPPER(TRIM(D253)),1)=TEXT(MOD(10-MOD((VALUE(MID(UPPER(TRIM(D253)),3,1))+VALUE(MID(UPPER(TRIM(D253)),5,1))+VALUE(MID(UPPER(TRIM(D253)),7,1)))+(INT(2*VALUE(MID(UPPER(TRIM(D253)),2,1))/10)+MOD(2*VALUE(MID(UPPER(TRIM(D253)),2,1)),10))+(INT(2*VALUE(MID(UPPER(TRIM(D253)),4,1))/10)+MOD(2*VALUE(MID(UPPER(TRIM(D253)),4,1)),10))+(INT(2*VALUE(MID(UPPER(TRIM(D253)),6,1))/10)+MOD(2*VALUE(MID(UPPER(TRIM(D253)),6,1)),10))+(INT(2*VALUE(MID(UPPER(TRIM(D253)),8,1))/10)+MOD(2*VALUE(MID(UPPER(TRIM(D253)),8,1)),10)),10),10),"0"),RIGHT(UPPER(TRIM(D253)),1)=MID("JABCDEFGHI",MOD(10-MOD((VALUE(MID(UPPER(TRIM(D253)),3,1))+VALUE(MID(UPPER(TRIM(D253)),5,1))+VALUE(MID(UPPER(TRIM(D253)),7,1)))+(INT(2*VALUE(MID(UPPER(TRIM(D253)),2,1))/10)+MOD(2*VALUE(MID(UPPER(TRIM(D253)),2,1)),10))+(INT(2*VALUE(MID(UPPER(TRIM(D253)),4,1))/10)+MOD(2*VALUE(MID(UPPER(TRIM(D253)),4,1)),10))+(INT(2*VALUE(MID(UPPER(TRIM(D253)),6,1))/10)+MOD(2*VALUE(MID(UPPER(TRIM(D253)),6,1)),10))+(INT(2*VALUE(MID(UPPER(TRIM(D253)),8,1))/10)+MOD(2*VALUE(MID(UPPER(TRIM(D253)),8,1)),10)),10),10)+1,1)),"OK","REVISAR")),"REVISAR")))</f>
        <v/>
      </c>
      <c r="Q253">
        <f>IF(B253="","",IF(COUNTIFS($B$2:$B$501,B253,$D$2:$D$501,D253)&gt;1,"DUPLICADA",""))</f>
        <v/>
      </c>
      <c r="R253">
        <f>IF(A253="","",ROUNDUP(MONTH(A253)/3,0))</f>
        <v/>
      </c>
      <c r="S253" s="3" t="n"/>
    </row>
    <row r="254">
      <c r="A254" s="2" t="n"/>
      <c r="B254" s="3" t="n"/>
      <c r="C254" s="3" t="n"/>
      <c r="D254" s="3" t="n"/>
      <c r="E254" s="4" t="n"/>
      <c r="F254" s="4" t="n"/>
      <c r="G254" s="4" t="n"/>
      <c r="H254" s="4" t="n"/>
      <c r="I254" s="5">
        <f>IF(E254="","",ROUND(E254*0.21,2))</f>
        <v/>
      </c>
      <c r="J254" s="5">
        <f>IF(F254="","",ROUND(F254*0.1,2))</f>
        <v/>
      </c>
      <c r="K254" s="5">
        <f>IF(G254="","",ROUND(G254*0.04,2))</f>
        <v/>
      </c>
      <c r="L254" s="4" t="n"/>
      <c r="M254" s="4" t="n"/>
      <c r="N254" s="5">
        <f>IF(A254="","",SUM(E254:K254)-N(L254))</f>
        <v/>
      </c>
      <c r="O254">
        <f>IF(OR(A254="",M254=""),"",IF(ABS(M254-N254)&lt;=0.02,"OK","REVISAR"))</f>
        <v/>
      </c>
      <c r="P254">
        <f>IF(D254="","",IF(LEN(TRIM(D254))&lt;&gt;9,"REVISAR",IFERROR(IF(OR(ISNUMBER(VALUE(LEFT(UPPER(TRIM(D254)),1))),LEFT(UPPER(TRIM(D254)),1)="X",LEFT(UPPER(TRIM(D254)),1)="Y",LEFT(UPPER(TRIM(D254)),1)="Z"),IF(MID("TRWAGMYFPDXBNJZSQVHLCKE",MOD(VALUE(SUBSTITUTE(SUBSTITUTE(SUBSTITUTE(LEFT(UPPER(TRIM(D254)),8),"X","0"),"Y","1"),"Z","2")),23)+1,1)=RIGHT(UPPER(TRIM(D254)),1),"OK","REVISAR"),IF(OR(RIGHT(UPPER(TRIM(D254)),1)=TEXT(MOD(10-MOD((VALUE(MID(UPPER(TRIM(D254)),3,1))+VALUE(MID(UPPER(TRIM(D254)),5,1))+VALUE(MID(UPPER(TRIM(D254)),7,1)))+(INT(2*VALUE(MID(UPPER(TRIM(D254)),2,1))/10)+MOD(2*VALUE(MID(UPPER(TRIM(D254)),2,1)),10))+(INT(2*VALUE(MID(UPPER(TRIM(D254)),4,1))/10)+MOD(2*VALUE(MID(UPPER(TRIM(D254)),4,1)),10))+(INT(2*VALUE(MID(UPPER(TRIM(D254)),6,1))/10)+MOD(2*VALUE(MID(UPPER(TRIM(D254)),6,1)),10))+(INT(2*VALUE(MID(UPPER(TRIM(D254)),8,1))/10)+MOD(2*VALUE(MID(UPPER(TRIM(D254)),8,1)),10)),10),10),"0"),RIGHT(UPPER(TRIM(D254)),1)=MID("JABCDEFGHI",MOD(10-MOD((VALUE(MID(UPPER(TRIM(D254)),3,1))+VALUE(MID(UPPER(TRIM(D254)),5,1))+VALUE(MID(UPPER(TRIM(D254)),7,1)))+(INT(2*VALUE(MID(UPPER(TRIM(D254)),2,1))/10)+MOD(2*VALUE(MID(UPPER(TRIM(D254)),2,1)),10))+(INT(2*VALUE(MID(UPPER(TRIM(D254)),4,1))/10)+MOD(2*VALUE(MID(UPPER(TRIM(D254)),4,1)),10))+(INT(2*VALUE(MID(UPPER(TRIM(D254)),6,1))/10)+MOD(2*VALUE(MID(UPPER(TRIM(D254)),6,1)),10))+(INT(2*VALUE(MID(UPPER(TRIM(D254)),8,1))/10)+MOD(2*VALUE(MID(UPPER(TRIM(D254)),8,1)),10)),10),10)+1,1)),"OK","REVISAR")),"REVISAR")))</f>
        <v/>
      </c>
      <c r="Q254">
        <f>IF(B254="","",IF(COUNTIFS($B$2:$B$501,B254,$D$2:$D$501,D254)&gt;1,"DUPLICADA",""))</f>
        <v/>
      </c>
      <c r="R254">
        <f>IF(A254="","",ROUNDUP(MONTH(A254)/3,0))</f>
        <v/>
      </c>
      <c r="S254" s="3" t="n"/>
    </row>
    <row r="255">
      <c r="A255" s="2" t="n"/>
      <c r="B255" s="3" t="n"/>
      <c r="C255" s="3" t="n"/>
      <c r="D255" s="3" t="n"/>
      <c r="E255" s="4" t="n"/>
      <c r="F255" s="4" t="n"/>
      <c r="G255" s="4" t="n"/>
      <c r="H255" s="4" t="n"/>
      <c r="I255" s="5">
        <f>IF(E255="","",ROUND(E255*0.21,2))</f>
        <v/>
      </c>
      <c r="J255" s="5">
        <f>IF(F255="","",ROUND(F255*0.1,2))</f>
        <v/>
      </c>
      <c r="K255" s="5">
        <f>IF(G255="","",ROUND(G255*0.04,2))</f>
        <v/>
      </c>
      <c r="L255" s="4" t="n"/>
      <c r="M255" s="4" t="n"/>
      <c r="N255" s="5">
        <f>IF(A255="","",SUM(E255:K255)-N(L255))</f>
        <v/>
      </c>
      <c r="O255">
        <f>IF(OR(A255="",M255=""),"",IF(ABS(M255-N255)&lt;=0.02,"OK","REVISAR"))</f>
        <v/>
      </c>
      <c r="P255">
        <f>IF(D255="","",IF(LEN(TRIM(D255))&lt;&gt;9,"REVISAR",IFERROR(IF(OR(ISNUMBER(VALUE(LEFT(UPPER(TRIM(D255)),1))),LEFT(UPPER(TRIM(D255)),1)="X",LEFT(UPPER(TRIM(D255)),1)="Y",LEFT(UPPER(TRIM(D255)),1)="Z"),IF(MID("TRWAGMYFPDXBNJZSQVHLCKE",MOD(VALUE(SUBSTITUTE(SUBSTITUTE(SUBSTITUTE(LEFT(UPPER(TRIM(D255)),8),"X","0"),"Y","1"),"Z","2")),23)+1,1)=RIGHT(UPPER(TRIM(D255)),1),"OK","REVISAR"),IF(OR(RIGHT(UPPER(TRIM(D255)),1)=TEXT(MOD(10-MOD((VALUE(MID(UPPER(TRIM(D255)),3,1))+VALUE(MID(UPPER(TRIM(D255)),5,1))+VALUE(MID(UPPER(TRIM(D255)),7,1)))+(INT(2*VALUE(MID(UPPER(TRIM(D255)),2,1))/10)+MOD(2*VALUE(MID(UPPER(TRIM(D255)),2,1)),10))+(INT(2*VALUE(MID(UPPER(TRIM(D255)),4,1))/10)+MOD(2*VALUE(MID(UPPER(TRIM(D255)),4,1)),10))+(INT(2*VALUE(MID(UPPER(TRIM(D255)),6,1))/10)+MOD(2*VALUE(MID(UPPER(TRIM(D255)),6,1)),10))+(INT(2*VALUE(MID(UPPER(TRIM(D255)),8,1))/10)+MOD(2*VALUE(MID(UPPER(TRIM(D255)),8,1)),10)),10),10),"0"),RIGHT(UPPER(TRIM(D255)),1)=MID("JABCDEFGHI",MOD(10-MOD((VALUE(MID(UPPER(TRIM(D255)),3,1))+VALUE(MID(UPPER(TRIM(D255)),5,1))+VALUE(MID(UPPER(TRIM(D255)),7,1)))+(INT(2*VALUE(MID(UPPER(TRIM(D255)),2,1))/10)+MOD(2*VALUE(MID(UPPER(TRIM(D255)),2,1)),10))+(INT(2*VALUE(MID(UPPER(TRIM(D255)),4,1))/10)+MOD(2*VALUE(MID(UPPER(TRIM(D255)),4,1)),10))+(INT(2*VALUE(MID(UPPER(TRIM(D255)),6,1))/10)+MOD(2*VALUE(MID(UPPER(TRIM(D255)),6,1)),10))+(INT(2*VALUE(MID(UPPER(TRIM(D255)),8,1))/10)+MOD(2*VALUE(MID(UPPER(TRIM(D255)),8,1)),10)),10),10)+1,1)),"OK","REVISAR")),"REVISAR")))</f>
        <v/>
      </c>
      <c r="Q255">
        <f>IF(B255="","",IF(COUNTIFS($B$2:$B$501,B255,$D$2:$D$501,D255)&gt;1,"DUPLICADA",""))</f>
        <v/>
      </c>
      <c r="R255">
        <f>IF(A255="","",ROUNDUP(MONTH(A255)/3,0))</f>
        <v/>
      </c>
      <c r="S255" s="3" t="n"/>
    </row>
    <row r="256">
      <c r="A256" s="2" t="n"/>
      <c r="B256" s="3" t="n"/>
      <c r="C256" s="3" t="n"/>
      <c r="D256" s="3" t="n"/>
      <c r="E256" s="4" t="n"/>
      <c r="F256" s="4" t="n"/>
      <c r="G256" s="4" t="n"/>
      <c r="H256" s="4" t="n"/>
      <c r="I256" s="5">
        <f>IF(E256="","",ROUND(E256*0.21,2))</f>
        <v/>
      </c>
      <c r="J256" s="5">
        <f>IF(F256="","",ROUND(F256*0.1,2))</f>
        <v/>
      </c>
      <c r="K256" s="5">
        <f>IF(G256="","",ROUND(G256*0.04,2))</f>
        <v/>
      </c>
      <c r="L256" s="4" t="n"/>
      <c r="M256" s="4" t="n"/>
      <c r="N256" s="5">
        <f>IF(A256="","",SUM(E256:K256)-N(L256))</f>
        <v/>
      </c>
      <c r="O256">
        <f>IF(OR(A256="",M256=""),"",IF(ABS(M256-N256)&lt;=0.02,"OK","REVISAR"))</f>
        <v/>
      </c>
      <c r="P256">
        <f>IF(D256="","",IF(LEN(TRIM(D256))&lt;&gt;9,"REVISAR",IFERROR(IF(OR(ISNUMBER(VALUE(LEFT(UPPER(TRIM(D256)),1))),LEFT(UPPER(TRIM(D256)),1)="X",LEFT(UPPER(TRIM(D256)),1)="Y",LEFT(UPPER(TRIM(D256)),1)="Z"),IF(MID("TRWAGMYFPDXBNJZSQVHLCKE",MOD(VALUE(SUBSTITUTE(SUBSTITUTE(SUBSTITUTE(LEFT(UPPER(TRIM(D256)),8),"X","0"),"Y","1"),"Z","2")),23)+1,1)=RIGHT(UPPER(TRIM(D256)),1),"OK","REVISAR"),IF(OR(RIGHT(UPPER(TRIM(D256)),1)=TEXT(MOD(10-MOD((VALUE(MID(UPPER(TRIM(D256)),3,1))+VALUE(MID(UPPER(TRIM(D256)),5,1))+VALUE(MID(UPPER(TRIM(D256)),7,1)))+(INT(2*VALUE(MID(UPPER(TRIM(D256)),2,1))/10)+MOD(2*VALUE(MID(UPPER(TRIM(D256)),2,1)),10))+(INT(2*VALUE(MID(UPPER(TRIM(D256)),4,1))/10)+MOD(2*VALUE(MID(UPPER(TRIM(D256)),4,1)),10))+(INT(2*VALUE(MID(UPPER(TRIM(D256)),6,1))/10)+MOD(2*VALUE(MID(UPPER(TRIM(D256)),6,1)),10))+(INT(2*VALUE(MID(UPPER(TRIM(D256)),8,1))/10)+MOD(2*VALUE(MID(UPPER(TRIM(D256)),8,1)),10)),10),10),"0"),RIGHT(UPPER(TRIM(D256)),1)=MID("JABCDEFGHI",MOD(10-MOD((VALUE(MID(UPPER(TRIM(D256)),3,1))+VALUE(MID(UPPER(TRIM(D256)),5,1))+VALUE(MID(UPPER(TRIM(D256)),7,1)))+(INT(2*VALUE(MID(UPPER(TRIM(D256)),2,1))/10)+MOD(2*VALUE(MID(UPPER(TRIM(D256)),2,1)),10))+(INT(2*VALUE(MID(UPPER(TRIM(D256)),4,1))/10)+MOD(2*VALUE(MID(UPPER(TRIM(D256)),4,1)),10))+(INT(2*VALUE(MID(UPPER(TRIM(D256)),6,1))/10)+MOD(2*VALUE(MID(UPPER(TRIM(D256)),6,1)),10))+(INT(2*VALUE(MID(UPPER(TRIM(D256)),8,1))/10)+MOD(2*VALUE(MID(UPPER(TRIM(D256)),8,1)),10)),10),10)+1,1)),"OK","REVISAR")),"REVISAR")))</f>
        <v/>
      </c>
      <c r="Q256">
        <f>IF(B256="","",IF(COUNTIFS($B$2:$B$501,B256,$D$2:$D$501,D256)&gt;1,"DUPLICADA",""))</f>
        <v/>
      </c>
      <c r="R256">
        <f>IF(A256="","",ROUNDUP(MONTH(A256)/3,0))</f>
        <v/>
      </c>
      <c r="S256" s="3" t="n"/>
    </row>
    <row r="257">
      <c r="A257" s="2" t="n"/>
      <c r="B257" s="3" t="n"/>
      <c r="C257" s="3" t="n"/>
      <c r="D257" s="3" t="n"/>
      <c r="E257" s="4" t="n"/>
      <c r="F257" s="4" t="n"/>
      <c r="G257" s="4" t="n"/>
      <c r="H257" s="4" t="n"/>
      <c r="I257" s="5">
        <f>IF(E257="","",ROUND(E257*0.21,2))</f>
        <v/>
      </c>
      <c r="J257" s="5">
        <f>IF(F257="","",ROUND(F257*0.1,2))</f>
        <v/>
      </c>
      <c r="K257" s="5">
        <f>IF(G257="","",ROUND(G257*0.04,2))</f>
        <v/>
      </c>
      <c r="L257" s="4" t="n"/>
      <c r="M257" s="4" t="n"/>
      <c r="N257" s="5">
        <f>IF(A257="","",SUM(E257:K257)-N(L257))</f>
        <v/>
      </c>
      <c r="O257">
        <f>IF(OR(A257="",M257=""),"",IF(ABS(M257-N257)&lt;=0.02,"OK","REVISAR"))</f>
        <v/>
      </c>
      <c r="P257">
        <f>IF(D257="","",IF(LEN(TRIM(D257))&lt;&gt;9,"REVISAR",IFERROR(IF(OR(ISNUMBER(VALUE(LEFT(UPPER(TRIM(D257)),1))),LEFT(UPPER(TRIM(D257)),1)="X",LEFT(UPPER(TRIM(D257)),1)="Y",LEFT(UPPER(TRIM(D257)),1)="Z"),IF(MID("TRWAGMYFPDXBNJZSQVHLCKE",MOD(VALUE(SUBSTITUTE(SUBSTITUTE(SUBSTITUTE(LEFT(UPPER(TRIM(D257)),8),"X","0"),"Y","1"),"Z","2")),23)+1,1)=RIGHT(UPPER(TRIM(D257)),1),"OK","REVISAR"),IF(OR(RIGHT(UPPER(TRIM(D257)),1)=TEXT(MOD(10-MOD((VALUE(MID(UPPER(TRIM(D257)),3,1))+VALUE(MID(UPPER(TRIM(D257)),5,1))+VALUE(MID(UPPER(TRIM(D257)),7,1)))+(INT(2*VALUE(MID(UPPER(TRIM(D257)),2,1))/10)+MOD(2*VALUE(MID(UPPER(TRIM(D257)),2,1)),10))+(INT(2*VALUE(MID(UPPER(TRIM(D257)),4,1))/10)+MOD(2*VALUE(MID(UPPER(TRIM(D257)),4,1)),10))+(INT(2*VALUE(MID(UPPER(TRIM(D257)),6,1))/10)+MOD(2*VALUE(MID(UPPER(TRIM(D257)),6,1)),10))+(INT(2*VALUE(MID(UPPER(TRIM(D257)),8,1))/10)+MOD(2*VALUE(MID(UPPER(TRIM(D257)),8,1)),10)),10),10),"0"),RIGHT(UPPER(TRIM(D257)),1)=MID("JABCDEFGHI",MOD(10-MOD((VALUE(MID(UPPER(TRIM(D257)),3,1))+VALUE(MID(UPPER(TRIM(D257)),5,1))+VALUE(MID(UPPER(TRIM(D257)),7,1)))+(INT(2*VALUE(MID(UPPER(TRIM(D257)),2,1))/10)+MOD(2*VALUE(MID(UPPER(TRIM(D257)),2,1)),10))+(INT(2*VALUE(MID(UPPER(TRIM(D257)),4,1))/10)+MOD(2*VALUE(MID(UPPER(TRIM(D257)),4,1)),10))+(INT(2*VALUE(MID(UPPER(TRIM(D257)),6,1))/10)+MOD(2*VALUE(MID(UPPER(TRIM(D257)),6,1)),10))+(INT(2*VALUE(MID(UPPER(TRIM(D257)),8,1))/10)+MOD(2*VALUE(MID(UPPER(TRIM(D257)),8,1)),10)),10),10)+1,1)),"OK","REVISAR")),"REVISAR")))</f>
        <v/>
      </c>
      <c r="Q257">
        <f>IF(B257="","",IF(COUNTIFS($B$2:$B$501,B257,$D$2:$D$501,D257)&gt;1,"DUPLICADA",""))</f>
        <v/>
      </c>
      <c r="R257">
        <f>IF(A257="","",ROUNDUP(MONTH(A257)/3,0))</f>
        <v/>
      </c>
      <c r="S257" s="3" t="n"/>
    </row>
    <row r="258">
      <c r="A258" s="2" t="n"/>
      <c r="B258" s="3" t="n"/>
      <c r="C258" s="3" t="n"/>
      <c r="D258" s="3" t="n"/>
      <c r="E258" s="4" t="n"/>
      <c r="F258" s="4" t="n"/>
      <c r="G258" s="4" t="n"/>
      <c r="H258" s="4" t="n"/>
      <c r="I258" s="5">
        <f>IF(E258="","",ROUND(E258*0.21,2))</f>
        <v/>
      </c>
      <c r="J258" s="5">
        <f>IF(F258="","",ROUND(F258*0.1,2))</f>
        <v/>
      </c>
      <c r="K258" s="5">
        <f>IF(G258="","",ROUND(G258*0.04,2))</f>
        <v/>
      </c>
      <c r="L258" s="4" t="n"/>
      <c r="M258" s="4" t="n"/>
      <c r="N258" s="5">
        <f>IF(A258="","",SUM(E258:K258)-N(L258))</f>
        <v/>
      </c>
      <c r="O258">
        <f>IF(OR(A258="",M258=""),"",IF(ABS(M258-N258)&lt;=0.02,"OK","REVISAR"))</f>
        <v/>
      </c>
      <c r="P258">
        <f>IF(D258="","",IF(LEN(TRIM(D258))&lt;&gt;9,"REVISAR",IFERROR(IF(OR(ISNUMBER(VALUE(LEFT(UPPER(TRIM(D258)),1))),LEFT(UPPER(TRIM(D258)),1)="X",LEFT(UPPER(TRIM(D258)),1)="Y",LEFT(UPPER(TRIM(D258)),1)="Z"),IF(MID("TRWAGMYFPDXBNJZSQVHLCKE",MOD(VALUE(SUBSTITUTE(SUBSTITUTE(SUBSTITUTE(LEFT(UPPER(TRIM(D258)),8),"X","0"),"Y","1"),"Z","2")),23)+1,1)=RIGHT(UPPER(TRIM(D258)),1),"OK","REVISAR"),IF(OR(RIGHT(UPPER(TRIM(D258)),1)=TEXT(MOD(10-MOD((VALUE(MID(UPPER(TRIM(D258)),3,1))+VALUE(MID(UPPER(TRIM(D258)),5,1))+VALUE(MID(UPPER(TRIM(D258)),7,1)))+(INT(2*VALUE(MID(UPPER(TRIM(D258)),2,1))/10)+MOD(2*VALUE(MID(UPPER(TRIM(D258)),2,1)),10))+(INT(2*VALUE(MID(UPPER(TRIM(D258)),4,1))/10)+MOD(2*VALUE(MID(UPPER(TRIM(D258)),4,1)),10))+(INT(2*VALUE(MID(UPPER(TRIM(D258)),6,1))/10)+MOD(2*VALUE(MID(UPPER(TRIM(D258)),6,1)),10))+(INT(2*VALUE(MID(UPPER(TRIM(D258)),8,1))/10)+MOD(2*VALUE(MID(UPPER(TRIM(D258)),8,1)),10)),10),10),"0"),RIGHT(UPPER(TRIM(D258)),1)=MID("JABCDEFGHI",MOD(10-MOD((VALUE(MID(UPPER(TRIM(D258)),3,1))+VALUE(MID(UPPER(TRIM(D258)),5,1))+VALUE(MID(UPPER(TRIM(D258)),7,1)))+(INT(2*VALUE(MID(UPPER(TRIM(D258)),2,1))/10)+MOD(2*VALUE(MID(UPPER(TRIM(D258)),2,1)),10))+(INT(2*VALUE(MID(UPPER(TRIM(D258)),4,1))/10)+MOD(2*VALUE(MID(UPPER(TRIM(D258)),4,1)),10))+(INT(2*VALUE(MID(UPPER(TRIM(D258)),6,1))/10)+MOD(2*VALUE(MID(UPPER(TRIM(D258)),6,1)),10))+(INT(2*VALUE(MID(UPPER(TRIM(D258)),8,1))/10)+MOD(2*VALUE(MID(UPPER(TRIM(D258)),8,1)),10)),10),10)+1,1)),"OK","REVISAR")),"REVISAR")))</f>
        <v/>
      </c>
      <c r="Q258">
        <f>IF(B258="","",IF(COUNTIFS($B$2:$B$501,B258,$D$2:$D$501,D258)&gt;1,"DUPLICADA",""))</f>
        <v/>
      </c>
      <c r="R258">
        <f>IF(A258="","",ROUNDUP(MONTH(A258)/3,0))</f>
        <v/>
      </c>
      <c r="S258" s="3" t="n"/>
    </row>
    <row r="259">
      <c r="A259" s="2" t="n"/>
      <c r="B259" s="3" t="n"/>
      <c r="C259" s="3" t="n"/>
      <c r="D259" s="3" t="n"/>
      <c r="E259" s="4" t="n"/>
      <c r="F259" s="4" t="n"/>
      <c r="G259" s="4" t="n"/>
      <c r="H259" s="4" t="n"/>
      <c r="I259" s="5">
        <f>IF(E259="","",ROUND(E259*0.21,2))</f>
        <v/>
      </c>
      <c r="J259" s="5">
        <f>IF(F259="","",ROUND(F259*0.1,2))</f>
        <v/>
      </c>
      <c r="K259" s="5">
        <f>IF(G259="","",ROUND(G259*0.04,2))</f>
        <v/>
      </c>
      <c r="L259" s="4" t="n"/>
      <c r="M259" s="4" t="n"/>
      <c r="N259" s="5">
        <f>IF(A259="","",SUM(E259:K259)-N(L259))</f>
        <v/>
      </c>
      <c r="O259">
        <f>IF(OR(A259="",M259=""),"",IF(ABS(M259-N259)&lt;=0.02,"OK","REVISAR"))</f>
        <v/>
      </c>
      <c r="P259">
        <f>IF(D259="","",IF(LEN(TRIM(D259))&lt;&gt;9,"REVISAR",IFERROR(IF(OR(ISNUMBER(VALUE(LEFT(UPPER(TRIM(D259)),1))),LEFT(UPPER(TRIM(D259)),1)="X",LEFT(UPPER(TRIM(D259)),1)="Y",LEFT(UPPER(TRIM(D259)),1)="Z"),IF(MID("TRWAGMYFPDXBNJZSQVHLCKE",MOD(VALUE(SUBSTITUTE(SUBSTITUTE(SUBSTITUTE(LEFT(UPPER(TRIM(D259)),8),"X","0"),"Y","1"),"Z","2")),23)+1,1)=RIGHT(UPPER(TRIM(D259)),1),"OK","REVISAR"),IF(OR(RIGHT(UPPER(TRIM(D259)),1)=TEXT(MOD(10-MOD((VALUE(MID(UPPER(TRIM(D259)),3,1))+VALUE(MID(UPPER(TRIM(D259)),5,1))+VALUE(MID(UPPER(TRIM(D259)),7,1)))+(INT(2*VALUE(MID(UPPER(TRIM(D259)),2,1))/10)+MOD(2*VALUE(MID(UPPER(TRIM(D259)),2,1)),10))+(INT(2*VALUE(MID(UPPER(TRIM(D259)),4,1))/10)+MOD(2*VALUE(MID(UPPER(TRIM(D259)),4,1)),10))+(INT(2*VALUE(MID(UPPER(TRIM(D259)),6,1))/10)+MOD(2*VALUE(MID(UPPER(TRIM(D259)),6,1)),10))+(INT(2*VALUE(MID(UPPER(TRIM(D259)),8,1))/10)+MOD(2*VALUE(MID(UPPER(TRIM(D259)),8,1)),10)),10),10),"0"),RIGHT(UPPER(TRIM(D259)),1)=MID("JABCDEFGHI",MOD(10-MOD((VALUE(MID(UPPER(TRIM(D259)),3,1))+VALUE(MID(UPPER(TRIM(D259)),5,1))+VALUE(MID(UPPER(TRIM(D259)),7,1)))+(INT(2*VALUE(MID(UPPER(TRIM(D259)),2,1))/10)+MOD(2*VALUE(MID(UPPER(TRIM(D259)),2,1)),10))+(INT(2*VALUE(MID(UPPER(TRIM(D259)),4,1))/10)+MOD(2*VALUE(MID(UPPER(TRIM(D259)),4,1)),10))+(INT(2*VALUE(MID(UPPER(TRIM(D259)),6,1))/10)+MOD(2*VALUE(MID(UPPER(TRIM(D259)),6,1)),10))+(INT(2*VALUE(MID(UPPER(TRIM(D259)),8,1))/10)+MOD(2*VALUE(MID(UPPER(TRIM(D259)),8,1)),10)),10),10)+1,1)),"OK","REVISAR")),"REVISAR")))</f>
        <v/>
      </c>
      <c r="Q259">
        <f>IF(B259="","",IF(COUNTIFS($B$2:$B$501,B259,$D$2:$D$501,D259)&gt;1,"DUPLICADA",""))</f>
        <v/>
      </c>
      <c r="R259">
        <f>IF(A259="","",ROUNDUP(MONTH(A259)/3,0))</f>
        <v/>
      </c>
      <c r="S259" s="3" t="n"/>
    </row>
    <row r="260">
      <c r="A260" s="2" t="n"/>
      <c r="B260" s="3" t="n"/>
      <c r="C260" s="3" t="n"/>
      <c r="D260" s="3" t="n"/>
      <c r="E260" s="4" t="n"/>
      <c r="F260" s="4" t="n"/>
      <c r="G260" s="4" t="n"/>
      <c r="H260" s="4" t="n"/>
      <c r="I260" s="5">
        <f>IF(E260="","",ROUND(E260*0.21,2))</f>
        <v/>
      </c>
      <c r="J260" s="5">
        <f>IF(F260="","",ROUND(F260*0.1,2))</f>
        <v/>
      </c>
      <c r="K260" s="5">
        <f>IF(G260="","",ROUND(G260*0.04,2))</f>
        <v/>
      </c>
      <c r="L260" s="4" t="n"/>
      <c r="M260" s="4" t="n"/>
      <c r="N260" s="5">
        <f>IF(A260="","",SUM(E260:K260)-N(L260))</f>
        <v/>
      </c>
      <c r="O260">
        <f>IF(OR(A260="",M260=""),"",IF(ABS(M260-N260)&lt;=0.02,"OK","REVISAR"))</f>
        <v/>
      </c>
      <c r="P260">
        <f>IF(D260="","",IF(LEN(TRIM(D260))&lt;&gt;9,"REVISAR",IFERROR(IF(OR(ISNUMBER(VALUE(LEFT(UPPER(TRIM(D260)),1))),LEFT(UPPER(TRIM(D260)),1)="X",LEFT(UPPER(TRIM(D260)),1)="Y",LEFT(UPPER(TRIM(D260)),1)="Z"),IF(MID("TRWAGMYFPDXBNJZSQVHLCKE",MOD(VALUE(SUBSTITUTE(SUBSTITUTE(SUBSTITUTE(LEFT(UPPER(TRIM(D260)),8),"X","0"),"Y","1"),"Z","2")),23)+1,1)=RIGHT(UPPER(TRIM(D260)),1),"OK","REVISAR"),IF(OR(RIGHT(UPPER(TRIM(D260)),1)=TEXT(MOD(10-MOD((VALUE(MID(UPPER(TRIM(D260)),3,1))+VALUE(MID(UPPER(TRIM(D260)),5,1))+VALUE(MID(UPPER(TRIM(D260)),7,1)))+(INT(2*VALUE(MID(UPPER(TRIM(D260)),2,1))/10)+MOD(2*VALUE(MID(UPPER(TRIM(D260)),2,1)),10))+(INT(2*VALUE(MID(UPPER(TRIM(D260)),4,1))/10)+MOD(2*VALUE(MID(UPPER(TRIM(D260)),4,1)),10))+(INT(2*VALUE(MID(UPPER(TRIM(D260)),6,1))/10)+MOD(2*VALUE(MID(UPPER(TRIM(D260)),6,1)),10))+(INT(2*VALUE(MID(UPPER(TRIM(D260)),8,1))/10)+MOD(2*VALUE(MID(UPPER(TRIM(D260)),8,1)),10)),10),10),"0"),RIGHT(UPPER(TRIM(D260)),1)=MID("JABCDEFGHI",MOD(10-MOD((VALUE(MID(UPPER(TRIM(D260)),3,1))+VALUE(MID(UPPER(TRIM(D260)),5,1))+VALUE(MID(UPPER(TRIM(D260)),7,1)))+(INT(2*VALUE(MID(UPPER(TRIM(D260)),2,1))/10)+MOD(2*VALUE(MID(UPPER(TRIM(D260)),2,1)),10))+(INT(2*VALUE(MID(UPPER(TRIM(D260)),4,1))/10)+MOD(2*VALUE(MID(UPPER(TRIM(D260)),4,1)),10))+(INT(2*VALUE(MID(UPPER(TRIM(D260)),6,1))/10)+MOD(2*VALUE(MID(UPPER(TRIM(D260)),6,1)),10))+(INT(2*VALUE(MID(UPPER(TRIM(D260)),8,1))/10)+MOD(2*VALUE(MID(UPPER(TRIM(D260)),8,1)),10)),10),10)+1,1)),"OK","REVISAR")),"REVISAR")))</f>
        <v/>
      </c>
      <c r="Q260">
        <f>IF(B260="","",IF(COUNTIFS($B$2:$B$501,B260,$D$2:$D$501,D260)&gt;1,"DUPLICADA",""))</f>
        <v/>
      </c>
      <c r="R260">
        <f>IF(A260="","",ROUNDUP(MONTH(A260)/3,0))</f>
        <v/>
      </c>
      <c r="S260" s="3" t="n"/>
    </row>
    <row r="261">
      <c r="A261" s="2" t="n"/>
      <c r="B261" s="3" t="n"/>
      <c r="C261" s="3" t="n"/>
      <c r="D261" s="3" t="n"/>
      <c r="E261" s="4" t="n"/>
      <c r="F261" s="4" t="n"/>
      <c r="G261" s="4" t="n"/>
      <c r="H261" s="4" t="n"/>
      <c r="I261" s="5">
        <f>IF(E261="","",ROUND(E261*0.21,2))</f>
        <v/>
      </c>
      <c r="J261" s="5">
        <f>IF(F261="","",ROUND(F261*0.1,2))</f>
        <v/>
      </c>
      <c r="K261" s="5">
        <f>IF(G261="","",ROUND(G261*0.04,2))</f>
        <v/>
      </c>
      <c r="L261" s="4" t="n"/>
      <c r="M261" s="4" t="n"/>
      <c r="N261" s="5">
        <f>IF(A261="","",SUM(E261:K261)-N(L261))</f>
        <v/>
      </c>
      <c r="O261">
        <f>IF(OR(A261="",M261=""),"",IF(ABS(M261-N261)&lt;=0.02,"OK","REVISAR"))</f>
        <v/>
      </c>
      <c r="P261">
        <f>IF(D261="","",IF(LEN(TRIM(D261))&lt;&gt;9,"REVISAR",IFERROR(IF(OR(ISNUMBER(VALUE(LEFT(UPPER(TRIM(D261)),1))),LEFT(UPPER(TRIM(D261)),1)="X",LEFT(UPPER(TRIM(D261)),1)="Y",LEFT(UPPER(TRIM(D261)),1)="Z"),IF(MID("TRWAGMYFPDXBNJZSQVHLCKE",MOD(VALUE(SUBSTITUTE(SUBSTITUTE(SUBSTITUTE(LEFT(UPPER(TRIM(D261)),8),"X","0"),"Y","1"),"Z","2")),23)+1,1)=RIGHT(UPPER(TRIM(D261)),1),"OK","REVISAR"),IF(OR(RIGHT(UPPER(TRIM(D261)),1)=TEXT(MOD(10-MOD((VALUE(MID(UPPER(TRIM(D261)),3,1))+VALUE(MID(UPPER(TRIM(D261)),5,1))+VALUE(MID(UPPER(TRIM(D261)),7,1)))+(INT(2*VALUE(MID(UPPER(TRIM(D261)),2,1))/10)+MOD(2*VALUE(MID(UPPER(TRIM(D261)),2,1)),10))+(INT(2*VALUE(MID(UPPER(TRIM(D261)),4,1))/10)+MOD(2*VALUE(MID(UPPER(TRIM(D261)),4,1)),10))+(INT(2*VALUE(MID(UPPER(TRIM(D261)),6,1))/10)+MOD(2*VALUE(MID(UPPER(TRIM(D261)),6,1)),10))+(INT(2*VALUE(MID(UPPER(TRIM(D261)),8,1))/10)+MOD(2*VALUE(MID(UPPER(TRIM(D261)),8,1)),10)),10),10),"0"),RIGHT(UPPER(TRIM(D261)),1)=MID("JABCDEFGHI",MOD(10-MOD((VALUE(MID(UPPER(TRIM(D261)),3,1))+VALUE(MID(UPPER(TRIM(D261)),5,1))+VALUE(MID(UPPER(TRIM(D261)),7,1)))+(INT(2*VALUE(MID(UPPER(TRIM(D261)),2,1))/10)+MOD(2*VALUE(MID(UPPER(TRIM(D261)),2,1)),10))+(INT(2*VALUE(MID(UPPER(TRIM(D261)),4,1))/10)+MOD(2*VALUE(MID(UPPER(TRIM(D261)),4,1)),10))+(INT(2*VALUE(MID(UPPER(TRIM(D261)),6,1))/10)+MOD(2*VALUE(MID(UPPER(TRIM(D261)),6,1)),10))+(INT(2*VALUE(MID(UPPER(TRIM(D261)),8,1))/10)+MOD(2*VALUE(MID(UPPER(TRIM(D261)),8,1)),10)),10),10)+1,1)),"OK","REVISAR")),"REVISAR")))</f>
        <v/>
      </c>
      <c r="Q261">
        <f>IF(B261="","",IF(COUNTIFS($B$2:$B$501,B261,$D$2:$D$501,D261)&gt;1,"DUPLICADA",""))</f>
        <v/>
      </c>
      <c r="R261">
        <f>IF(A261="","",ROUNDUP(MONTH(A261)/3,0))</f>
        <v/>
      </c>
      <c r="S261" s="3" t="n"/>
    </row>
    <row r="262">
      <c r="A262" s="2" t="n"/>
      <c r="B262" s="3" t="n"/>
      <c r="C262" s="3" t="n"/>
      <c r="D262" s="3" t="n"/>
      <c r="E262" s="4" t="n"/>
      <c r="F262" s="4" t="n"/>
      <c r="G262" s="4" t="n"/>
      <c r="H262" s="4" t="n"/>
      <c r="I262" s="5">
        <f>IF(E262="","",ROUND(E262*0.21,2))</f>
        <v/>
      </c>
      <c r="J262" s="5">
        <f>IF(F262="","",ROUND(F262*0.1,2))</f>
        <v/>
      </c>
      <c r="K262" s="5">
        <f>IF(G262="","",ROUND(G262*0.04,2))</f>
        <v/>
      </c>
      <c r="L262" s="4" t="n"/>
      <c r="M262" s="4" t="n"/>
      <c r="N262" s="5">
        <f>IF(A262="","",SUM(E262:K262)-N(L262))</f>
        <v/>
      </c>
      <c r="O262">
        <f>IF(OR(A262="",M262=""),"",IF(ABS(M262-N262)&lt;=0.02,"OK","REVISAR"))</f>
        <v/>
      </c>
      <c r="P262">
        <f>IF(D262="","",IF(LEN(TRIM(D262))&lt;&gt;9,"REVISAR",IFERROR(IF(OR(ISNUMBER(VALUE(LEFT(UPPER(TRIM(D262)),1))),LEFT(UPPER(TRIM(D262)),1)="X",LEFT(UPPER(TRIM(D262)),1)="Y",LEFT(UPPER(TRIM(D262)),1)="Z"),IF(MID("TRWAGMYFPDXBNJZSQVHLCKE",MOD(VALUE(SUBSTITUTE(SUBSTITUTE(SUBSTITUTE(LEFT(UPPER(TRIM(D262)),8),"X","0"),"Y","1"),"Z","2")),23)+1,1)=RIGHT(UPPER(TRIM(D262)),1),"OK","REVISAR"),IF(OR(RIGHT(UPPER(TRIM(D262)),1)=TEXT(MOD(10-MOD((VALUE(MID(UPPER(TRIM(D262)),3,1))+VALUE(MID(UPPER(TRIM(D262)),5,1))+VALUE(MID(UPPER(TRIM(D262)),7,1)))+(INT(2*VALUE(MID(UPPER(TRIM(D262)),2,1))/10)+MOD(2*VALUE(MID(UPPER(TRIM(D262)),2,1)),10))+(INT(2*VALUE(MID(UPPER(TRIM(D262)),4,1))/10)+MOD(2*VALUE(MID(UPPER(TRIM(D262)),4,1)),10))+(INT(2*VALUE(MID(UPPER(TRIM(D262)),6,1))/10)+MOD(2*VALUE(MID(UPPER(TRIM(D262)),6,1)),10))+(INT(2*VALUE(MID(UPPER(TRIM(D262)),8,1))/10)+MOD(2*VALUE(MID(UPPER(TRIM(D262)),8,1)),10)),10),10),"0"),RIGHT(UPPER(TRIM(D262)),1)=MID("JABCDEFGHI",MOD(10-MOD((VALUE(MID(UPPER(TRIM(D262)),3,1))+VALUE(MID(UPPER(TRIM(D262)),5,1))+VALUE(MID(UPPER(TRIM(D262)),7,1)))+(INT(2*VALUE(MID(UPPER(TRIM(D262)),2,1))/10)+MOD(2*VALUE(MID(UPPER(TRIM(D262)),2,1)),10))+(INT(2*VALUE(MID(UPPER(TRIM(D262)),4,1))/10)+MOD(2*VALUE(MID(UPPER(TRIM(D262)),4,1)),10))+(INT(2*VALUE(MID(UPPER(TRIM(D262)),6,1))/10)+MOD(2*VALUE(MID(UPPER(TRIM(D262)),6,1)),10))+(INT(2*VALUE(MID(UPPER(TRIM(D262)),8,1))/10)+MOD(2*VALUE(MID(UPPER(TRIM(D262)),8,1)),10)),10),10)+1,1)),"OK","REVISAR")),"REVISAR")))</f>
        <v/>
      </c>
      <c r="Q262">
        <f>IF(B262="","",IF(COUNTIFS($B$2:$B$501,B262,$D$2:$D$501,D262)&gt;1,"DUPLICADA",""))</f>
        <v/>
      </c>
      <c r="R262">
        <f>IF(A262="","",ROUNDUP(MONTH(A262)/3,0))</f>
        <v/>
      </c>
      <c r="S262" s="3" t="n"/>
    </row>
    <row r="263">
      <c r="A263" s="2" t="n"/>
      <c r="B263" s="3" t="n"/>
      <c r="C263" s="3" t="n"/>
      <c r="D263" s="3" t="n"/>
      <c r="E263" s="4" t="n"/>
      <c r="F263" s="4" t="n"/>
      <c r="G263" s="4" t="n"/>
      <c r="H263" s="4" t="n"/>
      <c r="I263" s="5">
        <f>IF(E263="","",ROUND(E263*0.21,2))</f>
        <v/>
      </c>
      <c r="J263" s="5">
        <f>IF(F263="","",ROUND(F263*0.1,2))</f>
        <v/>
      </c>
      <c r="K263" s="5">
        <f>IF(G263="","",ROUND(G263*0.04,2))</f>
        <v/>
      </c>
      <c r="L263" s="4" t="n"/>
      <c r="M263" s="4" t="n"/>
      <c r="N263" s="5">
        <f>IF(A263="","",SUM(E263:K263)-N(L263))</f>
        <v/>
      </c>
      <c r="O263">
        <f>IF(OR(A263="",M263=""),"",IF(ABS(M263-N263)&lt;=0.02,"OK","REVISAR"))</f>
        <v/>
      </c>
      <c r="P263">
        <f>IF(D263="","",IF(LEN(TRIM(D263))&lt;&gt;9,"REVISAR",IFERROR(IF(OR(ISNUMBER(VALUE(LEFT(UPPER(TRIM(D263)),1))),LEFT(UPPER(TRIM(D263)),1)="X",LEFT(UPPER(TRIM(D263)),1)="Y",LEFT(UPPER(TRIM(D263)),1)="Z"),IF(MID("TRWAGMYFPDXBNJZSQVHLCKE",MOD(VALUE(SUBSTITUTE(SUBSTITUTE(SUBSTITUTE(LEFT(UPPER(TRIM(D263)),8),"X","0"),"Y","1"),"Z","2")),23)+1,1)=RIGHT(UPPER(TRIM(D263)),1),"OK","REVISAR"),IF(OR(RIGHT(UPPER(TRIM(D263)),1)=TEXT(MOD(10-MOD((VALUE(MID(UPPER(TRIM(D263)),3,1))+VALUE(MID(UPPER(TRIM(D263)),5,1))+VALUE(MID(UPPER(TRIM(D263)),7,1)))+(INT(2*VALUE(MID(UPPER(TRIM(D263)),2,1))/10)+MOD(2*VALUE(MID(UPPER(TRIM(D263)),2,1)),10))+(INT(2*VALUE(MID(UPPER(TRIM(D263)),4,1))/10)+MOD(2*VALUE(MID(UPPER(TRIM(D263)),4,1)),10))+(INT(2*VALUE(MID(UPPER(TRIM(D263)),6,1))/10)+MOD(2*VALUE(MID(UPPER(TRIM(D263)),6,1)),10))+(INT(2*VALUE(MID(UPPER(TRIM(D263)),8,1))/10)+MOD(2*VALUE(MID(UPPER(TRIM(D263)),8,1)),10)),10),10),"0"),RIGHT(UPPER(TRIM(D263)),1)=MID("JABCDEFGHI",MOD(10-MOD((VALUE(MID(UPPER(TRIM(D263)),3,1))+VALUE(MID(UPPER(TRIM(D263)),5,1))+VALUE(MID(UPPER(TRIM(D263)),7,1)))+(INT(2*VALUE(MID(UPPER(TRIM(D263)),2,1))/10)+MOD(2*VALUE(MID(UPPER(TRIM(D263)),2,1)),10))+(INT(2*VALUE(MID(UPPER(TRIM(D263)),4,1))/10)+MOD(2*VALUE(MID(UPPER(TRIM(D263)),4,1)),10))+(INT(2*VALUE(MID(UPPER(TRIM(D263)),6,1))/10)+MOD(2*VALUE(MID(UPPER(TRIM(D263)),6,1)),10))+(INT(2*VALUE(MID(UPPER(TRIM(D263)),8,1))/10)+MOD(2*VALUE(MID(UPPER(TRIM(D263)),8,1)),10)),10),10)+1,1)),"OK","REVISAR")),"REVISAR")))</f>
        <v/>
      </c>
      <c r="Q263">
        <f>IF(B263="","",IF(COUNTIFS($B$2:$B$501,B263,$D$2:$D$501,D263)&gt;1,"DUPLICADA",""))</f>
        <v/>
      </c>
      <c r="R263">
        <f>IF(A263="","",ROUNDUP(MONTH(A263)/3,0))</f>
        <v/>
      </c>
      <c r="S263" s="3" t="n"/>
    </row>
    <row r="264">
      <c r="A264" s="2" t="n"/>
      <c r="B264" s="3" t="n"/>
      <c r="C264" s="3" t="n"/>
      <c r="D264" s="3" t="n"/>
      <c r="E264" s="4" t="n"/>
      <c r="F264" s="4" t="n"/>
      <c r="G264" s="4" t="n"/>
      <c r="H264" s="4" t="n"/>
      <c r="I264" s="5">
        <f>IF(E264="","",ROUND(E264*0.21,2))</f>
        <v/>
      </c>
      <c r="J264" s="5">
        <f>IF(F264="","",ROUND(F264*0.1,2))</f>
        <v/>
      </c>
      <c r="K264" s="5">
        <f>IF(G264="","",ROUND(G264*0.04,2))</f>
        <v/>
      </c>
      <c r="L264" s="4" t="n"/>
      <c r="M264" s="4" t="n"/>
      <c r="N264" s="5">
        <f>IF(A264="","",SUM(E264:K264)-N(L264))</f>
        <v/>
      </c>
      <c r="O264">
        <f>IF(OR(A264="",M264=""),"",IF(ABS(M264-N264)&lt;=0.02,"OK","REVISAR"))</f>
        <v/>
      </c>
      <c r="P264">
        <f>IF(D264="","",IF(LEN(TRIM(D264))&lt;&gt;9,"REVISAR",IFERROR(IF(OR(ISNUMBER(VALUE(LEFT(UPPER(TRIM(D264)),1))),LEFT(UPPER(TRIM(D264)),1)="X",LEFT(UPPER(TRIM(D264)),1)="Y",LEFT(UPPER(TRIM(D264)),1)="Z"),IF(MID("TRWAGMYFPDXBNJZSQVHLCKE",MOD(VALUE(SUBSTITUTE(SUBSTITUTE(SUBSTITUTE(LEFT(UPPER(TRIM(D264)),8),"X","0"),"Y","1"),"Z","2")),23)+1,1)=RIGHT(UPPER(TRIM(D264)),1),"OK","REVISAR"),IF(OR(RIGHT(UPPER(TRIM(D264)),1)=TEXT(MOD(10-MOD((VALUE(MID(UPPER(TRIM(D264)),3,1))+VALUE(MID(UPPER(TRIM(D264)),5,1))+VALUE(MID(UPPER(TRIM(D264)),7,1)))+(INT(2*VALUE(MID(UPPER(TRIM(D264)),2,1))/10)+MOD(2*VALUE(MID(UPPER(TRIM(D264)),2,1)),10))+(INT(2*VALUE(MID(UPPER(TRIM(D264)),4,1))/10)+MOD(2*VALUE(MID(UPPER(TRIM(D264)),4,1)),10))+(INT(2*VALUE(MID(UPPER(TRIM(D264)),6,1))/10)+MOD(2*VALUE(MID(UPPER(TRIM(D264)),6,1)),10))+(INT(2*VALUE(MID(UPPER(TRIM(D264)),8,1))/10)+MOD(2*VALUE(MID(UPPER(TRIM(D264)),8,1)),10)),10),10),"0"),RIGHT(UPPER(TRIM(D264)),1)=MID("JABCDEFGHI",MOD(10-MOD((VALUE(MID(UPPER(TRIM(D264)),3,1))+VALUE(MID(UPPER(TRIM(D264)),5,1))+VALUE(MID(UPPER(TRIM(D264)),7,1)))+(INT(2*VALUE(MID(UPPER(TRIM(D264)),2,1))/10)+MOD(2*VALUE(MID(UPPER(TRIM(D264)),2,1)),10))+(INT(2*VALUE(MID(UPPER(TRIM(D264)),4,1))/10)+MOD(2*VALUE(MID(UPPER(TRIM(D264)),4,1)),10))+(INT(2*VALUE(MID(UPPER(TRIM(D264)),6,1))/10)+MOD(2*VALUE(MID(UPPER(TRIM(D264)),6,1)),10))+(INT(2*VALUE(MID(UPPER(TRIM(D264)),8,1))/10)+MOD(2*VALUE(MID(UPPER(TRIM(D264)),8,1)),10)),10),10)+1,1)),"OK","REVISAR")),"REVISAR")))</f>
        <v/>
      </c>
      <c r="Q264">
        <f>IF(B264="","",IF(COUNTIFS($B$2:$B$501,B264,$D$2:$D$501,D264)&gt;1,"DUPLICADA",""))</f>
        <v/>
      </c>
      <c r="R264">
        <f>IF(A264="","",ROUNDUP(MONTH(A264)/3,0))</f>
        <v/>
      </c>
      <c r="S264" s="3" t="n"/>
    </row>
    <row r="265">
      <c r="A265" s="2" t="n"/>
      <c r="B265" s="3" t="n"/>
      <c r="C265" s="3" t="n"/>
      <c r="D265" s="3" t="n"/>
      <c r="E265" s="4" t="n"/>
      <c r="F265" s="4" t="n"/>
      <c r="G265" s="4" t="n"/>
      <c r="H265" s="4" t="n"/>
      <c r="I265" s="5">
        <f>IF(E265="","",ROUND(E265*0.21,2))</f>
        <v/>
      </c>
      <c r="J265" s="5">
        <f>IF(F265="","",ROUND(F265*0.1,2))</f>
        <v/>
      </c>
      <c r="K265" s="5">
        <f>IF(G265="","",ROUND(G265*0.04,2))</f>
        <v/>
      </c>
      <c r="L265" s="4" t="n"/>
      <c r="M265" s="4" t="n"/>
      <c r="N265" s="5">
        <f>IF(A265="","",SUM(E265:K265)-N(L265))</f>
        <v/>
      </c>
      <c r="O265">
        <f>IF(OR(A265="",M265=""),"",IF(ABS(M265-N265)&lt;=0.02,"OK","REVISAR"))</f>
        <v/>
      </c>
      <c r="P265">
        <f>IF(D265="","",IF(LEN(TRIM(D265))&lt;&gt;9,"REVISAR",IFERROR(IF(OR(ISNUMBER(VALUE(LEFT(UPPER(TRIM(D265)),1))),LEFT(UPPER(TRIM(D265)),1)="X",LEFT(UPPER(TRIM(D265)),1)="Y",LEFT(UPPER(TRIM(D265)),1)="Z"),IF(MID("TRWAGMYFPDXBNJZSQVHLCKE",MOD(VALUE(SUBSTITUTE(SUBSTITUTE(SUBSTITUTE(LEFT(UPPER(TRIM(D265)),8),"X","0"),"Y","1"),"Z","2")),23)+1,1)=RIGHT(UPPER(TRIM(D265)),1),"OK","REVISAR"),IF(OR(RIGHT(UPPER(TRIM(D265)),1)=TEXT(MOD(10-MOD((VALUE(MID(UPPER(TRIM(D265)),3,1))+VALUE(MID(UPPER(TRIM(D265)),5,1))+VALUE(MID(UPPER(TRIM(D265)),7,1)))+(INT(2*VALUE(MID(UPPER(TRIM(D265)),2,1))/10)+MOD(2*VALUE(MID(UPPER(TRIM(D265)),2,1)),10))+(INT(2*VALUE(MID(UPPER(TRIM(D265)),4,1))/10)+MOD(2*VALUE(MID(UPPER(TRIM(D265)),4,1)),10))+(INT(2*VALUE(MID(UPPER(TRIM(D265)),6,1))/10)+MOD(2*VALUE(MID(UPPER(TRIM(D265)),6,1)),10))+(INT(2*VALUE(MID(UPPER(TRIM(D265)),8,1))/10)+MOD(2*VALUE(MID(UPPER(TRIM(D265)),8,1)),10)),10),10),"0"),RIGHT(UPPER(TRIM(D265)),1)=MID("JABCDEFGHI",MOD(10-MOD((VALUE(MID(UPPER(TRIM(D265)),3,1))+VALUE(MID(UPPER(TRIM(D265)),5,1))+VALUE(MID(UPPER(TRIM(D265)),7,1)))+(INT(2*VALUE(MID(UPPER(TRIM(D265)),2,1))/10)+MOD(2*VALUE(MID(UPPER(TRIM(D265)),2,1)),10))+(INT(2*VALUE(MID(UPPER(TRIM(D265)),4,1))/10)+MOD(2*VALUE(MID(UPPER(TRIM(D265)),4,1)),10))+(INT(2*VALUE(MID(UPPER(TRIM(D265)),6,1))/10)+MOD(2*VALUE(MID(UPPER(TRIM(D265)),6,1)),10))+(INT(2*VALUE(MID(UPPER(TRIM(D265)),8,1))/10)+MOD(2*VALUE(MID(UPPER(TRIM(D265)),8,1)),10)),10),10)+1,1)),"OK","REVISAR")),"REVISAR")))</f>
        <v/>
      </c>
      <c r="Q265">
        <f>IF(B265="","",IF(COUNTIFS($B$2:$B$501,B265,$D$2:$D$501,D265)&gt;1,"DUPLICADA",""))</f>
        <v/>
      </c>
      <c r="R265">
        <f>IF(A265="","",ROUNDUP(MONTH(A265)/3,0))</f>
        <v/>
      </c>
      <c r="S265" s="3" t="n"/>
    </row>
    <row r="266">
      <c r="A266" s="2" t="n"/>
      <c r="B266" s="3" t="n"/>
      <c r="C266" s="3" t="n"/>
      <c r="D266" s="3" t="n"/>
      <c r="E266" s="4" t="n"/>
      <c r="F266" s="4" t="n"/>
      <c r="G266" s="4" t="n"/>
      <c r="H266" s="4" t="n"/>
      <c r="I266" s="5">
        <f>IF(E266="","",ROUND(E266*0.21,2))</f>
        <v/>
      </c>
      <c r="J266" s="5">
        <f>IF(F266="","",ROUND(F266*0.1,2))</f>
        <v/>
      </c>
      <c r="K266" s="5">
        <f>IF(G266="","",ROUND(G266*0.04,2))</f>
        <v/>
      </c>
      <c r="L266" s="4" t="n"/>
      <c r="M266" s="4" t="n"/>
      <c r="N266" s="5">
        <f>IF(A266="","",SUM(E266:K266)-N(L266))</f>
        <v/>
      </c>
      <c r="O266">
        <f>IF(OR(A266="",M266=""),"",IF(ABS(M266-N266)&lt;=0.02,"OK","REVISAR"))</f>
        <v/>
      </c>
      <c r="P266">
        <f>IF(D266="","",IF(LEN(TRIM(D266))&lt;&gt;9,"REVISAR",IFERROR(IF(OR(ISNUMBER(VALUE(LEFT(UPPER(TRIM(D266)),1))),LEFT(UPPER(TRIM(D266)),1)="X",LEFT(UPPER(TRIM(D266)),1)="Y",LEFT(UPPER(TRIM(D266)),1)="Z"),IF(MID("TRWAGMYFPDXBNJZSQVHLCKE",MOD(VALUE(SUBSTITUTE(SUBSTITUTE(SUBSTITUTE(LEFT(UPPER(TRIM(D266)),8),"X","0"),"Y","1"),"Z","2")),23)+1,1)=RIGHT(UPPER(TRIM(D266)),1),"OK","REVISAR"),IF(OR(RIGHT(UPPER(TRIM(D266)),1)=TEXT(MOD(10-MOD((VALUE(MID(UPPER(TRIM(D266)),3,1))+VALUE(MID(UPPER(TRIM(D266)),5,1))+VALUE(MID(UPPER(TRIM(D266)),7,1)))+(INT(2*VALUE(MID(UPPER(TRIM(D266)),2,1))/10)+MOD(2*VALUE(MID(UPPER(TRIM(D266)),2,1)),10))+(INT(2*VALUE(MID(UPPER(TRIM(D266)),4,1))/10)+MOD(2*VALUE(MID(UPPER(TRIM(D266)),4,1)),10))+(INT(2*VALUE(MID(UPPER(TRIM(D266)),6,1))/10)+MOD(2*VALUE(MID(UPPER(TRIM(D266)),6,1)),10))+(INT(2*VALUE(MID(UPPER(TRIM(D266)),8,1))/10)+MOD(2*VALUE(MID(UPPER(TRIM(D266)),8,1)),10)),10),10),"0"),RIGHT(UPPER(TRIM(D266)),1)=MID("JABCDEFGHI",MOD(10-MOD((VALUE(MID(UPPER(TRIM(D266)),3,1))+VALUE(MID(UPPER(TRIM(D266)),5,1))+VALUE(MID(UPPER(TRIM(D266)),7,1)))+(INT(2*VALUE(MID(UPPER(TRIM(D266)),2,1))/10)+MOD(2*VALUE(MID(UPPER(TRIM(D266)),2,1)),10))+(INT(2*VALUE(MID(UPPER(TRIM(D266)),4,1))/10)+MOD(2*VALUE(MID(UPPER(TRIM(D266)),4,1)),10))+(INT(2*VALUE(MID(UPPER(TRIM(D266)),6,1))/10)+MOD(2*VALUE(MID(UPPER(TRIM(D266)),6,1)),10))+(INT(2*VALUE(MID(UPPER(TRIM(D266)),8,1))/10)+MOD(2*VALUE(MID(UPPER(TRIM(D266)),8,1)),10)),10),10)+1,1)),"OK","REVISAR")),"REVISAR")))</f>
        <v/>
      </c>
      <c r="Q266">
        <f>IF(B266="","",IF(COUNTIFS($B$2:$B$501,B266,$D$2:$D$501,D266)&gt;1,"DUPLICADA",""))</f>
        <v/>
      </c>
      <c r="R266">
        <f>IF(A266="","",ROUNDUP(MONTH(A266)/3,0))</f>
        <v/>
      </c>
      <c r="S266" s="3" t="n"/>
    </row>
    <row r="267">
      <c r="A267" s="2" t="n"/>
      <c r="B267" s="3" t="n"/>
      <c r="C267" s="3" t="n"/>
      <c r="D267" s="3" t="n"/>
      <c r="E267" s="4" t="n"/>
      <c r="F267" s="4" t="n"/>
      <c r="G267" s="4" t="n"/>
      <c r="H267" s="4" t="n"/>
      <c r="I267" s="5">
        <f>IF(E267="","",ROUND(E267*0.21,2))</f>
        <v/>
      </c>
      <c r="J267" s="5">
        <f>IF(F267="","",ROUND(F267*0.1,2))</f>
        <v/>
      </c>
      <c r="K267" s="5">
        <f>IF(G267="","",ROUND(G267*0.04,2))</f>
        <v/>
      </c>
      <c r="L267" s="4" t="n"/>
      <c r="M267" s="4" t="n"/>
      <c r="N267" s="5">
        <f>IF(A267="","",SUM(E267:K267)-N(L267))</f>
        <v/>
      </c>
      <c r="O267">
        <f>IF(OR(A267="",M267=""),"",IF(ABS(M267-N267)&lt;=0.02,"OK","REVISAR"))</f>
        <v/>
      </c>
      <c r="P267">
        <f>IF(D267="","",IF(LEN(TRIM(D267))&lt;&gt;9,"REVISAR",IFERROR(IF(OR(ISNUMBER(VALUE(LEFT(UPPER(TRIM(D267)),1))),LEFT(UPPER(TRIM(D267)),1)="X",LEFT(UPPER(TRIM(D267)),1)="Y",LEFT(UPPER(TRIM(D267)),1)="Z"),IF(MID("TRWAGMYFPDXBNJZSQVHLCKE",MOD(VALUE(SUBSTITUTE(SUBSTITUTE(SUBSTITUTE(LEFT(UPPER(TRIM(D267)),8),"X","0"),"Y","1"),"Z","2")),23)+1,1)=RIGHT(UPPER(TRIM(D267)),1),"OK","REVISAR"),IF(OR(RIGHT(UPPER(TRIM(D267)),1)=TEXT(MOD(10-MOD((VALUE(MID(UPPER(TRIM(D267)),3,1))+VALUE(MID(UPPER(TRIM(D267)),5,1))+VALUE(MID(UPPER(TRIM(D267)),7,1)))+(INT(2*VALUE(MID(UPPER(TRIM(D267)),2,1))/10)+MOD(2*VALUE(MID(UPPER(TRIM(D267)),2,1)),10))+(INT(2*VALUE(MID(UPPER(TRIM(D267)),4,1))/10)+MOD(2*VALUE(MID(UPPER(TRIM(D267)),4,1)),10))+(INT(2*VALUE(MID(UPPER(TRIM(D267)),6,1))/10)+MOD(2*VALUE(MID(UPPER(TRIM(D267)),6,1)),10))+(INT(2*VALUE(MID(UPPER(TRIM(D267)),8,1))/10)+MOD(2*VALUE(MID(UPPER(TRIM(D267)),8,1)),10)),10),10),"0"),RIGHT(UPPER(TRIM(D267)),1)=MID("JABCDEFGHI",MOD(10-MOD((VALUE(MID(UPPER(TRIM(D267)),3,1))+VALUE(MID(UPPER(TRIM(D267)),5,1))+VALUE(MID(UPPER(TRIM(D267)),7,1)))+(INT(2*VALUE(MID(UPPER(TRIM(D267)),2,1))/10)+MOD(2*VALUE(MID(UPPER(TRIM(D267)),2,1)),10))+(INT(2*VALUE(MID(UPPER(TRIM(D267)),4,1))/10)+MOD(2*VALUE(MID(UPPER(TRIM(D267)),4,1)),10))+(INT(2*VALUE(MID(UPPER(TRIM(D267)),6,1))/10)+MOD(2*VALUE(MID(UPPER(TRIM(D267)),6,1)),10))+(INT(2*VALUE(MID(UPPER(TRIM(D267)),8,1))/10)+MOD(2*VALUE(MID(UPPER(TRIM(D267)),8,1)),10)),10),10)+1,1)),"OK","REVISAR")),"REVISAR")))</f>
        <v/>
      </c>
      <c r="Q267">
        <f>IF(B267="","",IF(COUNTIFS($B$2:$B$501,B267,$D$2:$D$501,D267)&gt;1,"DUPLICADA",""))</f>
        <v/>
      </c>
      <c r="R267">
        <f>IF(A267="","",ROUNDUP(MONTH(A267)/3,0))</f>
        <v/>
      </c>
      <c r="S267" s="3" t="n"/>
    </row>
    <row r="268">
      <c r="A268" s="2" t="n"/>
      <c r="B268" s="3" t="n"/>
      <c r="C268" s="3" t="n"/>
      <c r="D268" s="3" t="n"/>
      <c r="E268" s="4" t="n"/>
      <c r="F268" s="4" t="n"/>
      <c r="G268" s="4" t="n"/>
      <c r="H268" s="4" t="n"/>
      <c r="I268" s="5">
        <f>IF(E268="","",ROUND(E268*0.21,2))</f>
        <v/>
      </c>
      <c r="J268" s="5">
        <f>IF(F268="","",ROUND(F268*0.1,2))</f>
        <v/>
      </c>
      <c r="K268" s="5">
        <f>IF(G268="","",ROUND(G268*0.04,2))</f>
        <v/>
      </c>
      <c r="L268" s="4" t="n"/>
      <c r="M268" s="4" t="n"/>
      <c r="N268" s="5">
        <f>IF(A268="","",SUM(E268:K268)-N(L268))</f>
        <v/>
      </c>
      <c r="O268">
        <f>IF(OR(A268="",M268=""),"",IF(ABS(M268-N268)&lt;=0.02,"OK","REVISAR"))</f>
        <v/>
      </c>
      <c r="P268">
        <f>IF(D268="","",IF(LEN(TRIM(D268))&lt;&gt;9,"REVISAR",IFERROR(IF(OR(ISNUMBER(VALUE(LEFT(UPPER(TRIM(D268)),1))),LEFT(UPPER(TRIM(D268)),1)="X",LEFT(UPPER(TRIM(D268)),1)="Y",LEFT(UPPER(TRIM(D268)),1)="Z"),IF(MID("TRWAGMYFPDXBNJZSQVHLCKE",MOD(VALUE(SUBSTITUTE(SUBSTITUTE(SUBSTITUTE(LEFT(UPPER(TRIM(D268)),8),"X","0"),"Y","1"),"Z","2")),23)+1,1)=RIGHT(UPPER(TRIM(D268)),1),"OK","REVISAR"),IF(OR(RIGHT(UPPER(TRIM(D268)),1)=TEXT(MOD(10-MOD((VALUE(MID(UPPER(TRIM(D268)),3,1))+VALUE(MID(UPPER(TRIM(D268)),5,1))+VALUE(MID(UPPER(TRIM(D268)),7,1)))+(INT(2*VALUE(MID(UPPER(TRIM(D268)),2,1))/10)+MOD(2*VALUE(MID(UPPER(TRIM(D268)),2,1)),10))+(INT(2*VALUE(MID(UPPER(TRIM(D268)),4,1))/10)+MOD(2*VALUE(MID(UPPER(TRIM(D268)),4,1)),10))+(INT(2*VALUE(MID(UPPER(TRIM(D268)),6,1))/10)+MOD(2*VALUE(MID(UPPER(TRIM(D268)),6,1)),10))+(INT(2*VALUE(MID(UPPER(TRIM(D268)),8,1))/10)+MOD(2*VALUE(MID(UPPER(TRIM(D268)),8,1)),10)),10),10),"0"),RIGHT(UPPER(TRIM(D268)),1)=MID("JABCDEFGHI",MOD(10-MOD((VALUE(MID(UPPER(TRIM(D268)),3,1))+VALUE(MID(UPPER(TRIM(D268)),5,1))+VALUE(MID(UPPER(TRIM(D268)),7,1)))+(INT(2*VALUE(MID(UPPER(TRIM(D268)),2,1))/10)+MOD(2*VALUE(MID(UPPER(TRIM(D268)),2,1)),10))+(INT(2*VALUE(MID(UPPER(TRIM(D268)),4,1))/10)+MOD(2*VALUE(MID(UPPER(TRIM(D268)),4,1)),10))+(INT(2*VALUE(MID(UPPER(TRIM(D268)),6,1))/10)+MOD(2*VALUE(MID(UPPER(TRIM(D268)),6,1)),10))+(INT(2*VALUE(MID(UPPER(TRIM(D268)),8,1))/10)+MOD(2*VALUE(MID(UPPER(TRIM(D268)),8,1)),10)),10),10)+1,1)),"OK","REVISAR")),"REVISAR")))</f>
        <v/>
      </c>
      <c r="Q268">
        <f>IF(B268="","",IF(COUNTIFS($B$2:$B$501,B268,$D$2:$D$501,D268)&gt;1,"DUPLICADA",""))</f>
        <v/>
      </c>
      <c r="R268">
        <f>IF(A268="","",ROUNDUP(MONTH(A268)/3,0))</f>
        <v/>
      </c>
      <c r="S268" s="3" t="n"/>
    </row>
    <row r="269">
      <c r="A269" s="2" t="n"/>
      <c r="B269" s="3" t="n"/>
      <c r="C269" s="3" t="n"/>
      <c r="D269" s="3" t="n"/>
      <c r="E269" s="4" t="n"/>
      <c r="F269" s="4" t="n"/>
      <c r="G269" s="4" t="n"/>
      <c r="H269" s="4" t="n"/>
      <c r="I269" s="5">
        <f>IF(E269="","",ROUND(E269*0.21,2))</f>
        <v/>
      </c>
      <c r="J269" s="5">
        <f>IF(F269="","",ROUND(F269*0.1,2))</f>
        <v/>
      </c>
      <c r="K269" s="5">
        <f>IF(G269="","",ROUND(G269*0.04,2))</f>
        <v/>
      </c>
      <c r="L269" s="4" t="n"/>
      <c r="M269" s="4" t="n"/>
      <c r="N269" s="5">
        <f>IF(A269="","",SUM(E269:K269)-N(L269))</f>
        <v/>
      </c>
      <c r="O269">
        <f>IF(OR(A269="",M269=""),"",IF(ABS(M269-N269)&lt;=0.02,"OK","REVISAR"))</f>
        <v/>
      </c>
      <c r="P269">
        <f>IF(D269="","",IF(LEN(TRIM(D269))&lt;&gt;9,"REVISAR",IFERROR(IF(OR(ISNUMBER(VALUE(LEFT(UPPER(TRIM(D269)),1))),LEFT(UPPER(TRIM(D269)),1)="X",LEFT(UPPER(TRIM(D269)),1)="Y",LEFT(UPPER(TRIM(D269)),1)="Z"),IF(MID("TRWAGMYFPDXBNJZSQVHLCKE",MOD(VALUE(SUBSTITUTE(SUBSTITUTE(SUBSTITUTE(LEFT(UPPER(TRIM(D269)),8),"X","0"),"Y","1"),"Z","2")),23)+1,1)=RIGHT(UPPER(TRIM(D269)),1),"OK","REVISAR"),IF(OR(RIGHT(UPPER(TRIM(D269)),1)=TEXT(MOD(10-MOD((VALUE(MID(UPPER(TRIM(D269)),3,1))+VALUE(MID(UPPER(TRIM(D269)),5,1))+VALUE(MID(UPPER(TRIM(D269)),7,1)))+(INT(2*VALUE(MID(UPPER(TRIM(D269)),2,1))/10)+MOD(2*VALUE(MID(UPPER(TRIM(D269)),2,1)),10))+(INT(2*VALUE(MID(UPPER(TRIM(D269)),4,1))/10)+MOD(2*VALUE(MID(UPPER(TRIM(D269)),4,1)),10))+(INT(2*VALUE(MID(UPPER(TRIM(D269)),6,1))/10)+MOD(2*VALUE(MID(UPPER(TRIM(D269)),6,1)),10))+(INT(2*VALUE(MID(UPPER(TRIM(D269)),8,1))/10)+MOD(2*VALUE(MID(UPPER(TRIM(D269)),8,1)),10)),10),10),"0"),RIGHT(UPPER(TRIM(D269)),1)=MID("JABCDEFGHI",MOD(10-MOD((VALUE(MID(UPPER(TRIM(D269)),3,1))+VALUE(MID(UPPER(TRIM(D269)),5,1))+VALUE(MID(UPPER(TRIM(D269)),7,1)))+(INT(2*VALUE(MID(UPPER(TRIM(D269)),2,1))/10)+MOD(2*VALUE(MID(UPPER(TRIM(D269)),2,1)),10))+(INT(2*VALUE(MID(UPPER(TRIM(D269)),4,1))/10)+MOD(2*VALUE(MID(UPPER(TRIM(D269)),4,1)),10))+(INT(2*VALUE(MID(UPPER(TRIM(D269)),6,1))/10)+MOD(2*VALUE(MID(UPPER(TRIM(D269)),6,1)),10))+(INT(2*VALUE(MID(UPPER(TRIM(D269)),8,1))/10)+MOD(2*VALUE(MID(UPPER(TRIM(D269)),8,1)),10)),10),10)+1,1)),"OK","REVISAR")),"REVISAR")))</f>
        <v/>
      </c>
      <c r="Q269">
        <f>IF(B269="","",IF(COUNTIFS($B$2:$B$501,B269,$D$2:$D$501,D269)&gt;1,"DUPLICADA",""))</f>
        <v/>
      </c>
      <c r="R269">
        <f>IF(A269="","",ROUNDUP(MONTH(A269)/3,0))</f>
        <v/>
      </c>
      <c r="S269" s="3" t="n"/>
    </row>
    <row r="270">
      <c r="A270" s="2" t="n"/>
      <c r="B270" s="3" t="n"/>
      <c r="C270" s="3" t="n"/>
      <c r="D270" s="3" t="n"/>
      <c r="E270" s="4" t="n"/>
      <c r="F270" s="4" t="n"/>
      <c r="G270" s="4" t="n"/>
      <c r="H270" s="4" t="n"/>
      <c r="I270" s="5">
        <f>IF(E270="","",ROUND(E270*0.21,2))</f>
        <v/>
      </c>
      <c r="J270" s="5">
        <f>IF(F270="","",ROUND(F270*0.1,2))</f>
        <v/>
      </c>
      <c r="K270" s="5">
        <f>IF(G270="","",ROUND(G270*0.04,2))</f>
        <v/>
      </c>
      <c r="L270" s="4" t="n"/>
      <c r="M270" s="4" t="n"/>
      <c r="N270" s="5">
        <f>IF(A270="","",SUM(E270:K270)-N(L270))</f>
        <v/>
      </c>
      <c r="O270">
        <f>IF(OR(A270="",M270=""),"",IF(ABS(M270-N270)&lt;=0.02,"OK","REVISAR"))</f>
        <v/>
      </c>
      <c r="P270">
        <f>IF(D270="","",IF(LEN(TRIM(D270))&lt;&gt;9,"REVISAR",IFERROR(IF(OR(ISNUMBER(VALUE(LEFT(UPPER(TRIM(D270)),1))),LEFT(UPPER(TRIM(D270)),1)="X",LEFT(UPPER(TRIM(D270)),1)="Y",LEFT(UPPER(TRIM(D270)),1)="Z"),IF(MID("TRWAGMYFPDXBNJZSQVHLCKE",MOD(VALUE(SUBSTITUTE(SUBSTITUTE(SUBSTITUTE(LEFT(UPPER(TRIM(D270)),8),"X","0"),"Y","1"),"Z","2")),23)+1,1)=RIGHT(UPPER(TRIM(D270)),1),"OK","REVISAR"),IF(OR(RIGHT(UPPER(TRIM(D270)),1)=TEXT(MOD(10-MOD((VALUE(MID(UPPER(TRIM(D270)),3,1))+VALUE(MID(UPPER(TRIM(D270)),5,1))+VALUE(MID(UPPER(TRIM(D270)),7,1)))+(INT(2*VALUE(MID(UPPER(TRIM(D270)),2,1))/10)+MOD(2*VALUE(MID(UPPER(TRIM(D270)),2,1)),10))+(INT(2*VALUE(MID(UPPER(TRIM(D270)),4,1))/10)+MOD(2*VALUE(MID(UPPER(TRIM(D270)),4,1)),10))+(INT(2*VALUE(MID(UPPER(TRIM(D270)),6,1))/10)+MOD(2*VALUE(MID(UPPER(TRIM(D270)),6,1)),10))+(INT(2*VALUE(MID(UPPER(TRIM(D270)),8,1))/10)+MOD(2*VALUE(MID(UPPER(TRIM(D270)),8,1)),10)),10),10),"0"),RIGHT(UPPER(TRIM(D270)),1)=MID("JABCDEFGHI",MOD(10-MOD((VALUE(MID(UPPER(TRIM(D270)),3,1))+VALUE(MID(UPPER(TRIM(D270)),5,1))+VALUE(MID(UPPER(TRIM(D270)),7,1)))+(INT(2*VALUE(MID(UPPER(TRIM(D270)),2,1))/10)+MOD(2*VALUE(MID(UPPER(TRIM(D270)),2,1)),10))+(INT(2*VALUE(MID(UPPER(TRIM(D270)),4,1))/10)+MOD(2*VALUE(MID(UPPER(TRIM(D270)),4,1)),10))+(INT(2*VALUE(MID(UPPER(TRIM(D270)),6,1))/10)+MOD(2*VALUE(MID(UPPER(TRIM(D270)),6,1)),10))+(INT(2*VALUE(MID(UPPER(TRIM(D270)),8,1))/10)+MOD(2*VALUE(MID(UPPER(TRIM(D270)),8,1)),10)),10),10)+1,1)),"OK","REVISAR")),"REVISAR")))</f>
        <v/>
      </c>
      <c r="Q270">
        <f>IF(B270="","",IF(COUNTIFS($B$2:$B$501,B270,$D$2:$D$501,D270)&gt;1,"DUPLICADA",""))</f>
        <v/>
      </c>
      <c r="R270">
        <f>IF(A270="","",ROUNDUP(MONTH(A270)/3,0))</f>
        <v/>
      </c>
      <c r="S270" s="3" t="n"/>
    </row>
    <row r="271">
      <c r="A271" s="2" t="n"/>
      <c r="B271" s="3" t="n"/>
      <c r="C271" s="3" t="n"/>
      <c r="D271" s="3" t="n"/>
      <c r="E271" s="4" t="n"/>
      <c r="F271" s="4" t="n"/>
      <c r="G271" s="4" t="n"/>
      <c r="H271" s="4" t="n"/>
      <c r="I271" s="5">
        <f>IF(E271="","",ROUND(E271*0.21,2))</f>
        <v/>
      </c>
      <c r="J271" s="5">
        <f>IF(F271="","",ROUND(F271*0.1,2))</f>
        <v/>
      </c>
      <c r="K271" s="5">
        <f>IF(G271="","",ROUND(G271*0.04,2))</f>
        <v/>
      </c>
      <c r="L271" s="4" t="n"/>
      <c r="M271" s="4" t="n"/>
      <c r="N271" s="5">
        <f>IF(A271="","",SUM(E271:K271)-N(L271))</f>
        <v/>
      </c>
      <c r="O271">
        <f>IF(OR(A271="",M271=""),"",IF(ABS(M271-N271)&lt;=0.02,"OK","REVISAR"))</f>
        <v/>
      </c>
      <c r="P271">
        <f>IF(D271="","",IF(LEN(TRIM(D271))&lt;&gt;9,"REVISAR",IFERROR(IF(OR(ISNUMBER(VALUE(LEFT(UPPER(TRIM(D271)),1))),LEFT(UPPER(TRIM(D271)),1)="X",LEFT(UPPER(TRIM(D271)),1)="Y",LEFT(UPPER(TRIM(D271)),1)="Z"),IF(MID("TRWAGMYFPDXBNJZSQVHLCKE",MOD(VALUE(SUBSTITUTE(SUBSTITUTE(SUBSTITUTE(LEFT(UPPER(TRIM(D271)),8),"X","0"),"Y","1"),"Z","2")),23)+1,1)=RIGHT(UPPER(TRIM(D271)),1),"OK","REVISAR"),IF(OR(RIGHT(UPPER(TRIM(D271)),1)=TEXT(MOD(10-MOD((VALUE(MID(UPPER(TRIM(D271)),3,1))+VALUE(MID(UPPER(TRIM(D271)),5,1))+VALUE(MID(UPPER(TRIM(D271)),7,1)))+(INT(2*VALUE(MID(UPPER(TRIM(D271)),2,1))/10)+MOD(2*VALUE(MID(UPPER(TRIM(D271)),2,1)),10))+(INT(2*VALUE(MID(UPPER(TRIM(D271)),4,1))/10)+MOD(2*VALUE(MID(UPPER(TRIM(D271)),4,1)),10))+(INT(2*VALUE(MID(UPPER(TRIM(D271)),6,1))/10)+MOD(2*VALUE(MID(UPPER(TRIM(D271)),6,1)),10))+(INT(2*VALUE(MID(UPPER(TRIM(D271)),8,1))/10)+MOD(2*VALUE(MID(UPPER(TRIM(D271)),8,1)),10)),10),10),"0"),RIGHT(UPPER(TRIM(D271)),1)=MID("JABCDEFGHI",MOD(10-MOD((VALUE(MID(UPPER(TRIM(D271)),3,1))+VALUE(MID(UPPER(TRIM(D271)),5,1))+VALUE(MID(UPPER(TRIM(D271)),7,1)))+(INT(2*VALUE(MID(UPPER(TRIM(D271)),2,1))/10)+MOD(2*VALUE(MID(UPPER(TRIM(D271)),2,1)),10))+(INT(2*VALUE(MID(UPPER(TRIM(D271)),4,1))/10)+MOD(2*VALUE(MID(UPPER(TRIM(D271)),4,1)),10))+(INT(2*VALUE(MID(UPPER(TRIM(D271)),6,1))/10)+MOD(2*VALUE(MID(UPPER(TRIM(D271)),6,1)),10))+(INT(2*VALUE(MID(UPPER(TRIM(D271)),8,1))/10)+MOD(2*VALUE(MID(UPPER(TRIM(D271)),8,1)),10)),10),10)+1,1)),"OK","REVISAR")),"REVISAR")))</f>
        <v/>
      </c>
      <c r="Q271">
        <f>IF(B271="","",IF(COUNTIFS($B$2:$B$501,B271,$D$2:$D$501,D271)&gt;1,"DUPLICADA",""))</f>
        <v/>
      </c>
      <c r="R271">
        <f>IF(A271="","",ROUNDUP(MONTH(A271)/3,0))</f>
        <v/>
      </c>
      <c r="S271" s="3" t="n"/>
    </row>
    <row r="272">
      <c r="A272" s="2" t="n"/>
      <c r="B272" s="3" t="n"/>
      <c r="C272" s="3" t="n"/>
      <c r="D272" s="3" t="n"/>
      <c r="E272" s="4" t="n"/>
      <c r="F272" s="4" t="n"/>
      <c r="G272" s="4" t="n"/>
      <c r="H272" s="4" t="n"/>
      <c r="I272" s="5">
        <f>IF(E272="","",ROUND(E272*0.21,2))</f>
        <v/>
      </c>
      <c r="J272" s="5">
        <f>IF(F272="","",ROUND(F272*0.1,2))</f>
        <v/>
      </c>
      <c r="K272" s="5">
        <f>IF(G272="","",ROUND(G272*0.04,2))</f>
        <v/>
      </c>
      <c r="L272" s="4" t="n"/>
      <c r="M272" s="4" t="n"/>
      <c r="N272" s="5">
        <f>IF(A272="","",SUM(E272:K272)-N(L272))</f>
        <v/>
      </c>
      <c r="O272">
        <f>IF(OR(A272="",M272=""),"",IF(ABS(M272-N272)&lt;=0.02,"OK","REVISAR"))</f>
        <v/>
      </c>
      <c r="P272">
        <f>IF(D272="","",IF(LEN(TRIM(D272))&lt;&gt;9,"REVISAR",IFERROR(IF(OR(ISNUMBER(VALUE(LEFT(UPPER(TRIM(D272)),1))),LEFT(UPPER(TRIM(D272)),1)="X",LEFT(UPPER(TRIM(D272)),1)="Y",LEFT(UPPER(TRIM(D272)),1)="Z"),IF(MID("TRWAGMYFPDXBNJZSQVHLCKE",MOD(VALUE(SUBSTITUTE(SUBSTITUTE(SUBSTITUTE(LEFT(UPPER(TRIM(D272)),8),"X","0"),"Y","1"),"Z","2")),23)+1,1)=RIGHT(UPPER(TRIM(D272)),1),"OK","REVISAR"),IF(OR(RIGHT(UPPER(TRIM(D272)),1)=TEXT(MOD(10-MOD((VALUE(MID(UPPER(TRIM(D272)),3,1))+VALUE(MID(UPPER(TRIM(D272)),5,1))+VALUE(MID(UPPER(TRIM(D272)),7,1)))+(INT(2*VALUE(MID(UPPER(TRIM(D272)),2,1))/10)+MOD(2*VALUE(MID(UPPER(TRIM(D272)),2,1)),10))+(INT(2*VALUE(MID(UPPER(TRIM(D272)),4,1))/10)+MOD(2*VALUE(MID(UPPER(TRIM(D272)),4,1)),10))+(INT(2*VALUE(MID(UPPER(TRIM(D272)),6,1))/10)+MOD(2*VALUE(MID(UPPER(TRIM(D272)),6,1)),10))+(INT(2*VALUE(MID(UPPER(TRIM(D272)),8,1))/10)+MOD(2*VALUE(MID(UPPER(TRIM(D272)),8,1)),10)),10),10),"0"),RIGHT(UPPER(TRIM(D272)),1)=MID("JABCDEFGHI",MOD(10-MOD((VALUE(MID(UPPER(TRIM(D272)),3,1))+VALUE(MID(UPPER(TRIM(D272)),5,1))+VALUE(MID(UPPER(TRIM(D272)),7,1)))+(INT(2*VALUE(MID(UPPER(TRIM(D272)),2,1))/10)+MOD(2*VALUE(MID(UPPER(TRIM(D272)),2,1)),10))+(INT(2*VALUE(MID(UPPER(TRIM(D272)),4,1))/10)+MOD(2*VALUE(MID(UPPER(TRIM(D272)),4,1)),10))+(INT(2*VALUE(MID(UPPER(TRIM(D272)),6,1))/10)+MOD(2*VALUE(MID(UPPER(TRIM(D272)),6,1)),10))+(INT(2*VALUE(MID(UPPER(TRIM(D272)),8,1))/10)+MOD(2*VALUE(MID(UPPER(TRIM(D272)),8,1)),10)),10),10)+1,1)),"OK","REVISAR")),"REVISAR")))</f>
        <v/>
      </c>
      <c r="Q272">
        <f>IF(B272="","",IF(COUNTIFS($B$2:$B$501,B272,$D$2:$D$501,D272)&gt;1,"DUPLICADA",""))</f>
        <v/>
      </c>
      <c r="R272">
        <f>IF(A272="","",ROUNDUP(MONTH(A272)/3,0))</f>
        <v/>
      </c>
      <c r="S272" s="3" t="n"/>
    </row>
    <row r="273">
      <c r="A273" s="2" t="n"/>
      <c r="B273" s="3" t="n"/>
      <c r="C273" s="3" t="n"/>
      <c r="D273" s="3" t="n"/>
      <c r="E273" s="4" t="n"/>
      <c r="F273" s="4" t="n"/>
      <c r="G273" s="4" t="n"/>
      <c r="H273" s="4" t="n"/>
      <c r="I273" s="5">
        <f>IF(E273="","",ROUND(E273*0.21,2))</f>
        <v/>
      </c>
      <c r="J273" s="5">
        <f>IF(F273="","",ROUND(F273*0.1,2))</f>
        <v/>
      </c>
      <c r="K273" s="5">
        <f>IF(G273="","",ROUND(G273*0.04,2))</f>
        <v/>
      </c>
      <c r="L273" s="4" t="n"/>
      <c r="M273" s="4" t="n"/>
      <c r="N273" s="5">
        <f>IF(A273="","",SUM(E273:K273)-N(L273))</f>
        <v/>
      </c>
      <c r="O273">
        <f>IF(OR(A273="",M273=""),"",IF(ABS(M273-N273)&lt;=0.02,"OK","REVISAR"))</f>
        <v/>
      </c>
      <c r="P273">
        <f>IF(D273="","",IF(LEN(TRIM(D273))&lt;&gt;9,"REVISAR",IFERROR(IF(OR(ISNUMBER(VALUE(LEFT(UPPER(TRIM(D273)),1))),LEFT(UPPER(TRIM(D273)),1)="X",LEFT(UPPER(TRIM(D273)),1)="Y",LEFT(UPPER(TRIM(D273)),1)="Z"),IF(MID("TRWAGMYFPDXBNJZSQVHLCKE",MOD(VALUE(SUBSTITUTE(SUBSTITUTE(SUBSTITUTE(LEFT(UPPER(TRIM(D273)),8),"X","0"),"Y","1"),"Z","2")),23)+1,1)=RIGHT(UPPER(TRIM(D273)),1),"OK","REVISAR"),IF(OR(RIGHT(UPPER(TRIM(D273)),1)=TEXT(MOD(10-MOD((VALUE(MID(UPPER(TRIM(D273)),3,1))+VALUE(MID(UPPER(TRIM(D273)),5,1))+VALUE(MID(UPPER(TRIM(D273)),7,1)))+(INT(2*VALUE(MID(UPPER(TRIM(D273)),2,1))/10)+MOD(2*VALUE(MID(UPPER(TRIM(D273)),2,1)),10))+(INT(2*VALUE(MID(UPPER(TRIM(D273)),4,1))/10)+MOD(2*VALUE(MID(UPPER(TRIM(D273)),4,1)),10))+(INT(2*VALUE(MID(UPPER(TRIM(D273)),6,1))/10)+MOD(2*VALUE(MID(UPPER(TRIM(D273)),6,1)),10))+(INT(2*VALUE(MID(UPPER(TRIM(D273)),8,1))/10)+MOD(2*VALUE(MID(UPPER(TRIM(D273)),8,1)),10)),10),10),"0"),RIGHT(UPPER(TRIM(D273)),1)=MID("JABCDEFGHI",MOD(10-MOD((VALUE(MID(UPPER(TRIM(D273)),3,1))+VALUE(MID(UPPER(TRIM(D273)),5,1))+VALUE(MID(UPPER(TRIM(D273)),7,1)))+(INT(2*VALUE(MID(UPPER(TRIM(D273)),2,1))/10)+MOD(2*VALUE(MID(UPPER(TRIM(D273)),2,1)),10))+(INT(2*VALUE(MID(UPPER(TRIM(D273)),4,1))/10)+MOD(2*VALUE(MID(UPPER(TRIM(D273)),4,1)),10))+(INT(2*VALUE(MID(UPPER(TRIM(D273)),6,1))/10)+MOD(2*VALUE(MID(UPPER(TRIM(D273)),6,1)),10))+(INT(2*VALUE(MID(UPPER(TRIM(D273)),8,1))/10)+MOD(2*VALUE(MID(UPPER(TRIM(D273)),8,1)),10)),10),10)+1,1)),"OK","REVISAR")),"REVISAR")))</f>
        <v/>
      </c>
      <c r="Q273">
        <f>IF(B273="","",IF(COUNTIFS($B$2:$B$501,B273,$D$2:$D$501,D273)&gt;1,"DUPLICADA",""))</f>
        <v/>
      </c>
      <c r="R273">
        <f>IF(A273="","",ROUNDUP(MONTH(A273)/3,0))</f>
        <v/>
      </c>
      <c r="S273" s="3" t="n"/>
    </row>
    <row r="274">
      <c r="A274" s="2" t="n"/>
      <c r="B274" s="3" t="n"/>
      <c r="C274" s="3" t="n"/>
      <c r="D274" s="3" t="n"/>
      <c r="E274" s="4" t="n"/>
      <c r="F274" s="4" t="n"/>
      <c r="G274" s="4" t="n"/>
      <c r="H274" s="4" t="n"/>
      <c r="I274" s="5">
        <f>IF(E274="","",ROUND(E274*0.21,2))</f>
        <v/>
      </c>
      <c r="J274" s="5">
        <f>IF(F274="","",ROUND(F274*0.1,2))</f>
        <v/>
      </c>
      <c r="K274" s="5">
        <f>IF(G274="","",ROUND(G274*0.04,2))</f>
        <v/>
      </c>
      <c r="L274" s="4" t="n"/>
      <c r="M274" s="4" t="n"/>
      <c r="N274" s="5">
        <f>IF(A274="","",SUM(E274:K274)-N(L274))</f>
        <v/>
      </c>
      <c r="O274">
        <f>IF(OR(A274="",M274=""),"",IF(ABS(M274-N274)&lt;=0.02,"OK","REVISAR"))</f>
        <v/>
      </c>
      <c r="P274">
        <f>IF(D274="","",IF(LEN(TRIM(D274))&lt;&gt;9,"REVISAR",IFERROR(IF(OR(ISNUMBER(VALUE(LEFT(UPPER(TRIM(D274)),1))),LEFT(UPPER(TRIM(D274)),1)="X",LEFT(UPPER(TRIM(D274)),1)="Y",LEFT(UPPER(TRIM(D274)),1)="Z"),IF(MID("TRWAGMYFPDXBNJZSQVHLCKE",MOD(VALUE(SUBSTITUTE(SUBSTITUTE(SUBSTITUTE(LEFT(UPPER(TRIM(D274)),8),"X","0"),"Y","1"),"Z","2")),23)+1,1)=RIGHT(UPPER(TRIM(D274)),1),"OK","REVISAR"),IF(OR(RIGHT(UPPER(TRIM(D274)),1)=TEXT(MOD(10-MOD((VALUE(MID(UPPER(TRIM(D274)),3,1))+VALUE(MID(UPPER(TRIM(D274)),5,1))+VALUE(MID(UPPER(TRIM(D274)),7,1)))+(INT(2*VALUE(MID(UPPER(TRIM(D274)),2,1))/10)+MOD(2*VALUE(MID(UPPER(TRIM(D274)),2,1)),10))+(INT(2*VALUE(MID(UPPER(TRIM(D274)),4,1))/10)+MOD(2*VALUE(MID(UPPER(TRIM(D274)),4,1)),10))+(INT(2*VALUE(MID(UPPER(TRIM(D274)),6,1))/10)+MOD(2*VALUE(MID(UPPER(TRIM(D274)),6,1)),10))+(INT(2*VALUE(MID(UPPER(TRIM(D274)),8,1))/10)+MOD(2*VALUE(MID(UPPER(TRIM(D274)),8,1)),10)),10),10),"0"),RIGHT(UPPER(TRIM(D274)),1)=MID("JABCDEFGHI",MOD(10-MOD((VALUE(MID(UPPER(TRIM(D274)),3,1))+VALUE(MID(UPPER(TRIM(D274)),5,1))+VALUE(MID(UPPER(TRIM(D274)),7,1)))+(INT(2*VALUE(MID(UPPER(TRIM(D274)),2,1))/10)+MOD(2*VALUE(MID(UPPER(TRIM(D274)),2,1)),10))+(INT(2*VALUE(MID(UPPER(TRIM(D274)),4,1))/10)+MOD(2*VALUE(MID(UPPER(TRIM(D274)),4,1)),10))+(INT(2*VALUE(MID(UPPER(TRIM(D274)),6,1))/10)+MOD(2*VALUE(MID(UPPER(TRIM(D274)),6,1)),10))+(INT(2*VALUE(MID(UPPER(TRIM(D274)),8,1))/10)+MOD(2*VALUE(MID(UPPER(TRIM(D274)),8,1)),10)),10),10)+1,1)),"OK","REVISAR")),"REVISAR")))</f>
        <v/>
      </c>
      <c r="Q274">
        <f>IF(B274="","",IF(COUNTIFS($B$2:$B$501,B274,$D$2:$D$501,D274)&gt;1,"DUPLICADA",""))</f>
        <v/>
      </c>
      <c r="R274">
        <f>IF(A274="","",ROUNDUP(MONTH(A274)/3,0))</f>
        <v/>
      </c>
      <c r="S274" s="3" t="n"/>
    </row>
    <row r="275">
      <c r="A275" s="2" t="n"/>
      <c r="B275" s="3" t="n"/>
      <c r="C275" s="3" t="n"/>
      <c r="D275" s="3" t="n"/>
      <c r="E275" s="4" t="n"/>
      <c r="F275" s="4" t="n"/>
      <c r="G275" s="4" t="n"/>
      <c r="H275" s="4" t="n"/>
      <c r="I275" s="5">
        <f>IF(E275="","",ROUND(E275*0.21,2))</f>
        <v/>
      </c>
      <c r="J275" s="5">
        <f>IF(F275="","",ROUND(F275*0.1,2))</f>
        <v/>
      </c>
      <c r="K275" s="5">
        <f>IF(G275="","",ROUND(G275*0.04,2))</f>
        <v/>
      </c>
      <c r="L275" s="4" t="n"/>
      <c r="M275" s="4" t="n"/>
      <c r="N275" s="5">
        <f>IF(A275="","",SUM(E275:K275)-N(L275))</f>
        <v/>
      </c>
      <c r="O275">
        <f>IF(OR(A275="",M275=""),"",IF(ABS(M275-N275)&lt;=0.02,"OK","REVISAR"))</f>
        <v/>
      </c>
      <c r="P275">
        <f>IF(D275="","",IF(LEN(TRIM(D275))&lt;&gt;9,"REVISAR",IFERROR(IF(OR(ISNUMBER(VALUE(LEFT(UPPER(TRIM(D275)),1))),LEFT(UPPER(TRIM(D275)),1)="X",LEFT(UPPER(TRIM(D275)),1)="Y",LEFT(UPPER(TRIM(D275)),1)="Z"),IF(MID("TRWAGMYFPDXBNJZSQVHLCKE",MOD(VALUE(SUBSTITUTE(SUBSTITUTE(SUBSTITUTE(LEFT(UPPER(TRIM(D275)),8),"X","0"),"Y","1"),"Z","2")),23)+1,1)=RIGHT(UPPER(TRIM(D275)),1),"OK","REVISAR"),IF(OR(RIGHT(UPPER(TRIM(D275)),1)=TEXT(MOD(10-MOD((VALUE(MID(UPPER(TRIM(D275)),3,1))+VALUE(MID(UPPER(TRIM(D275)),5,1))+VALUE(MID(UPPER(TRIM(D275)),7,1)))+(INT(2*VALUE(MID(UPPER(TRIM(D275)),2,1))/10)+MOD(2*VALUE(MID(UPPER(TRIM(D275)),2,1)),10))+(INT(2*VALUE(MID(UPPER(TRIM(D275)),4,1))/10)+MOD(2*VALUE(MID(UPPER(TRIM(D275)),4,1)),10))+(INT(2*VALUE(MID(UPPER(TRIM(D275)),6,1))/10)+MOD(2*VALUE(MID(UPPER(TRIM(D275)),6,1)),10))+(INT(2*VALUE(MID(UPPER(TRIM(D275)),8,1))/10)+MOD(2*VALUE(MID(UPPER(TRIM(D275)),8,1)),10)),10),10),"0"),RIGHT(UPPER(TRIM(D275)),1)=MID("JABCDEFGHI",MOD(10-MOD((VALUE(MID(UPPER(TRIM(D275)),3,1))+VALUE(MID(UPPER(TRIM(D275)),5,1))+VALUE(MID(UPPER(TRIM(D275)),7,1)))+(INT(2*VALUE(MID(UPPER(TRIM(D275)),2,1))/10)+MOD(2*VALUE(MID(UPPER(TRIM(D275)),2,1)),10))+(INT(2*VALUE(MID(UPPER(TRIM(D275)),4,1))/10)+MOD(2*VALUE(MID(UPPER(TRIM(D275)),4,1)),10))+(INT(2*VALUE(MID(UPPER(TRIM(D275)),6,1))/10)+MOD(2*VALUE(MID(UPPER(TRIM(D275)),6,1)),10))+(INT(2*VALUE(MID(UPPER(TRIM(D275)),8,1))/10)+MOD(2*VALUE(MID(UPPER(TRIM(D275)),8,1)),10)),10),10)+1,1)),"OK","REVISAR")),"REVISAR")))</f>
        <v/>
      </c>
      <c r="Q275">
        <f>IF(B275="","",IF(COUNTIFS($B$2:$B$501,B275,$D$2:$D$501,D275)&gt;1,"DUPLICADA",""))</f>
        <v/>
      </c>
      <c r="R275">
        <f>IF(A275="","",ROUNDUP(MONTH(A275)/3,0))</f>
        <v/>
      </c>
      <c r="S275" s="3" t="n"/>
    </row>
    <row r="276">
      <c r="A276" s="2" t="n"/>
      <c r="B276" s="3" t="n"/>
      <c r="C276" s="3" t="n"/>
      <c r="D276" s="3" t="n"/>
      <c r="E276" s="4" t="n"/>
      <c r="F276" s="4" t="n"/>
      <c r="G276" s="4" t="n"/>
      <c r="H276" s="4" t="n"/>
      <c r="I276" s="5">
        <f>IF(E276="","",ROUND(E276*0.21,2))</f>
        <v/>
      </c>
      <c r="J276" s="5">
        <f>IF(F276="","",ROUND(F276*0.1,2))</f>
        <v/>
      </c>
      <c r="K276" s="5">
        <f>IF(G276="","",ROUND(G276*0.04,2))</f>
        <v/>
      </c>
      <c r="L276" s="4" t="n"/>
      <c r="M276" s="4" t="n"/>
      <c r="N276" s="5">
        <f>IF(A276="","",SUM(E276:K276)-N(L276))</f>
        <v/>
      </c>
      <c r="O276">
        <f>IF(OR(A276="",M276=""),"",IF(ABS(M276-N276)&lt;=0.02,"OK","REVISAR"))</f>
        <v/>
      </c>
      <c r="P276">
        <f>IF(D276="","",IF(LEN(TRIM(D276))&lt;&gt;9,"REVISAR",IFERROR(IF(OR(ISNUMBER(VALUE(LEFT(UPPER(TRIM(D276)),1))),LEFT(UPPER(TRIM(D276)),1)="X",LEFT(UPPER(TRIM(D276)),1)="Y",LEFT(UPPER(TRIM(D276)),1)="Z"),IF(MID("TRWAGMYFPDXBNJZSQVHLCKE",MOD(VALUE(SUBSTITUTE(SUBSTITUTE(SUBSTITUTE(LEFT(UPPER(TRIM(D276)),8),"X","0"),"Y","1"),"Z","2")),23)+1,1)=RIGHT(UPPER(TRIM(D276)),1),"OK","REVISAR"),IF(OR(RIGHT(UPPER(TRIM(D276)),1)=TEXT(MOD(10-MOD((VALUE(MID(UPPER(TRIM(D276)),3,1))+VALUE(MID(UPPER(TRIM(D276)),5,1))+VALUE(MID(UPPER(TRIM(D276)),7,1)))+(INT(2*VALUE(MID(UPPER(TRIM(D276)),2,1))/10)+MOD(2*VALUE(MID(UPPER(TRIM(D276)),2,1)),10))+(INT(2*VALUE(MID(UPPER(TRIM(D276)),4,1))/10)+MOD(2*VALUE(MID(UPPER(TRIM(D276)),4,1)),10))+(INT(2*VALUE(MID(UPPER(TRIM(D276)),6,1))/10)+MOD(2*VALUE(MID(UPPER(TRIM(D276)),6,1)),10))+(INT(2*VALUE(MID(UPPER(TRIM(D276)),8,1))/10)+MOD(2*VALUE(MID(UPPER(TRIM(D276)),8,1)),10)),10),10),"0"),RIGHT(UPPER(TRIM(D276)),1)=MID("JABCDEFGHI",MOD(10-MOD((VALUE(MID(UPPER(TRIM(D276)),3,1))+VALUE(MID(UPPER(TRIM(D276)),5,1))+VALUE(MID(UPPER(TRIM(D276)),7,1)))+(INT(2*VALUE(MID(UPPER(TRIM(D276)),2,1))/10)+MOD(2*VALUE(MID(UPPER(TRIM(D276)),2,1)),10))+(INT(2*VALUE(MID(UPPER(TRIM(D276)),4,1))/10)+MOD(2*VALUE(MID(UPPER(TRIM(D276)),4,1)),10))+(INT(2*VALUE(MID(UPPER(TRIM(D276)),6,1))/10)+MOD(2*VALUE(MID(UPPER(TRIM(D276)),6,1)),10))+(INT(2*VALUE(MID(UPPER(TRIM(D276)),8,1))/10)+MOD(2*VALUE(MID(UPPER(TRIM(D276)),8,1)),10)),10),10)+1,1)),"OK","REVISAR")),"REVISAR")))</f>
        <v/>
      </c>
      <c r="Q276">
        <f>IF(B276="","",IF(COUNTIFS($B$2:$B$501,B276,$D$2:$D$501,D276)&gt;1,"DUPLICADA",""))</f>
        <v/>
      </c>
      <c r="R276">
        <f>IF(A276="","",ROUNDUP(MONTH(A276)/3,0))</f>
        <v/>
      </c>
      <c r="S276" s="3" t="n"/>
    </row>
    <row r="277">
      <c r="A277" s="2" t="n"/>
      <c r="B277" s="3" t="n"/>
      <c r="C277" s="3" t="n"/>
      <c r="D277" s="3" t="n"/>
      <c r="E277" s="4" t="n"/>
      <c r="F277" s="4" t="n"/>
      <c r="G277" s="4" t="n"/>
      <c r="H277" s="4" t="n"/>
      <c r="I277" s="5">
        <f>IF(E277="","",ROUND(E277*0.21,2))</f>
        <v/>
      </c>
      <c r="J277" s="5">
        <f>IF(F277="","",ROUND(F277*0.1,2))</f>
        <v/>
      </c>
      <c r="K277" s="5">
        <f>IF(G277="","",ROUND(G277*0.04,2))</f>
        <v/>
      </c>
      <c r="L277" s="4" t="n"/>
      <c r="M277" s="4" t="n"/>
      <c r="N277" s="5">
        <f>IF(A277="","",SUM(E277:K277)-N(L277))</f>
        <v/>
      </c>
      <c r="O277">
        <f>IF(OR(A277="",M277=""),"",IF(ABS(M277-N277)&lt;=0.02,"OK","REVISAR"))</f>
        <v/>
      </c>
      <c r="P277">
        <f>IF(D277="","",IF(LEN(TRIM(D277))&lt;&gt;9,"REVISAR",IFERROR(IF(OR(ISNUMBER(VALUE(LEFT(UPPER(TRIM(D277)),1))),LEFT(UPPER(TRIM(D277)),1)="X",LEFT(UPPER(TRIM(D277)),1)="Y",LEFT(UPPER(TRIM(D277)),1)="Z"),IF(MID("TRWAGMYFPDXBNJZSQVHLCKE",MOD(VALUE(SUBSTITUTE(SUBSTITUTE(SUBSTITUTE(LEFT(UPPER(TRIM(D277)),8),"X","0"),"Y","1"),"Z","2")),23)+1,1)=RIGHT(UPPER(TRIM(D277)),1),"OK","REVISAR"),IF(OR(RIGHT(UPPER(TRIM(D277)),1)=TEXT(MOD(10-MOD((VALUE(MID(UPPER(TRIM(D277)),3,1))+VALUE(MID(UPPER(TRIM(D277)),5,1))+VALUE(MID(UPPER(TRIM(D277)),7,1)))+(INT(2*VALUE(MID(UPPER(TRIM(D277)),2,1))/10)+MOD(2*VALUE(MID(UPPER(TRIM(D277)),2,1)),10))+(INT(2*VALUE(MID(UPPER(TRIM(D277)),4,1))/10)+MOD(2*VALUE(MID(UPPER(TRIM(D277)),4,1)),10))+(INT(2*VALUE(MID(UPPER(TRIM(D277)),6,1))/10)+MOD(2*VALUE(MID(UPPER(TRIM(D277)),6,1)),10))+(INT(2*VALUE(MID(UPPER(TRIM(D277)),8,1))/10)+MOD(2*VALUE(MID(UPPER(TRIM(D277)),8,1)),10)),10),10),"0"),RIGHT(UPPER(TRIM(D277)),1)=MID("JABCDEFGHI",MOD(10-MOD((VALUE(MID(UPPER(TRIM(D277)),3,1))+VALUE(MID(UPPER(TRIM(D277)),5,1))+VALUE(MID(UPPER(TRIM(D277)),7,1)))+(INT(2*VALUE(MID(UPPER(TRIM(D277)),2,1))/10)+MOD(2*VALUE(MID(UPPER(TRIM(D277)),2,1)),10))+(INT(2*VALUE(MID(UPPER(TRIM(D277)),4,1))/10)+MOD(2*VALUE(MID(UPPER(TRIM(D277)),4,1)),10))+(INT(2*VALUE(MID(UPPER(TRIM(D277)),6,1))/10)+MOD(2*VALUE(MID(UPPER(TRIM(D277)),6,1)),10))+(INT(2*VALUE(MID(UPPER(TRIM(D277)),8,1))/10)+MOD(2*VALUE(MID(UPPER(TRIM(D277)),8,1)),10)),10),10)+1,1)),"OK","REVISAR")),"REVISAR")))</f>
        <v/>
      </c>
      <c r="Q277">
        <f>IF(B277="","",IF(COUNTIFS($B$2:$B$501,B277,$D$2:$D$501,D277)&gt;1,"DUPLICADA",""))</f>
        <v/>
      </c>
      <c r="R277">
        <f>IF(A277="","",ROUNDUP(MONTH(A277)/3,0))</f>
        <v/>
      </c>
      <c r="S277" s="3" t="n"/>
    </row>
    <row r="278">
      <c r="A278" s="2" t="n"/>
      <c r="B278" s="3" t="n"/>
      <c r="C278" s="3" t="n"/>
      <c r="D278" s="3" t="n"/>
      <c r="E278" s="4" t="n"/>
      <c r="F278" s="4" t="n"/>
      <c r="G278" s="4" t="n"/>
      <c r="H278" s="4" t="n"/>
      <c r="I278" s="5">
        <f>IF(E278="","",ROUND(E278*0.21,2))</f>
        <v/>
      </c>
      <c r="J278" s="5">
        <f>IF(F278="","",ROUND(F278*0.1,2))</f>
        <v/>
      </c>
      <c r="K278" s="5">
        <f>IF(G278="","",ROUND(G278*0.04,2))</f>
        <v/>
      </c>
      <c r="L278" s="4" t="n"/>
      <c r="M278" s="4" t="n"/>
      <c r="N278" s="5">
        <f>IF(A278="","",SUM(E278:K278)-N(L278))</f>
        <v/>
      </c>
      <c r="O278">
        <f>IF(OR(A278="",M278=""),"",IF(ABS(M278-N278)&lt;=0.02,"OK","REVISAR"))</f>
        <v/>
      </c>
      <c r="P278">
        <f>IF(D278="","",IF(LEN(TRIM(D278))&lt;&gt;9,"REVISAR",IFERROR(IF(OR(ISNUMBER(VALUE(LEFT(UPPER(TRIM(D278)),1))),LEFT(UPPER(TRIM(D278)),1)="X",LEFT(UPPER(TRIM(D278)),1)="Y",LEFT(UPPER(TRIM(D278)),1)="Z"),IF(MID("TRWAGMYFPDXBNJZSQVHLCKE",MOD(VALUE(SUBSTITUTE(SUBSTITUTE(SUBSTITUTE(LEFT(UPPER(TRIM(D278)),8),"X","0"),"Y","1"),"Z","2")),23)+1,1)=RIGHT(UPPER(TRIM(D278)),1),"OK","REVISAR"),IF(OR(RIGHT(UPPER(TRIM(D278)),1)=TEXT(MOD(10-MOD((VALUE(MID(UPPER(TRIM(D278)),3,1))+VALUE(MID(UPPER(TRIM(D278)),5,1))+VALUE(MID(UPPER(TRIM(D278)),7,1)))+(INT(2*VALUE(MID(UPPER(TRIM(D278)),2,1))/10)+MOD(2*VALUE(MID(UPPER(TRIM(D278)),2,1)),10))+(INT(2*VALUE(MID(UPPER(TRIM(D278)),4,1))/10)+MOD(2*VALUE(MID(UPPER(TRIM(D278)),4,1)),10))+(INT(2*VALUE(MID(UPPER(TRIM(D278)),6,1))/10)+MOD(2*VALUE(MID(UPPER(TRIM(D278)),6,1)),10))+(INT(2*VALUE(MID(UPPER(TRIM(D278)),8,1))/10)+MOD(2*VALUE(MID(UPPER(TRIM(D278)),8,1)),10)),10),10),"0"),RIGHT(UPPER(TRIM(D278)),1)=MID("JABCDEFGHI",MOD(10-MOD((VALUE(MID(UPPER(TRIM(D278)),3,1))+VALUE(MID(UPPER(TRIM(D278)),5,1))+VALUE(MID(UPPER(TRIM(D278)),7,1)))+(INT(2*VALUE(MID(UPPER(TRIM(D278)),2,1))/10)+MOD(2*VALUE(MID(UPPER(TRIM(D278)),2,1)),10))+(INT(2*VALUE(MID(UPPER(TRIM(D278)),4,1))/10)+MOD(2*VALUE(MID(UPPER(TRIM(D278)),4,1)),10))+(INT(2*VALUE(MID(UPPER(TRIM(D278)),6,1))/10)+MOD(2*VALUE(MID(UPPER(TRIM(D278)),6,1)),10))+(INT(2*VALUE(MID(UPPER(TRIM(D278)),8,1))/10)+MOD(2*VALUE(MID(UPPER(TRIM(D278)),8,1)),10)),10),10)+1,1)),"OK","REVISAR")),"REVISAR")))</f>
        <v/>
      </c>
      <c r="Q278">
        <f>IF(B278="","",IF(COUNTIFS($B$2:$B$501,B278,$D$2:$D$501,D278)&gt;1,"DUPLICADA",""))</f>
        <v/>
      </c>
      <c r="R278">
        <f>IF(A278="","",ROUNDUP(MONTH(A278)/3,0))</f>
        <v/>
      </c>
      <c r="S278" s="3" t="n"/>
    </row>
    <row r="279">
      <c r="A279" s="2" t="n"/>
      <c r="B279" s="3" t="n"/>
      <c r="C279" s="3" t="n"/>
      <c r="D279" s="3" t="n"/>
      <c r="E279" s="4" t="n"/>
      <c r="F279" s="4" t="n"/>
      <c r="G279" s="4" t="n"/>
      <c r="H279" s="4" t="n"/>
      <c r="I279" s="5">
        <f>IF(E279="","",ROUND(E279*0.21,2))</f>
        <v/>
      </c>
      <c r="J279" s="5">
        <f>IF(F279="","",ROUND(F279*0.1,2))</f>
        <v/>
      </c>
      <c r="K279" s="5">
        <f>IF(G279="","",ROUND(G279*0.04,2))</f>
        <v/>
      </c>
      <c r="L279" s="4" t="n"/>
      <c r="M279" s="4" t="n"/>
      <c r="N279" s="5">
        <f>IF(A279="","",SUM(E279:K279)-N(L279))</f>
        <v/>
      </c>
      <c r="O279">
        <f>IF(OR(A279="",M279=""),"",IF(ABS(M279-N279)&lt;=0.02,"OK","REVISAR"))</f>
        <v/>
      </c>
      <c r="P279">
        <f>IF(D279="","",IF(LEN(TRIM(D279))&lt;&gt;9,"REVISAR",IFERROR(IF(OR(ISNUMBER(VALUE(LEFT(UPPER(TRIM(D279)),1))),LEFT(UPPER(TRIM(D279)),1)="X",LEFT(UPPER(TRIM(D279)),1)="Y",LEFT(UPPER(TRIM(D279)),1)="Z"),IF(MID("TRWAGMYFPDXBNJZSQVHLCKE",MOD(VALUE(SUBSTITUTE(SUBSTITUTE(SUBSTITUTE(LEFT(UPPER(TRIM(D279)),8),"X","0"),"Y","1"),"Z","2")),23)+1,1)=RIGHT(UPPER(TRIM(D279)),1),"OK","REVISAR"),IF(OR(RIGHT(UPPER(TRIM(D279)),1)=TEXT(MOD(10-MOD((VALUE(MID(UPPER(TRIM(D279)),3,1))+VALUE(MID(UPPER(TRIM(D279)),5,1))+VALUE(MID(UPPER(TRIM(D279)),7,1)))+(INT(2*VALUE(MID(UPPER(TRIM(D279)),2,1))/10)+MOD(2*VALUE(MID(UPPER(TRIM(D279)),2,1)),10))+(INT(2*VALUE(MID(UPPER(TRIM(D279)),4,1))/10)+MOD(2*VALUE(MID(UPPER(TRIM(D279)),4,1)),10))+(INT(2*VALUE(MID(UPPER(TRIM(D279)),6,1))/10)+MOD(2*VALUE(MID(UPPER(TRIM(D279)),6,1)),10))+(INT(2*VALUE(MID(UPPER(TRIM(D279)),8,1))/10)+MOD(2*VALUE(MID(UPPER(TRIM(D279)),8,1)),10)),10),10),"0"),RIGHT(UPPER(TRIM(D279)),1)=MID("JABCDEFGHI",MOD(10-MOD((VALUE(MID(UPPER(TRIM(D279)),3,1))+VALUE(MID(UPPER(TRIM(D279)),5,1))+VALUE(MID(UPPER(TRIM(D279)),7,1)))+(INT(2*VALUE(MID(UPPER(TRIM(D279)),2,1))/10)+MOD(2*VALUE(MID(UPPER(TRIM(D279)),2,1)),10))+(INT(2*VALUE(MID(UPPER(TRIM(D279)),4,1))/10)+MOD(2*VALUE(MID(UPPER(TRIM(D279)),4,1)),10))+(INT(2*VALUE(MID(UPPER(TRIM(D279)),6,1))/10)+MOD(2*VALUE(MID(UPPER(TRIM(D279)),6,1)),10))+(INT(2*VALUE(MID(UPPER(TRIM(D279)),8,1))/10)+MOD(2*VALUE(MID(UPPER(TRIM(D279)),8,1)),10)),10),10)+1,1)),"OK","REVISAR")),"REVISAR")))</f>
        <v/>
      </c>
      <c r="Q279">
        <f>IF(B279="","",IF(COUNTIFS($B$2:$B$501,B279,$D$2:$D$501,D279)&gt;1,"DUPLICADA",""))</f>
        <v/>
      </c>
      <c r="R279">
        <f>IF(A279="","",ROUNDUP(MONTH(A279)/3,0))</f>
        <v/>
      </c>
      <c r="S279" s="3" t="n"/>
    </row>
    <row r="280">
      <c r="A280" s="2" t="n"/>
      <c r="B280" s="3" t="n"/>
      <c r="C280" s="3" t="n"/>
      <c r="D280" s="3" t="n"/>
      <c r="E280" s="4" t="n"/>
      <c r="F280" s="4" t="n"/>
      <c r="G280" s="4" t="n"/>
      <c r="H280" s="4" t="n"/>
      <c r="I280" s="5">
        <f>IF(E280="","",ROUND(E280*0.21,2))</f>
        <v/>
      </c>
      <c r="J280" s="5">
        <f>IF(F280="","",ROUND(F280*0.1,2))</f>
        <v/>
      </c>
      <c r="K280" s="5">
        <f>IF(G280="","",ROUND(G280*0.04,2))</f>
        <v/>
      </c>
      <c r="L280" s="4" t="n"/>
      <c r="M280" s="4" t="n"/>
      <c r="N280" s="5">
        <f>IF(A280="","",SUM(E280:K280)-N(L280))</f>
        <v/>
      </c>
      <c r="O280">
        <f>IF(OR(A280="",M280=""),"",IF(ABS(M280-N280)&lt;=0.02,"OK","REVISAR"))</f>
        <v/>
      </c>
      <c r="P280">
        <f>IF(D280="","",IF(LEN(TRIM(D280))&lt;&gt;9,"REVISAR",IFERROR(IF(OR(ISNUMBER(VALUE(LEFT(UPPER(TRIM(D280)),1))),LEFT(UPPER(TRIM(D280)),1)="X",LEFT(UPPER(TRIM(D280)),1)="Y",LEFT(UPPER(TRIM(D280)),1)="Z"),IF(MID("TRWAGMYFPDXBNJZSQVHLCKE",MOD(VALUE(SUBSTITUTE(SUBSTITUTE(SUBSTITUTE(LEFT(UPPER(TRIM(D280)),8),"X","0"),"Y","1"),"Z","2")),23)+1,1)=RIGHT(UPPER(TRIM(D280)),1),"OK","REVISAR"),IF(OR(RIGHT(UPPER(TRIM(D280)),1)=TEXT(MOD(10-MOD((VALUE(MID(UPPER(TRIM(D280)),3,1))+VALUE(MID(UPPER(TRIM(D280)),5,1))+VALUE(MID(UPPER(TRIM(D280)),7,1)))+(INT(2*VALUE(MID(UPPER(TRIM(D280)),2,1))/10)+MOD(2*VALUE(MID(UPPER(TRIM(D280)),2,1)),10))+(INT(2*VALUE(MID(UPPER(TRIM(D280)),4,1))/10)+MOD(2*VALUE(MID(UPPER(TRIM(D280)),4,1)),10))+(INT(2*VALUE(MID(UPPER(TRIM(D280)),6,1))/10)+MOD(2*VALUE(MID(UPPER(TRIM(D280)),6,1)),10))+(INT(2*VALUE(MID(UPPER(TRIM(D280)),8,1))/10)+MOD(2*VALUE(MID(UPPER(TRIM(D280)),8,1)),10)),10),10),"0"),RIGHT(UPPER(TRIM(D280)),1)=MID("JABCDEFGHI",MOD(10-MOD((VALUE(MID(UPPER(TRIM(D280)),3,1))+VALUE(MID(UPPER(TRIM(D280)),5,1))+VALUE(MID(UPPER(TRIM(D280)),7,1)))+(INT(2*VALUE(MID(UPPER(TRIM(D280)),2,1))/10)+MOD(2*VALUE(MID(UPPER(TRIM(D280)),2,1)),10))+(INT(2*VALUE(MID(UPPER(TRIM(D280)),4,1))/10)+MOD(2*VALUE(MID(UPPER(TRIM(D280)),4,1)),10))+(INT(2*VALUE(MID(UPPER(TRIM(D280)),6,1))/10)+MOD(2*VALUE(MID(UPPER(TRIM(D280)),6,1)),10))+(INT(2*VALUE(MID(UPPER(TRIM(D280)),8,1))/10)+MOD(2*VALUE(MID(UPPER(TRIM(D280)),8,1)),10)),10),10)+1,1)),"OK","REVISAR")),"REVISAR")))</f>
        <v/>
      </c>
      <c r="Q280">
        <f>IF(B280="","",IF(COUNTIFS($B$2:$B$501,B280,$D$2:$D$501,D280)&gt;1,"DUPLICADA",""))</f>
        <v/>
      </c>
      <c r="R280">
        <f>IF(A280="","",ROUNDUP(MONTH(A280)/3,0))</f>
        <v/>
      </c>
      <c r="S280" s="3" t="n"/>
    </row>
    <row r="281">
      <c r="A281" s="2" t="n"/>
      <c r="B281" s="3" t="n"/>
      <c r="C281" s="3" t="n"/>
      <c r="D281" s="3" t="n"/>
      <c r="E281" s="4" t="n"/>
      <c r="F281" s="4" t="n"/>
      <c r="G281" s="4" t="n"/>
      <c r="H281" s="4" t="n"/>
      <c r="I281" s="5">
        <f>IF(E281="","",ROUND(E281*0.21,2))</f>
        <v/>
      </c>
      <c r="J281" s="5">
        <f>IF(F281="","",ROUND(F281*0.1,2))</f>
        <v/>
      </c>
      <c r="K281" s="5">
        <f>IF(G281="","",ROUND(G281*0.04,2))</f>
        <v/>
      </c>
      <c r="L281" s="4" t="n"/>
      <c r="M281" s="4" t="n"/>
      <c r="N281" s="5">
        <f>IF(A281="","",SUM(E281:K281)-N(L281))</f>
        <v/>
      </c>
      <c r="O281">
        <f>IF(OR(A281="",M281=""),"",IF(ABS(M281-N281)&lt;=0.02,"OK","REVISAR"))</f>
        <v/>
      </c>
      <c r="P281">
        <f>IF(D281="","",IF(LEN(TRIM(D281))&lt;&gt;9,"REVISAR",IFERROR(IF(OR(ISNUMBER(VALUE(LEFT(UPPER(TRIM(D281)),1))),LEFT(UPPER(TRIM(D281)),1)="X",LEFT(UPPER(TRIM(D281)),1)="Y",LEFT(UPPER(TRIM(D281)),1)="Z"),IF(MID("TRWAGMYFPDXBNJZSQVHLCKE",MOD(VALUE(SUBSTITUTE(SUBSTITUTE(SUBSTITUTE(LEFT(UPPER(TRIM(D281)),8),"X","0"),"Y","1"),"Z","2")),23)+1,1)=RIGHT(UPPER(TRIM(D281)),1),"OK","REVISAR"),IF(OR(RIGHT(UPPER(TRIM(D281)),1)=TEXT(MOD(10-MOD((VALUE(MID(UPPER(TRIM(D281)),3,1))+VALUE(MID(UPPER(TRIM(D281)),5,1))+VALUE(MID(UPPER(TRIM(D281)),7,1)))+(INT(2*VALUE(MID(UPPER(TRIM(D281)),2,1))/10)+MOD(2*VALUE(MID(UPPER(TRIM(D281)),2,1)),10))+(INT(2*VALUE(MID(UPPER(TRIM(D281)),4,1))/10)+MOD(2*VALUE(MID(UPPER(TRIM(D281)),4,1)),10))+(INT(2*VALUE(MID(UPPER(TRIM(D281)),6,1))/10)+MOD(2*VALUE(MID(UPPER(TRIM(D281)),6,1)),10))+(INT(2*VALUE(MID(UPPER(TRIM(D281)),8,1))/10)+MOD(2*VALUE(MID(UPPER(TRIM(D281)),8,1)),10)),10),10),"0"),RIGHT(UPPER(TRIM(D281)),1)=MID("JABCDEFGHI",MOD(10-MOD((VALUE(MID(UPPER(TRIM(D281)),3,1))+VALUE(MID(UPPER(TRIM(D281)),5,1))+VALUE(MID(UPPER(TRIM(D281)),7,1)))+(INT(2*VALUE(MID(UPPER(TRIM(D281)),2,1))/10)+MOD(2*VALUE(MID(UPPER(TRIM(D281)),2,1)),10))+(INT(2*VALUE(MID(UPPER(TRIM(D281)),4,1))/10)+MOD(2*VALUE(MID(UPPER(TRIM(D281)),4,1)),10))+(INT(2*VALUE(MID(UPPER(TRIM(D281)),6,1))/10)+MOD(2*VALUE(MID(UPPER(TRIM(D281)),6,1)),10))+(INT(2*VALUE(MID(UPPER(TRIM(D281)),8,1))/10)+MOD(2*VALUE(MID(UPPER(TRIM(D281)),8,1)),10)),10),10)+1,1)),"OK","REVISAR")),"REVISAR")))</f>
        <v/>
      </c>
      <c r="Q281">
        <f>IF(B281="","",IF(COUNTIFS($B$2:$B$501,B281,$D$2:$D$501,D281)&gt;1,"DUPLICADA",""))</f>
        <v/>
      </c>
      <c r="R281">
        <f>IF(A281="","",ROUNDUP(MONTH(A281)/3,0))</f>
        <v/>
      </c>
      <c r="S281" s="3" t="n"/>
    </row>
    <row r="282">
      <c r="A282" s="2" t="n"/>
      <c r="B282" s="3" t="n"/>
      <c r="C282" s="3" t="n"/>
      <c r="D282" s="3" t="n"/>
      <c r="E282" s="4" t="n"/>
      <c r="F282" s="4" t="n"/>
      <c r="G282" s="4" t="n"/>
      <c r="H282" s="4" t="n"/>
      <c r="I282" s="5">
        <f>IF(E282="","",ROUND(E282*0.21,2))</f>
        <v/>
      </c>
      <c r="J282" s="5">
        <f>IF(F282="","",ROUND(F282*0.1,2))</f>
        <v/>
      </c>
      <c r="K282" s="5">
        <f>IF(G282="","",ROUND(G282*0.04,2))</f>
        <v/>
      </c>
      <c r="L282" s="4" t="n"/>
      <c r="M282" s="4" t="n"/>
      <c r="N282" s="5">
        <f>IF(A282="","",SUM(E282:K282)-N(L282))</f>
        <v/>
      </c>
      <c r="O282">
        <f>IF(OR(A282="",M282=""),"",IF(ABS(M282-N282)&lt;=0.02,"OK","REVISAR"))</f>
        <v/>
      </c>
      <c r="P282">
        <f>IF(D282="","",IF(LEN(TRIM(D282))&lt;&gt;9,"REVISAR",IFERROR(IF(OR(ISNUMBER(VALUE(LEFT(UPPER(TRIM(D282)),1))),LEFT(UPPER(TRIM(D282)),1)="X",LEFT(UPPER(TRIM(D282)),1)="Y",LEFT(UPPER(TRIM(D282)),1)="Z"),IF(MID("TRWAGMYFPDXBNJZSQVHLCKE",MOD(VALUE(SUBSTITUTE(SUBSTITUTE(SUBSTITUTE(LEFT(UPPER(TRIM(D282)),8),"X","0"),"Y","1"),"Z","2")),23)+1,1)=RIGHT(UPPER(TRIM(D282)),1),"OK","REVISAR"),IF(OR(RIGHT(UPPER(TRIM(D282)),1)=TEXT(MOD(10-MOD((VALUE(MID(UPPER(TRIM(D282)),3,1))+VALUE(MID(UPPER(TRIM(D282)),5,1))+VALUE(MID(UPPER(TRIM(D282)),7,1)))+(INT(2*VALUE(MID(UPPER(TRIM(D282)),2,1))/10)+MOD(2*VALUE(MID(UPPER(TRIM(D282)),2,1)),10))+(INT(2*VALUE(MID(UPPER(TRIM(D282)),4,1))/10)+MOD(2*VALUE(MID(UPPER(TRIM(D282)),4,1)),10))+(INT(2*VALUE(MID(UPPER(TRIM(D282)),6,1))/10)+MOD(2*VALUE(MID(UPPER(TRIM(D282)),6,1)),10))+(INT(2*VALUE(MID(UPPER(TRIM(D282)),8,1))/10)+MOD(2*VALUE(MID(UPPER(TRIM(D282)),8,1)),10)),10),10),"0"),RIGHT(UPPER(TRIM(D282)),1)=MID("JABCDEFGHI",MOD(10-MOD((VALUE(MID(UPPER(TRIM(D282)),3,1))+VALUE(MID(UPPER(TRIM(D282)),5,1))+VALUE(MID(UPPER(TRIM(D282)),7,1)))+(INT(2*VALUE(MID(UPPER(TRIM(D282)),2,1))/10)+MOD(2*VALUE(MID(UPPER(TRIM(D282)),2,1)),10))+(INT(2*VALUE(MID(UPPER(TRIM(D282)),4,1))/10)+MOD(2*VALUE(MID(UPPER(TRIM(D282)),4,1)),10))+(INT(2*VALUE(MID(UPPER(TRIM(D282)),6,1))/10)+MOD(2*VALUE(MID(UPPER(TRIM(D282)),6,1)),10))+(INT(2*VALUE(MID(UPPER(TRIM(D282)),8,1))/10)+MOD(2*VALUE(MID(UPPER(TRIM(D282)),8,1)),10)),10),10)+1,1)),"OK","REVISAR")),"REVISAR")))</f>
        <v/>
      </c>
      <c r="Q282">
        <f>IF(B282="","",IF(COUNTIFS($B$2:$B$501,B282,$D$2:$D$501,D282)&gt;1,"DUPLICADA",""))</f>
        <v/>
      </c>
      <c r="R282">
        <f>IF(A282="","",ROUNDUP(MONTH(A282)/3,0))</f>
        <v/>
      </c>
      <c r="S282" s="3" t="n"/>
    </row>
    <row r="283">
      <c r="A283" s="2" t="n"/>
      <c r="B283" s="3" t="n"/>
      <c r="C283" s="3" t="n"/>
      <c r="D283" s="3" t="n"/>
      <c r="E283" s="4" t="n"/>
      <c r="F283" s="4" t="n"/>
      <c r="G283" s="4" t="n"/>
      <c r="H283" s="4" t="n"/>
      <c r="I283" s="5">
        <f>IF(E283="","",ROUND(E283*0.21,2))</f>
        <v/>
      </c>
      <c r="J283" s="5">
        <f>IF(F283="","",ROUND(F283*0.1,2))</f>
        <v/>
      </c>
      <c r="K283" s="5">
        <f>IF(G283="","",ROUND(G283*0.04,2))</f>
        <v/>
      </c>
      <c r="L283" s="4" t="n"/>
      <c r="M283" s="4" t="n"/>
      <c r="N283" s="5">
        <f>IF(A283="","",SUM(E283:K283)-N(L283))</f>
        <v/>
      </c>
      <c r="O283">
        <f>IF(OR(A283="",M283=""),"",IF(ABS(M283-N283)&lt;=0.02,"OK","REVISAR"))</f>
        <v/>
      </c>
      <c r="P283">
        <f>IF(D283="","",IF(LEN(TRIM(D283))&lt;&gt;9,"REVISAR",IFERROR(IF(OR(ISNUMBER(VALUE(LEFT(UPPER(TRIM(D283)),1))),LEFT(UPPER(TRIM(D283)),1)="X",LEFT(UPPER(TRIM(D283)),1)="Y",LEFT(UPPER(TRIM(D283)),1)="Z"),IF(MID("TRWAGMYFPDXBNJZSQVHLCKE",MOD(VALUE(SUBSTITUTE(SUBSTITUTE(SUBSTITUTE(LEFT(UPPER(TRIM(D283)),8),"X","0"),"Y","1"),"Z","2")),23)+1,1)=RIGHT(UPPER(TRIM(D283)),1),"OK","REVISAR"),IF(OR(RIGHT(UPPER(TRIM(D283)),1)=TEXT(MOD(10-MOD((VALUE(MID(UPPER(TRIM(D283)),3,1))+VALUE(MID(UPPER(TRIM(D283)),5,1))+VALUE(MID(UPPER(TRIM(D283)),7,1)))+(INT(2*VALUE(MID(UPPER(TRIM(D283)),2,1))/10)+MOD(2*VALUE(MID(UPPER(TRIM(D283)),2,1)),10))+(INT(2*VALUE(MID(UPPER(TRIM(D283)),4,1))/10)+MOD(2*VALUE(MID(UPPER(TRIM(D283)),4,1)),10))+(INT(2*VALUE(MID(UPPER(TRIM(D283)),6,1))/10)+MOD(2*VALUE(MID(UPPER(TRIM(D283)),6,1)),10))+(INT(2*VALUE(MID(UPPER(TRIM(D283)),8,1))/10)+MOD(2*VALUE(MID(UPPER(TRIM(D283)),8,1)),10)),10),10),"0"),RIGHT(UPPER(TRIM(D283)),1)=MID("JABCDEFGHI",MOD(10-MOD((VALUE(MID(UPPER(TRIM(D283)),3,1))+VALUE(MID(UPPER(TRIM(D283)),5,1))+VALUE(MID(UPPER(TRIM(D283)),7,1)))+(INT(2*VALUE(MID(UPPER(TRIM(D283)),2,1))/10)+MOD(2*VALUE(MID(UPPER(TRIM(D283)),2,1)),10))+(INT(2*VALUE(MID(UPPER(TRIM(D283)),4,1))/10)+MOD(2*VALUE(MID(UPPER(TRIM(D283)),4,1)),10))+(INT(2*VALUE(MID(UPPER(TRIM(D283)),6,1))/10)+MOD(2*VALUE(MID(UPPER(TRIM(D283)),6,1)),10))+(INT(2*VALUE(MID(UPPER(TRIM(D283)),8,1))/10)+MOD(2*VALUE(MID(UPPER(TRIM(D283)),8,1)),10)),10),10)+1,1)),"OK","REVISAR")),"REVISAR")))</f>
        <v/>
      </c>
      <c r="Q283">
        <f>IF(B283="","",IF(COUNTIFS($B$2:$B$501,B283,$D$2:$D$501,D283)&gt;1,"DUPLICADA",""))</f>
        <v/>
      </c>
      <c r="R283">
        <f>IF(A283="","",ROUNDUP(MONTH(A283)/3,0))</f>
        <v/>
      </c>
      <c r="S283" s="3" t="n"/>
    </row>
    <row r="284">
      <c r="A284" s="2" t="n"/>
      <c r="B284" s="3" t="n"/>
      <c r="C284" s="3" t="n"/>
      <c r="D284" s="3" t="n"/>
      <c r="E284" s="4" t="n"/>
      <c r="F284" s="4" t="n"/>
      <c r="G284" s="4" t="n"/>
      <c r="H284" s="4" t="n"/>
      <c r="I284" s="5">
        <f>IF(E284="","",ROUND(E284*0.21,2))</f>
        <v/>
      </c>
      <c r="J284" s="5">
        <f>IF(F284="","",ROUND(F284*0.1,2))</f>
        <v/>
      </c>
      <c r="K284" s="5">
        <f>IF(G284="","",ROUND(G284*0.04,2))</f>
        <v/>
      </c>
      <c r="L284" s="4" t="n"/>
      <c r="M284" s="4" t="n"/>
      <c r="N284" s="5">
        <f>IF(A284="","",SUM(E284:K284)-N(L284))</f>
        <v/>
      </c>
      <c r="O284">
        <f>IF(OR(A284="",M284=""),"",IF(ABS(M284-N284)&lt;=0.02,"OK","REVISAR"))</f>
        <v/>
      </c>
      <c r="P284">
        <f>IF(D284="","",IF(LEN(TRIM(D284))&lt;&gt;9,"REVISAR",IFERROR(IF(OR(ISNUMBER(VALUE(LEFT(UPPER(TRIM(D284)),1))),LEFT(UPPER(TRIM(D284)),1)="X",LEFT(UPPER(TRIM(D284)),1)="Y",LEFT(UPPER(TRIM(D284)),1)="Z"),IF(MID("TRWAGMYFPDXBNJZSQVHLCKE",MOD(VALUE(SUBSTITUTE(SUBSTITUTE(SUBSTITUTE(LEFT(UPPER(TRIM(D284)),8),"X","0"),"Y","1"),"Z","2")),23)+1,1)=RIGHT(UPPER(TRIM(D284)),1),"OK","REVISAR"),IF(OR(RIGHT(UPPER(TRIM(D284)),1)=TEXT(MOD(10-MOD((VALUE(MID(UPPER(TRIM(D284)),3,1))+VALUE(MID(UPPER(TRIM(D284)),5,1))+VALUE(MID(UPPER(TRIM(D284)),7,1)))+(INT(2*VALUE(MID(UPPER(TRIM(D284)),2,1))/10)+MOD(2*VALUE(MID(UPPER(TRIM(D284)),2,1)),10))+(INT(2*VALUE(MID(UPPER(TRIM(D284)),4,1))/10)+MOD(2*VALUE(MID(UPPER(TRIM(D284)),4,1)),10))+(INT(2*VALUE(MID(UPPER(TRIM(D284)),6,1))/10)+MOD(2*VALUE(MID(UPPER(TRIM(D284)),6,1)),10))+(INT(2*VALUE(MID(UPPER(TRIM(D284)),8,1))/10)+MOD(2*VALUE(MID(UPPER(TRIM(D284)),8,1)),10)),10),10),"0"),RIGHT(UPPER(TRIM(D284)),1)=MID("JABCDEFGHI",MOD(10-MOD((VALUE(MID(UPPER(TRIM(D284)),3,1))+VALUE(MID(UPPER(TRIM(D284)),5,1))+VALUE(MID(UPPER(TRIM(D284)),7,1)))+(INT(2*VALUE(MID(UPPER(TRIM(D284)),2,1))/10)+MOD(2*VALUE(MID(UPPER(TRIM(D284)),2,1)),10))+(INT(2*VALUE(MID(UPPER(TRIM(D284)),4,1))/10)+MOD(2*VALUE(MID(UPPER(TRIM(D284)),4,1)),10))+(INT(2*VALUE(MID(UPPER(TRIM(D284)),6,1))/10)+MOD(2*VALUE(MID(UPPER(TRIM(D284)),6,1)),10))+(INT(2*VALUE(MID(UPPER(TRIM(D284)),8,1))/10)+MOD(2*VALUE(MID(UPPER(TRIM(D284)),8,1)),10)),10),10)+1,1)),"OK","REVISAR")),"REVISAR")))</f>
        <v/>
      </c>
      <c r="Q284">
        <f>IF(B284="","",IF(COUNTIFS($B$2:$B$501,B284,$D$2:$D$501,D284)&gt;1,"DUPLICADA",""))</f>
        <v/>
      </c>
      <c r="R284">
        <f>IF(A284="","",ROUNDUP(MONTH(A284)/3,0))</f>
        <v/>
      </c>
      <c r="S284" s="3" t="n"/>
    </row>
    <row r="285">
      <c r="A285" s="2" t="n"/>
      <c r="B285" s="3" t="n"/>
      <c r="C285" s="3" t="n"/>
      <c r="D285" s="3" t="n"/>
      <c r="E285" s="4" t="n"/>
      <c r="F285" s="4" t="n"/>
      <c r="G285" s="4" t="n"/>
      <c r="H285" s="4" t="n"/>
      <c r="I285" s="5">
        <f>IF(E285="","",ROUND(E285*0.21,2))</f>
        <v/>
      </c>
      <c r="J285" s="5">
        <f>IF(F285="","",ROUND(F285*0.1,2))</f>
        <v/>
      </c>
      <c r="K285" s="5">
        <f>IF(G285="","",ROUND(G285*0.04,2))</f>
        <v/>
      </c>
      <c r="L285" s="4" t="n"/>
      <c r="M285" s="4" t="n"/>
      <c r="N285" s="5">
        <f>IF(A285="","",SUM(E285:K285)-N(L285))</f>
        <v/>
      </c>
      <c r="O285">
        <f>IF(OR(A285="",M285=""),"",IF(ABS(M285-N285)&lt;=0.02,"OK","REVISAR"))</f>
        <v/>
      </c>
      <c r="P285">
        <f>IF(D285="","",IF(LEN(TRIM(D285))&lt;&gt;9,"REVISAR",IFERROR(IF(OR(ISNUMBER(VALUE(LEFT(UPPER(TRIM(D285)),1))),LEFT(UPPER(TRIM(D285)),1)="X",LEFT(UPPER(TRIM(D285)),1)="Y",LEFT(UPPER(TRIM(D285)),1)="Z"),IF(MID("TRWAGMYFPDXBNJZSQVHLCKE",MOD(VALUE(SUBSTITUTE(SUBSTITUTE(SUBSTITUTE(LEFT(UPPER(TRIM(D285)),8),"X","0"),"Y","1"),"Z","2")),23)+1,1)=RIGHT(UPPER(TRIM(D285)),1),"OK","REVISAR"),IF(OR(RIGHT(UPPER(TRIM(D285)),1)=TEXT(MOD(10-MOD((VALUE(MID(UPPER(TRIM(D285)),3,1))+VALUE(MID(UPPER(TRIM(D285)),5,1))+VALUE(MID(UPPER(TRIM(D285)),7,1)))+(INT(2*VALUE(MID(UPPER(TRIM(D285)),2,1))/10)+MOD(2*VALUE(MID(UPPER(TRIM(D285)),2,1)),10))+(INT(2*VALUE(MID(UPPER(TRIM(D285)),4,1))/10)+MOD(2*VALUE(MID(UPPER(TRIM(D285)),4,1)),10))+(INT(2*VALUE(MID(UPPER(TRIM(D285)),6,1))/10)+MOD(2*VALUE(MID(UPPER(TRIM(D285)),6,1)),10))+(INT(2*VALUE(MID(UPPER(TRIM(D285)),8,1))/10)+MOD(2*VALUE(MID(UPPER(TRIM(D285)),8,1)),10)),10),10),"0"),RIGHT(UPPER(TRIM(D285)),1)=MID("JABCDEFGHI",MOD(10-MOD((VALUE(MID(UPPER(TRIM(D285)),3,1))+VALUE(MID(UPPER(TRIM(D285)),5,1))+VALUE(MID(UPPER(TRIM(D285)),7,1)))+(INT(2*VALUE(MID(UPPER(TRIM(D285)),2,1))/10)+MOD(2*VALUE(MID(UPPER(TRIM(D285)),2,1)),10))+(INT(2*VALUE(MID(UPPER(TRIM(D285)),4,1))/10)+MOD(2*VALUE(MID(UPPER(TRIM(D285)),4,1)),10))+(INT(2*VALUE(MID(UPPER(TRIM(D285)),6,1))/10)+MOD(2*VALUE(MID(UPPER(TRIM(D285)),6,1)),10))+(INT(2*VALUE(MID(UPPER(TRIM(D285)),8,1))/10)+MOD(2*VALUE(MID(UPPER(TRIM(D285)),8,1)),10)),10),10)+1,1)),"OK","REVISAR")),"REVISAR")))</f>
        <v/>
      </c>
      <c r="Q285">
        <f>IF(B285="","",IF(COUNTIFS($B$2:$B$501,B285,$D$2:$D$501,D285)&gt;1,"DUPLICADA",""))</f>
        <v/>
      </c>
      <c r="R285">
        <f>IF(A285="","",ROUNDUP(MONTH(A285)/3,0))</f>
        <v/>
      </c>
      <c r="S285" s="3" t="n"/>
    </row>
    <row r="286">
      <c r="A286" s="2" t="n"/>
      <c r="B286" s="3" t="n"/>
      <c r="C286" s="3" t="n"/>
      <c r="D286" s="3" t="n"/>
      <c r="E286" s="4" t="n"/>
      <c r="F286" s="4" t="n"/>
      <c r="G286" s="4" t="n"/>
      <c r="H286" s="4" t="n"/>
      <c r="I286" s="5">
        <f>IF(E286="","",ROUND(E286*0.21,2))</f>
        <v/>
      </c>
      <c r="J286" s="5">
        <f>IF(F286="","",ROUND(F286*0.1,2))</f>
        <v/>
      </c>
      <c r="K286" s="5">
        <f>IF(G286="","",ROUND(G286*0.04,2))</f>
        <v/>
      </c>
      <c r="L286" s="4" t="n"/>
      <c r="M286" s="4" t="n"/>
      <c r="N286" s="5">
        <f>IF(A286="","",SUM(E286:K286)-N(L286))</f>
        <v/>
      </c>
      <c r="O286">
        <f>IF(OR(A286="",M286=""),"",IF(ABS(M286-N286)&lt;=0.02,"OK","REVISAR"))</f>
        <v/>
      </c>
      <c r="P286">
        <f>IF(D286="","",IF(LEN(TRIM(D286))&lt;&gt;9,"REVISAR",IFERROR(IF(OR(ISNUMBER(VALUE(LEFT(UPPER(TRIM(D286)),1))),LEFT(UPPER(TRIM(D286)),1)="X",LEFT(UPPER(TRIM(D286)),1)="Y",LEFT(UPPER(TRIM(D286)),1)="Z"),IF(MID("TRWAGMYFPDXBNJZSQVHLCKE",MOD(VALUE(SUBSTITUTE(SUBSTITUTE(SUBSTITUTE(LEFT(UPPER(TRIM(D286)),8),"X","0"),"Y","1"),"Z","2")),23)+1,1)=RIGHT(UPPER(TRIM(D286)),1),"OK","REVISAR"),IF(OR(RIGHT(UPPER(TRIM(D286)),1)=TEXT(MOD(10-MOD((VALUE(MID(UPPER(TRIM(D286)),3,1))+VALUE(MID(UPPER(TRIM(D286)),5,1))+VALUE(MID(UPPER(TRIM(D286)),7,1)))+(INT(2*VALUE(MID(UPPER(TRIM(D286)),2,1))/10)+MOD(2*VALUE(MID(UPPER(TRIM(D286)),2,1)),10))+(INT(2*VALUE(MID(UPPER(TRIM(D286)),4,1))/10)+MOD(2*VALUE(MID(UPPER(TRIM(D286)),4,1)),10))+(INT(2*VALUE(MID(UPPER(TRIM(D286)),6,1))/10)+MOD(2*VALUE(MID(UPPER(TRIM(D286)),6,1)),10))+(INT(2*VALUE(MID(UPPER(TRIM(D286)),8,1))/10)+MOD(2*VALUE(MID(UPPER(TRIM(D286)),8,1)),10)),10),10),"0"),RIGHT(UPPER(TRIM(D286)),1)=MID("JABCDEFGHI",MOD(10-MOD((VALUE(MID(UPPER(TRIM(D286)),3,1))+VALUE(MID(UPPER(TRIM(D286)),5,1))+VALUE(MID(UPPER(TRIM(D286)),7,1)))+(INT(2*VALUE(MID(UPPER(TRIM(D286)),2,1))/10)+MOD(2*VALUE(MID(UPPER(TRIM(D286)),2,1)),10))+(INT(2*VALUE(MID(UPPER(TRIM(D286)),4,1))/10)+MOD(2*VALUE(MID(UPPER(TRIM(D286)),4,1)),10))+(INT(2*VALUE(MID(UPPER(TRIM(D286)),6,1))/10)+MOD(2*VALUE(MID(UPPER(TRIM(D286)),6,1)),10))+(INT(2*VALUE(MID(UPPER(TRIM(D286)),8,1))/10)+MOD(2*VALUE(MID(UPPER(TRIM(D286)),8,1)),10)),10),10)+1,1)),"OK","REVISAR")),"REVISAR")))</f>
        <v/>
      </c>
      <c r="Q286">
        <f>IF(B286="","",IF(COUNTIFS($B$2:$B$501,B286,$D$2:$D$501,D286)&gt;1,"DUPLICADA",""))</f>
        <v/>
      </c>
      <c r="R286">
        <f>IF(A286="","",ROUNDUP(MONTH(A286)/3,0))</f>
        <v/>
      </c>
      <c r="S286" s="3" t="n"/>
    </row>
    <row r="287">
      <c r="A287" s="2" t="n"/>
      <c r="B287" s="3" t="n"/>
      <c r="C287" s="3" t="n"/>
      <c r="D287" s="3" t="n"/>
      <c r="E287" s="4" t="n"/>
      <c r="F287" s="4" t="n"/>
      <c r="G287" s="4" t="n"/>
      <c r="H287" s="4" t="n"/>
      <c r="I287" s="5">
        <f>IF(E287="","",ROUND(E287*0.21,2))</f>
        <v/>
      </c>
      <c r="J287" s="5">
        <f>IF(F287="","",ROUND(F287*0.1,2))</f>
        <v/>
      </c>
      <c r="K287" s="5">
        <f>IF(G287="","",ROUND(G287*0.04,2))</f>
        <v/>
      </c>
      <c r="L287" s="4" t="n"/>
      <c r="M287" s="4" t="n"/>
      <c r="N287" s="5">
        <f>IF(A287="","",SUM(E287:K287)-N(L287))</f>
        <v/>
      </c>
      <c r="O287">
        <f>IF(OR(A287="",M287=""),"",IF(ABS(M287-N287)&lt;=0.02,"OK","REVISAR"))</f>
        <v/>
      </c>
      <c r="P287">
        <f>IF(D287="","",IF(LEN(TRIM(D287))&lt;&gt;9,"REVISAR",IFERROR(IF(OR(ISNUMBER(VALUE(LEFT(UPPER(TRIM(D287)),1))),LEFT(UPPER(TRIM(D287)),1)="X",LEFT(UPPER(TRIM(D287)),1)="Y",LEFT(UPPER(TRIM(D287)),1)="Z"),IF(MID("TRWAGMYFPDXBNJZSQVHLCKE",MOD(VALUE(SUBSTITUTE(SUBSTITUTE(SUBSTITUTE(LEFT(UPPER(TRIM(D287)),8),"X","0"),"Y","1"),"Z","2")),23)+1,1)=RIGHT(UPPER(TRIM(D287)),1),"OK","REVISAR"),IF(OR(RIGHT(UPPER(TRIM(D287)),1)=TEXT(MOD(10-MOD((VALUE(MID(UPPER(TRIM(D287)),3,1))+VALUE(MID(UPPER(TRIM(D287)),5,1))+VALUE(MID(UPPER(TRIM(D287)),7,1)))+(INT(2*VALUE(MID(UPPER(TRIM(D287)),2,1))/10)+MOD(2*VALUE(MID(UPPER(TRIM(D287)),2,1)),10))+(INT(2*VALUE(MID(UPPER(TRIM(D287)),4,1))/10)+MOD(2*VALUE(MID(UPPER(TRIM(D287)),4,1)),10))+(INT(2*VALUE(MID(UPPER(TRIM(D287)),6,1))/10)+MOD(2*VALUE(MID(UPPER(TRIM(D287)),6,1)),10))+(INT(2*VALUE(MID(UPPER(TRIM(D287)),8,1))/10)+MOD(2*VALUE(MID(UPPER(TRIM(D287)),8,1)),10)),10),10),"0"),RIGHT(UPPER(TRIM(D287)),1)=MID("JABCDEFGHI",MOD(10-MOD((VALUE(MID(UPPER(TRIM(D287)),3,1))+VALUE(MID(UPPER(TRIM(D287)),5,1))+VALUE(MID(UPPER(TRIM(D287)),7,1)))+(INT(2*VALUE(MID(UPPER(TRIM(D287)),2,1))/10)+MOD(2*VALUE(MID(UPPER(TRIM(D287)),2,1)),10))+(INT(2*VALUE(MID(UPPER(TRIM(D287)),4,1))/10)+MOD(2*VALUE(MID(UPPER(TRIM(D287)),4,1)),10))+(INT(2*VALUE(MID(UPPER(TRIM(D287)),6,1))/10)+MOD(2*VALUE(MID(UPPER(TRIM(D287)),6,1)),10))+(INT(2*VALUE(MID(UPPER(TRIM(D287)),8,1))/10)+MOD(2*VALUE(MID(UPPER(TRIM(D287)),8,1)),10)),10),10)+1,1)),"OK","REVISAR")),"REVISAR")))</f>
        <v/>
      </c>
      <c r="Q287">
        <f>IF(B287="","",IF(COUNTIFS($B$2:$B$501,B287,$D$2:$D$501,D287)&gt;1,"DUPLICADA",""))</f>
        <v/>
      </c>
      <c r="R287">
        <f>IF(A287="","",ROUNDUP(MONTH(A287)/3,0))</f>
        <v/>
      </c>
      <c r="S287" s="3" t="n"/>
    </row>
    <row r="288">
      <c r="A288" s="2" t="n"/>
      <c r="B288" s="3" t="n"/>
      <c r="C288" s="3" t="n"/>
      <c r="D288" s="3" t="n"/>
      <c r="E288" s="4" t="n"/>
      <c r="F288" s="4" t="n"/>
      <c r="G288" s="4" t="n"/>
      <c r="H288" s="4" t="n"/>
      <c r="I288" s="5">
        <f>IF(E288="","",ROUND(E288*0.21,2))</f>
        <v/>
      </c>
      <c r="J288" s="5">
        <f>IF(F288="","",ROUND(F288*0.1,2))</f>
        <v/>
      </c>
      <c r="K288" s="5">
        <f>IF(G288="","",ROUND(G288*0.04,2))</f>
        <v/>
      </c>
      <c r="L288" s="4" t="n"/>
      <c r="M288" s="4" t="n"/>
      <c r="N288" s="5">
        <f>IF(A288="","",SUM(E288:K288)-N(L288))</f>
        <v/>
      </c>
      <c r="O288">
        <f>IF(OR(A288="",M288=""),"",IF(ABS(M288-N288)&lt;=0.02,"OK","REVISAR"))</f>
        <v/>
      </c>
      <c r="P288">
        <f>IF(D288="","",IF(LEN(TRIM(D288))&lt;&gt;9,"REVISAR",IFERROR(IF(OR(ISNUMBER(VALUE(LEFT(UPPER(TRIM(D288)),1))),LEFT(UPPER(TRIM(D288)),1)="X",LEFT(UPPER(TRIM(D288)),1)="Y",LEFT(UPPER(TRIM(D288)),1)="Z"),IF(MID("TRWAGMYFPDXBNJZSQVHLCKE",MOD(VALUE(SUBSTITUTE(SUBSTITUTE(SUBSTITUTE(LEFT(UPPER(TRIM(D288)),8),"X","0"),"Y","1"),"Z","2")),23)+1,1)=RIGHT(UPPER(TRIM(D288)),1),"OK","REVISAR"),IF(OR(RIGHT(UPPER(TRIM(D288)),1)=TEXT(MOD(10-MOD((VALUE(MID(UPPER(TRIM(D288)),3,1))+VALUE(MID(UPPER(TRIM(D288)),5,1))+VALUE(MID(UPPER(TRIM(D288)),7,1)))+(INT(2*VALUE(MID(UPPER(TRIM(D288)),2,1))/10)+MOD(2*VALUE(MID(UPPER(TRIM(D288)),2,1)),10))+(INT(2*VALUE(MID(UPPER(TRIM(D288)),4,1))/10)+MOD(2*VALUE(MID(UPPER(TRIM(D288)),4,1)),10))+(INT(2*VALUE(MID(UPPER(TRIM(D288)),6,1))/10)+MOD(2*VALUE(MID(UPPER(TRIM(D288)),6,1)),10))+(INT(2*VALUE(MID(UPPER(TRIM(D288)),8,1))/10)+MOD(2*VALUE(MID(UPPER(TRIM(D288)),8,1)),10)),10),10),"0"),RIGHT(UPPER(TRIM(D288)),1)=MID("JABCDEFGHI",MOD(10-MOD((VALUE(MID(UPPER(TRIM(D288)),3,1))+VALUE(MID(UPPER(TRIM(D288)),5,1))+VALUE(MID(UPPER(TRIM(D288)),7,1)))+(INT(2*VALUE(MID(UPPER(TRIM(D288)),2,1))/10)+MOD(2*VALUE(MID(UPPER(TRIM(D288)),2,1)),10))+(INT(2*VALUE(MID(UPPER(TRIM(D288)),4,1))/10)+MOD(2*VALUE(MID(UPPER(TRIM(D288)),4,1)),10))+(INT(2*VALUE(MID(UPPER(TRIM(D288)),6,1))/10)+MOD(2*VALUE(MID(UPPER(TRIM(D288)),6,1)),10))+(INT(2*VALUE(MID(UPPER(TRIM(D288)),8,1))/10)+MOD(2*VALUE(MID(UPPER(TRIM(D288)),8,1)),10)),10),10)+1,1)),"OK","REVISAR")),"REVISAR")))</f>
        <v/>
      </c>
      <c r="Q288">
        <f>IF(B288="","",IF(COUNTIFS($B$2:$B$501,B288,$D$2:$D$501,D288)&gt;1,"DUPLICADA",""))</f>
        <v/>
      </c>
      <c r="R288">
        <f>IF(A288="","",ROUNDUP(MONTH(A288)/3,0))</f>
        <v/>
      </c>
      <c r="S288" s="3" t="n"/>
    </row>
    <row r="289">
      <c r="A289" s="2" t="n"/>
      <c r="B289" s="3" t="n"/>
      <c r="C289" s="3" t="n"/>
      <c r="D289" s="3" t="n"/>
      <c r="E289" s="4" t="n"/>
      <c r="F289" s="4" t="n"/>
      <c r="G289" s="4" t="n"/>
      <c r="H289" s="4" t="n"/>
      <c r="I289" s="5">
        <f>IF(E289="","",ROUND(E289*0.21,2))</f>
        <v/>
      </c>
      <c r="J289" s="5">
        <f>IF(F289="","",ROUND(F289*0.1,2))</f>
        <v/>
      </c>
      <c r="K289" s="5">
        <f>IF(G289="","",ROUND(G289*0.04,2))</f>
        <v/>
      </c>
      <c r="L289" s="4" t="n"/>
      <c r="M289" s="4" t="n"/>
      <c r="N289" s="5">
        <f>IF(A289="","",SUM(E289:K289)-N(L289))</f>
        <v/>
      </c>
      <c r="O289">
        <f>IF(OR(A289="",M289=""),"",IF(ABS(M289-N289)&lt;=0.02,"OK","REVISAR"))</f>
        <v/>
      </c>
      <c r="P289">
        <f>IF(D289="","",IF(LEN(TRIM(D289))&lt;&gt;9,"REVISAR",IFERROR(IF(OR(ISNUMBER(VALUE(LEFT(UPPER(TRIM(D289)),1))),LEFT(UPPER(TRIM(D289)),1)="X",LEFT(UPPER(TRIM(D289)),1)="Y",LEFT(UPPER(TRIM(D289)),1)="Z"),IF(MID("TRWAGMYFPDXBNJZSQVHLCKE",MOD(VALUE(SUBSTITUTE(SUBSTITUTE(SUBSTITUTE(LEFT(UPPER(TRIM(D289)),8),"X","0"),"Y","1"),"Z","2")),23)+1,1)=RIGHT(UPPER(TRIM(D289)),1),"OK","REVISAR"),IF(OR(RIGHT(UPPER(TRIM(D289)),1)=TEXT(MOD(10-MOD((VALUE(MID(UPPER(TRIM(D289)),3,1))+VALUE(MID(UPPER(TRIM(D289)),5,1))+VALUE(MID(UPPER(TRIM(D289)),7,1)))+(INT(2*VALUE(MID(UPPER(TRIM(D289)),2,1))/10)+MOD(2*VALUE(MID(UPPER(TRIM(D289)),2,1)),10))+(INT(2*VALUE(MID(UPPER(TRIM(D289)),4,1))/10)+MOD(2*VALUE(MID(UPPER(TRIM(D289)),4,1)),10))+(INT(2*VALUE(MID(UPPER(TRIM(D289)),6,1))/10)+MOD(2*VALUE(MID(UPPER(TRIM(D289)),6,1)),10))+(INT(2*VALUE(MID(UPPER(TRIM(D289)),8,1))/10)+MOD(2*VALUE(MID(UPPER(TRIM(D289)),8,1)),10)),10),10),"0"),RIGHT(UPPER(TRIM(D289)),1)=MID("JABCDEFGHI",MOD(10-MOD((VALUE(MID(UPPER(TRIM(D289)),3,1))+VALUE(MID(UPPER(TRIM(D289)),5,1))+VALUE(MID(UPPER(TRIM(D289)),7,1)))+(INT(2*VALUE(MID(UPPER(TRIM(D289)),2,1))/10)+MOD(2*VALUE(MID(UPPER(TRIM(D289)),2,1)),10))+(INT(2*VALUE(MID(UPPER(TRIM(D289)),4,1))/10)+MOD(2*VALUE(MID(UPPER(TRIM(D289)),4,1)),10))+(INT(2*VALUE(MID(UPPER(TRIM(D289)),6,1))/10)+MOD(2*VALUE(MID(UPPER(TRIM(D289)),6,1)),10))+(INT(2*VALUE(MID(UPPER(TRIM(D289)),8,1))/10)+MOD(2*VALUE(MID(UPPER(TRIM(D289)),8,1)),10)),10),10)+1,1)),"OK","REVISAR")),"REVISAR")))</f>
        <v/>
      </c>
      <c r="Q289">
        <f>IF(B289="","",IF(COUNTIFS($B$2:$B$501,B289,$D$2:$D$501,D289)&gt;1,"DUPLICADA",""))</f>
        <v/>
      </c>
      <c r="R289">
        <f>IF(A289="","",ROUNDUP(MONTH(A289)/3,0))</f>
        <v/>
      </c>
      <c r="S289" s="3" t="n"/>
    </row>
    <row r="290">
      <c r="A290" s="2" t="n"/>
      <c r="B290" s="3" t="n"/>
      <c r="C290" s="3" t="n"/>
      <c r="D290" s="3" t="n"/>
      <c r="E290" s="4" t="n"/>
      <c r="F290" s="4" t="n"/>
      <c r="G290" s="4" t="n"/>
      <c r="H290" s="4" t="n"/>
      <c r="I290" s="5">
        <f>IF(E290="","",ROUND(E290*0.21,2))</f>
        <v/>
      </c>
      <c r="J290" s="5">
        <f>IF(F290="","",ROUND(F290*0.1,2))</f>
        <v/>
      </c>
      <c r="K290" s="5">
        <f>IF(G290="","",ROUND(G290*0.04,2))</f>
        <v/>
      </c>
      <c r="L290" s="4" t="n"/>
      <c r="M290" s="4" t="n"/>
      <c r="N290" s="5">
        <f>IF(A290="","",SUM(E290:K290)-N(L290))</f>
        <v/>
      </c>
      <c r="O290">
        <f>IF(OR(A290="",M290=""),"",IF(ABS(M290-N290)&lt;=0.02,"OK","REVISAR"))</f>
        <v/>
      </c>
      <c r="P290">
        <f>IF(D290="","",IF(LEN(TRIM(D290))&lt;&gt;9,"REVISAR",IFERROR(IF(OR(ISNUMBER(VALUE(LEFT(UPPER(TRIM(D290)),1))),LEFT(UPPER(TRIM(D290)),1)="X",LEFT(UPPER(TRIM(D290)),1)="Y",LEFT(UPPER(TRIM(D290)),1)="Z"),IF(MID("TRWAGMYFPDXBNJZSQVHLCKE",MOD(VALUE(SUBSTITUTE(SUBSTITUTE(SUBSTITUTE(LEFT(UPPER(TRIM(D290)),8),"X","0"),"Y","1"),"Z","2")),23)+1,1)=RIGHT(UPPER(TRIM(D290)),1),"OK","REVISAR"),IF(OR(RIGHT(UPPER(TRIM(D290)),1)=TEXT(MOD(10-MOD((VALUE(MID(UPPER(TRIM(D290)),3,1))+VALUE(MID(UPPER(TRIM(D290)),5,1))+VALUE(MID(UPPER(TRIM(D290)),7,1)))+(INT(2*VALUE(MID(UPPER(TRIM(D290)),2,1))/10)+MOD(2*VALUE(MID(UPPER(TRIM(D290)),2,1)),10))+(INT(2*VALUE(MID(UPPER(TRIM(D290)),4,1))/10)+MOD(2*VALUE(MID(UPPER(TRIM(D290)),4,1)),10))+(INT(2*VALUE(MID(UPPER(TRIM(D290)),6,1))/10)+MOD(2*VALUE(MID(UPPER(TRIM(D290)),6,1)),10))+(INT(2*VALUE(MID(UPPER(TRIM(D290)),8,1))/10)+MOD(2*VALUE(MID(UPPER(TRIM(D290)),8,1)),10)),10),10),"0"),RIGHT(UPPER(TRIM(D290)),1)=MID("JABCDEFGHI",MOD(10-MOD((VALUE(MID(UPPER(TRIM(D290)),3,1))+VALUE(MID(UPPER(TRIM(D290)),5,1))+VALUE(MID(UPPER(TRIM(D290)),7,1)))+(INT(2*VALUE(MID(UPPER(TRIM(D290)),2,1))/10)+MOD(2*VALUE(MID(UPPER(TRIM(D290)),2,1)),10))+(INT(2*VALUE(MID(UPPER(TRIM(D290)),4,1))/10)+MOD(2*VALUE(MID(UPPER(TRIM(D290)),4,1)),10))+(INT(2*VALUE(MID(UPPER(TRIM(D290)),6,1))/10)+MOD(2*VALUE(MID(UPPER(TRIM(D290)),6,1)),10))+(INT(2*VALUE(MID(UPPER(TRIM(D290)),8,1))/10)+MOD(2*VALUE(MID(UPPER(TRIM(D290)),8,1)),10)),10),10)+1,1)),"OK","REVISAR")),"REVISAR")))</f>
        <v/>
      </c>
      <c r="Q290">
        <f>IF(B290="","",IF(COUNTIFS($B$2:$B$501,B290,$D$2:$D$501,D290)&gt;1,"DUPLICADA",""))</f>
        <v/>
      </c>
      <c r="R290">
        <f>IF(A290="","",ROUNDUP(MONTH(A290)/3,0))</f>
        <v/>
      </c>
      <c r="S290" s="3" t="n"/>
    </row>
    <row r="291">
      <c r="A291" s="2" t="n"/>
      <c r="B291" s="3" t="n"/>
      <c r="C291" s="3" t="n"/>
      <c r="D291" s="3" t="n"/>
      <c r="E291" s="4" t="n"/>
      <c r="F291" s="4" t="n"/>
      <c r="G291" s="4" t="n"/>
      <c r="H291" s="4" t="n"/>
      <c r="I291" s="5">
        <f>IF(E291="","",ROUND(E291*0.21,2))</f>
        <v/>
      </c>
      <c r="J291" s="5">
        <f>IF(F291="","",ROUND(F291*0.1,2))</f>
        <v/>
      </c>
      <c r="K291" s="5">
        <f>IF(G291="","",ROUND(G291*0.04,2))</f>
        <v/>
      </c>
      <c r="L291" s="4" t="n"/>
      <c r="M291" s="4" t="n"/>
      <c r="N291" s="5">
        <f>IF(A291="","",SUM(E291:K291)-N(L291))</f>
        <v/>
      </c>
      <c r="O291">
        <f>IF(OR(A291="",M291=""),"",IF(ABS(M291-N291)&lt;=0.02,"OK","REVISAR"))</f>
        <v/>
      </c>
      <c r="P291">
        <f>IF(D291="","",IF(LEN(TRIM(D291))&lt;&gt;9,"REVISAR",IFERROR(IF(OR(ISNUMBER(VALUE(LEFT(UPPER(TRIM(D291)),1))),LEFT(UPPER(TRIM(D291)),1)="X",LEFT(UPPER(TRIM(D291)),1)="Y",LEFT(UPPER(TRIM(D291)),1)="Z"),IF(MID("TRWAGMYFPDXBNJZSQVHLCKE",MOD(VALUE(SUBSTITUTE(SUBSTITUTE(SUBSTITUTE(LEFT(UPPER(TRIM(D291)),8),"X","0"),"Y","1"),"Z","2")),23)+1,1)=RIGHT(UPPER(TRIM(D291)),1),"OK","REVISAR"),IF(OR(RIGHT(UPPER(TRIM(D291)),1)=TEXT(MOD(10-MOD((VALUE(MID(UPPER(TRIM(D291)),3,1))+VALUE(MID(UPPER(TRIM(D291)),5,1))+VALUE(MID(UPPER(TRIM(D291)),7,1)))+(INT(2*VALUE(MID(UPPER(TRIM(D291)),2,1))/10)+MOD(2*VALUE(MID(UPPER(TRIM(D291)),2,1)),10))+(INT(2*VALUE(MID(UPPER(TRIM(D291)),4,1))/10)+MOD(2*VALUE(MID(UPPER(TRIM(D291)),4,1)),10))+(INT(2*VALUE(MID(UPPER(TRIM(D291)),6,1))/10)+MOD(2*VALUE(MID(UPPER(TRIM(D291)),6,1)),10))+(INT(2*VALUE(MID(UPPER(TRIM(D291)),8,1))/10)+MOD(2*VALUE(MID(UPPER(TRIM(D291)),8,1)),10)),10),10),"0"),RIGHT(UPPER(TRIM(D291)),1)=MID("JABCDEFGHI",MOD(10-MOD((VALUE(MID(UPPER(TRIM(D291)),3,1))+VALUE(MID(UPPER(TRIM(D291)),5,1))+VALUE(MID(UPPER(TRIM(D291)),7,1)))+(INT(2*VALUE(MID(UPPER(TRIM(D291)),2,1))/10)+MOD(2*VALUE(MID(UPPER(TRIM(D291)),2,1)),10))+(INT(2*VALUE(MID(UPPER(TRIM(D291)),4,1))/10)+MOD(2*VALUE(MID(UPPER(TRIM(D291)),4,1)),10))+(INT(2*VALUE(MID(UPPER(TRIM(D291)),6,1))/10)+MOD(2*VALUE(MID(UPPER(TRIM(D291)),6,1)),10))+(INT(2*VALUE(MID(UPPER(TRIM(D291)),8,1))/10)+MOD(2*VALUE(MID(UPPER(TRIM(D291)),8,1)),10)),10),10)+1,1)),"OK","REVISAR")),"REVISAR")))</f>
        <v/>
      </c>
      <c r="Q291">
        <f>IF(B291="","",IF(COUNTIFS($B$2:$B$501,B291,$D$2:$D$501,D291)&gt;1,"DUPLICADA",""))</f>
        <v/>
      </c>
      <c r="R291">
        <f>IF(A291="","",ROUNDUP(MONTH(A291)/3,0))</f>
        <v/>
      </c>
      <c r="S291" s="3" t="n"/>
    </row>
    <row r="292">
      <c r="A292" s="2" t="n"/>
      <c r="B292" s="3" t="n"/>
      <c r="C292" s="3" t="n"/>
      <c r="D292" s="3" t="n"/>
      <c r="E292" s="4" t="n"/>
      <c r="F292" s="4" t="n"/>
      <c r="G292" s="4" t="n"/>
      <c r="H292" s="4" t="n"/>
      <c r="I292" s="5">
        <f>IF(E292="","",ROUND(E292*0.21,2))</f>
        <v/>
      </c>
      <c r="J292" s="5">
        <f>IF(F292="","",ROUND(F292*0.1,2))</f>
        <v/>
      </c>
      <c r="K292" s="5">
        <f>IF(G292="","",ROUND(G292*0.04,2))</f>
        <v/>
      </c>
      <c r="L292" s="4" t="n"/>
      <c r="M292" s="4" t="n"/>
      <c r="N292" s="5">
        <f>IF(A292="","",SUM(E292:K292)-N(L292))</f>
        <v/>
      </c>
      <c r="O292">
        <f>IF(OR(A292="",M292=""),"",IF(ABS(M292-N292)&lt;=0.02,"OK","REVISAR"))</f>
        <v/>
      </c>
      <c r="P292">
        <f>IF(D292="","",IF(LEN(TRIM(D292))&lt;&gt;9,"REVISAR",IFERROR(IF(OR(ISNUMBER(VALUE(LEFT(UPPER(TRIM(D292)),1))),LEFT(UPPER(TRIM(D292)),1)="X",LEFT(UPPER(TRIM(D292)),1)="Y",LEFT(UPPER(TRIM(D292)),1)="Z"),IF(MID("TRWAGMYFPDXBNJZSQVHLCKE",MOD(VALUE(SUBSTITUTE(SUBSTITUTE(SUBSTITUTE(LEFT(UPPER(TRIM(D292)),8),"X","0"),"Y","1"),"Z","2")),23)+1,1)=RIGHT(UPPER(TRIM(D292)),1),"OK","REVISAR"),IF(OR(RIGHT(UPPER(TRIM(D292)),1)=TEXT(MOD(10-MOD((VALUE(MID(UPPER(TRIM(D292)),3,1))+VALUE(MID(UPPER(TRIM(D292)),5,1))+VALUE(MID(UPPER(TRIM(D292)),7,1)))+(INT(2*VALUE(MID(UPPER(TRIM(D292)),2,1))/10)+MOD(2*VALUE(MID(UPPER(TRIM(D292)),2,1)),10))+(INT(2*VALUE(MID(UPPER(TRIM(D292)),4,1))/10)+MOD(2*VALUE(MID(UPPER(TRIM(D292)),4,1)),10))+(INT(2*VALUE(MID(UPPER(TRIM(D292)),6,1))/10)+MOD(2*VALUE(MID(UPPER(TRIM(D292)),6,1)),10))+(INT(2*VALUE(MID(UPPER(TRIM(D292)),8,1))/10)+MOD(2*VALUE(MID(UPPER(TRIM(D292)),8,1)),10)),10),10),"0"),RIGHT(UPPER(TRIM(D292)),1)=MID("JABCDEFGHI",MOD(10-MOD((VALUE(MID(UPPER(TRIM(D292)),3,1))+VALUE(MID(UPPER(TRIM(D292)),5,1))+VALUE(MID(UPPER(TRIM(D292)),7,1)))+(INT(2*VALUE(MID(UPPER(TRIM(D292)),2,1))/10)+MOD(2*VALUE(MID(UPPER(TRIM(D292)),2,1)),10))+(INT(2*VALUE(MID(UPPER(TRIM(D292)),4,1))/10)+MOD(2*VALUE(MID(UPPER(TRIM(D292)),4,1)),10))+(INT(2*VALUE(MID(UPPER(TRIM(D292)),6,1))/10)+MOD(2*VALUE(MID(UPPER(TRIM(D292)),6,1)),10))+(INT(2*VALUE(MID(UPPER(TRIM(D292)),8,1))/10)+MOD(2*VALUE(MID(UPPER(TRIM(D292)),8,1)),10)),10),10)+1,1)),"OK","REVISAR")),"REVISAR")))</f>
        <v/>
      </c>
      <c r="Q292">
        <f>IF(B292="","",IF(COUNTIFS($B$2:$B$501,B292,$D$2:$D$501,D292)&gt;1,"DUPLICADA",""))</f>
        <v/>
      </c>
      <c r="R292">
        <f>IF(A292="","",ROUNDUP(MONTH(A292)/3,0))</f>
        <v/>
      </c>
      <c r="S292" s="3" t="n"/>
    </row>
    <row r="293">
      <c r="A293" s="2" t="n"/>
      <c r="B293" s="3" t="n"/>
      <c r="C293" s="3" t="n"/>
      <c r="D293" s="3" t="n"/>
      <c r="E293" s="4" t="n"/>
      <c r="F293" s="4" t="n"/>
      <c r="G293" s="4" t="n"/>
      <c r="H293" s="4" t="n"/>
      <c r="I293" s="5">
        <f>IF(E293="","",ROUND(E293*0.21,2))</f>
        <v/>
      </c>
      <c r="J293" s="5">
        <f>IF(F293="","",ROUND(F293*0.1,2))</f>
        <v/>
      </c>
      <c r="K293" s="5">
        <f>IF(G293="","",ROUND(G293*0.04,2))</f>
        <v/>
      </c>
      <c r="L293" s="4" t="n"/>
      <c r="M293" s="4" t="n"/>
      <c r="N293" s="5">
        <f>IF(A293="","",SUM(E293:K293)-N(L293))</f>
        <v/>
      </c>
      <c r="O293">
        <f>IF(OR(A293="",M293=""),"",IF(ABS(M293-N293)&lt;=0.02,"OK","REVISAR"))</f>
        <v/>
      </c>
      <c r="P293">
        <f>IF(D293="","",IF(LEN(TRIM(D293))&lt;&gt;9,"REVISAR",IFERROR(IF(OR(ISNUMBER(VALUE(LEFT(UPPER(TRIM(D293)),1))),LEFT(UPPER(TRIM(D293)),1)="X",LEFT(UPPER(TRIM(D293)),1)="Y",LEFT(UPPER(TRIM(D293)),1)="Z"),IF(MID("TRWAGMYFPDXBNJZSQVHLCKE",MOD(VALUE(SUBSTITUTE(SUBSTITUTE(SUBSTITUTE(LEFT(UPPER(TRIM(D293)),8),"X","0"),"Y","1"),"Z","2")),23)+1,1)=RIGHT(UPPER(TRIM(D293)),1),"OK","REVISAR"),IF(OR(RIGHT(UPPER(TRIM(D293)),1)=TEXT(MOD(10-MOD((VALUE(MID(UPPER(TRIM(D293)),3,1))+VALUE(MID(UPPER(TRIM(D293)),5,1))+VALUE(MID(UPPER(TRIM(D293)),7,1)))+(INT(2*VALUE(MID(UPPER(TRIM(D293)),2,1))/10)+MOD(2*VALUE(MID(UPPER(TRIM(D293)),2,1)),10))+(INT(2*VALUE(MID(UPPER(TRIM(D293)),4,1))/10)+MOD(2*VALUE(MID(UPPER(TRIM(D293)),4,1)),10))+(INT(2*VALUE(MID(UPPER(TRIM(D293)),6,1))/10)+MOD(2*VALUE(MID(UPPER(TRIM(D293)),6,1)),10))+(INT(2*VALUE(MID(UPPER(TRIM(D293)),8,1))/10)+MOD(2*VALUE(MID(UPPER(TRIM(D293)),8,1)),10)),10),10),"0"),RIGHT(UPPER(TRIM(D293)),1)=MID("JABCDEFGHI",MOD(10-MOD((VALUE(MID(UPPER(TRIM(D293)),3,1))+VALUE(MID(UPPER(TRIM(D293)),5,1))+VALUE(MID(UPPER(TRIM(D293)),7,1)))+(INT(2*VALUE(MID(UPPER(TRIM(D293)),2,1))/10)+MOD(2*VALUE(MID(UPPER(TRIM(D293)),2,1)),10))+(INT(2*VALUE(MID(UPPER(TRIM(D293)),4,1))/10)+MOD(2*VALUE(MID(UPPER(TRIM(D293)),4,1)),10))+(INT(2*VALUE(MID(UPPER(TRIM(D293)),6,1))/10)+MOD(2*VALUE(MID(UPPER(TRIM(D293)),6,1)),10))+(INT(2*VALUE(MID(UPPER(TRIM(D293)),8,1))/10)+MOD(2*VALUE(MID(UPPER(TRIM(D293)),8,1)),10)),10),10)+1,1)),"OK","REVISAR")),"REVISAR")))</f>
        <v/>
      </c>
      <c r="Q293">
        <f>IF(B293="","",IF(COUNTIFS($B$2:$B$501,B293,$D$2:$D$501,D293)&gt;1,"DUPLICADA",""))</f>
        <v/>
      </c>
      <c r="R293">
        <f>IF(A293="","",ROUNDUP(MONTH(A293)/3,0))</f>
        <v/>
      </c>
      <c r="S293" s="3" t="n"/>
    </row>
    <row r="294">
      <c r="A294" s="2" t="n"/>
      <c r="B294" s="3" t="n"/>
      <c r="C294" s="3" t="n"/>
      <c r="D294" s="3" t="n"/>
      <c r="E294" s="4" t="n"/>
      <c r="F294" s="4" t="n"/>
      <c r="G294" s="4" t="n"/>
      <c r="H294" s="4" t="n"/>
      <c r="I294" s="5">
        <f>IF(E294="","",ROUND(E294*0.21,2))</f>
        <v/>
      </c>
      <c r="J294" s="5">
        <f>IF(F294="","",ROUND(F294*0.1,2))</f>
        <v/>
      </c>
      <c r="K294" s="5">
        <f>IF(G294="","",ROUND(G294*0.04,2))</f>
        <v/>
      </c>
      <c r="L294" s="4" t="n"/>
      <c r="M294" s="4" t="n"/>
      <c r="N294" s="5">
        <f>IF(A294="","",SUM(E294:K294)-N(L294))</f>
        <v/>
      </c>
      <c r="O294">
        <f>IF(OR(A294="",M294=""),"",IF(ABS(M294-N294)&lt;=0.02,"OK","REVISAR"))</f>
        <v/>
      </c>
      <c r="P294">
        <f>IF(D294="","",IF(LEN(TRIM(D294))&lt;&gt;9,"REVISAR",IFERROR(IF(OR(ISNUMBER(VALUE(LEFT(UPPER(TRIM(D294)),1))),LEFT(UPPER(TRIM(D294)),1)="X",LEFT(UPPER(TRIM(D294)),1)="Y",LEFT(UPPER(TRIM(D294)),1)="Z"),IF(MID("TRWAGMYFPDXBNJZSQVHLCKE",MOD(VALUE(SUBSTITUTE(SUBSTITUTE(SUBSTITUTE(LEFT(UPPER(TRIM(D294)),8),"X","0"),"Y","1"),"Z","2")),23)+1,1)=RIGHT(UPPER(TRIM(D294)),1),"OK","REVISAR"),IF(OR(RIGHT(UPPER(TRIM(D294)),1)=TEXT(MOD(10-MOD((VALUE(MID(UPPER(TRIM(D294)),3,1))+VALUE(MID(UPPER(TRIM(D294)),5,1))+VALUE(MID(UPPER(TRIM(D294)),7,1)))+(INT(2*VALUE(MID(UPPER(TRIM(D294)),2,1))/10)+MOD(2*VALUE(MID(UPPER(TRIM(D294)),2,1)),10))+(INT(2*VALUE(MID(UPPER(TRIM(D294)),4,1))/10)+MOD(2*VALUE(MID(UPPER(TRIM(D294)),4,1)),10))+(INT(2*VALUE(MID(UPPER(TRIM(D294)),6,1))/10)+MOD(2*VALUE(MID(UPPER(TRIM(D294)),6,1)),10))+(INT(2*VALUE(MID(UPPER(TRIM(D294)),8,1))/10)+MOD(2*VALUE(MID(UPPER(TRIM(D294)),8,1)),10)),10),10),"0"),RIGHT(UPPER(TRIM(D294)),1)=MID("JABCDEFGHI",MOD(10-MOD((VALUE(MID(UPPER(TRIM(D294)),3,1))+VALUE(MID(UPPER(TRIM(D294)),5,1))+VALUE(MID(UPPER(TRIM(D294)),7,1)))+(INT(2*VALUE(MID(UPPER(TRIM(D294)),2,1))/10)+MOD(2*VALUE(MID(UPPER(TRIM(D294)),2,1)),10))+(INT(2*VALUE(MID(UPPER(TRIM(D294)),4,1))/10)+MOD(2*VALUE(MID(UPPER(TRIM(D294)),4,1)),10))+(INT(2*VALUE(MID(UPPER(TRIM(D294)),6,1))/10)+MOD(2*VALUE(MID(UPPER(TRIM(D294)),6,1)),10))+(INT(2*VALUE(MID(UPPER(TRIM(D294)),8,1))/10)+MOD(2*VALUE(MID(UPPER(TRIM(D294)),8,1)),10)),10),10)+1,1)),"OK","REVISAR")),"REVISAR")))</f>
        <v/>
      </c>
      <c r="Q294">
        <f>IF(B294="","",IF(COUNTIFS($B$2:$B$501,B294,$D$2:$D$501,D294)&gt;1,"DUPLICADA",""))</f>
        <v/>
      </c>
      <c r="R294">
        <f>IF(A294="","",ROUNDUP(MONTH(A294)/3,0))</f>
        <v/>
      </c>
      <c r="S294" s="3" t="n"/>
    </row>
    <row r="295">
      <c r="A295" s="2" t="n"/>
      <c r="B295" s="3" t="n"/>
      <c r="C295" s="3" t="n"/>
      <c r="D295" s="3" t="n"/>
      <c r="E295" s="4" t="n"/>
      <c r="F295" s="4" t="n"/>
      <c r="G295" s="4" t="n"/>
      <c r="H295" s="4" t="n"/>
      <c r="I295" s="5">
        <f>IF(E295="","",ROUND(E295*0.21,2))</f>
        <v/>
      </c>
      <c r="J295" s="5">
        <f>IF(F295="","",ROUND(F295*0.1,2))</f>
        <v/>
      </c>
      <c r="K295" s="5">
        <f>IF(G295="","",ROUND(G295*0.04,2))</f>
        <v/>
      </c>
      <c r="L295" s="4" t="n"/>
      <c r="M295" s="4" t="n"/>
      <c r="N295" s="5">
        <f>IF(A295="","",SUM(E295:K295)-N(L295))</f>
        <v/>
      </c>
      <c r="O295">
        <f>IF(OR(A295="",M295=""),"",IF(ABS(M295-N295)&lt;=0.02,"OK","REVISAR"))</f>
        <v/>
      </c>
      <c r="P295">
        <f>IF(D295="","",IF(LEN(TRIM(D295))&lt;&gt;9,"REVISAR",IFERROR(IF(OR(ISNUMBER(VALUE(LEFT(UPPER(TRIM(D295)),1))),LEFT(UPPER(TRIM(D295)),1)="X",LEFT(UPPER(TRIM(D295)),1)="Y",LEFT(UPPER(TRIM(D295)),1)="Z"),IF(MID("TRWAGMYFPDXBNJZSQVHLCKE",MOD(VALUE(SUBSTITUTE(SUBSTITUTE(SUBSTITUTE(LEFT(UPPER(TRIM(D295)),8),"X","0"),"Y","1"),"Z","2")),23)+1,1)=RIGHT(UPPER(TRIM(D295)),1),"OK","REVISAR"),IF(OR(RIGHT(UPPER(TRIM(D295)),1)=TEXT(MOD(10-MOD((VALUE(MID(UPPER(TRIM(D295)),3,1))+VALUE(MID(UPPER(TRIM(D295)),5,1))+VALUE(MID(UPPER(TRIM(D295)),7,1)))+(INT(2*VALUE(MID(UPPER(TRIM(D295)),2,1))/10)+MOD(2*VALUE(MID(UPPER(TRIM(D295)),2,1)),10))+(INT(2*VALUE(MID(UPPER(TRIM(D295)),4,1))/10)+MOD(2*VALUE(MID(UPPER(TRIM(D295)),4,1)),10))+(INT(2*VALUE(MID(UPPER(TRIM(D295)),6,1))/10)+MOD(2*VALUE(MID(UPPER(TRIM(D295)),6,1)),10))+(INT(2*VALUE(MID(UPPER(TRIM(D295)),8,1))/10)+MOD(2*VALUE(MID(UPPER(TRIM(D295)),8,1)),10)),10),10),"0"),RIGHT(UPPER(TRIM(D295)),1)=MID("JABCDEFGHI",MOD(10-MOD((VALUE(MID(UPPER(TRIM(D295)),3,1))+VALUE(MID(UPPER(TRIM(D295)),5,1))+VALUE(MID(UPPER(TRIM(D295)),7,1)))+(INT(2*VALUE(MID(UPPER(TRIM(D295)),2,1))/10)+MOD(2*VALUE(MID(UPPER(TRIM(D295)),2,1)),10))+(INT(2*VALUE(MID(UPPER(TRIM(D295)),4,1))/10)+MOD(2*VALUE(MID(UPPER(TRIM(D295)),4,1)),10))+(INT(2*VALUE(MID(UPPER(TRIM(D295)),6,1))/10)+MOD(2*VALUE(MID(UPPER(TRIM(D295)),6,1)),10))+(INT(2*VALUE(MID(UPPER(TRIM(D295)),8,1))/10)+MOD(2*VALUE(MID(UPPER(TRIM(D295)),8,1)),10)),10),10)+1,1)),"OK","REVISAR")),"REVISAR")))</f>
        <v/>
      </c>
      <c r="Q295">
        <f>IF(B295="","",IF(COUNTIFS($B$2:$B$501,B295,$D$2:$D$501,D295)&gt;1,"DUPLICADA",""))</f>
        <v/>
      </c>
      <c r="R295">
        <f>IF(A295="","",ROUNDUP(MONTH(A295)/3,0))</f>
        <v/>
      </c>
      <c r="S295" s="3" t="n"/>
    </row>
    <row r="296">
      <c r="A296" s="2" t="n"/>
      <c r="B296" s="3" t="n"/>
      <c r="C296" s="3" t="n"/>
      <c r="D296" s="3" t="n"/>
      <c r="E296" s="4" t="n"/>
      <c r="F296" s="4" t="n"/>
      <c r="G296" s="4" t="n"/>
      <c r="H296" s="4" t="n"/>
      <c r="I296" s="5">
        <f>IF(E296="","",ROUND(E296*0.21,2))</f>
        <v/>
      </c>
      <c r="J296" s="5">
        <f>IF(F296="","",ROUND(F296*0.1,2))</f>
        <v/>
      </c>
      <c r="K296" s="5">
        <f>IF(G296="","",ROUND(G296*0.04,2))</f>
        <v/>
      </c>
      <c r="L296" s="4" t="n"/>
      <c r="M296" s="4" t="n"/>
      <c r="N296" s="5">
        <f>IF(A296="","",SUM(E296:K296)-N(L296))</f>
        <v/>
      </c>
      <c r="O296">
        <f>IF(OR(A296="",M296=""),"",IF(ABS(M296-N296)&lt;=0.02,"OK","REVISAR"))</f>
        <v/>
      </c>
      <c r="P296">
        <f>IF(D296="","",IF(LEN(TRIM(D296))&lt;&gt;9,"REVISAR",IFERROR(IF(OR(ISNUMBER(VALUE(LEFT(UPPER(TRIM(D296)),1))),LEFT(UPPER(TRIM(D296)),1)="X",LEFT(UPPER(TRIM(D296)),1)="Y",LEFT(UPPER(TRIM(D296)),1)="Z"),IF(MID("TRWAGMYFPDXBNJZSQVHLCKE",MOD(VALUE(SUBSTITUTE(SUBSTITUTE(SUBSTITUTE(LEFT(UPPER(TRIM(D296)),8),"X","0"),"Y","1"),"Z","2")),23)+1,1)=RIGHT(UPPER(TRIM(D296)),1),"OK","REVISAR"),IF(OR(RIGHT(UPPER(TRIM(D296)),1)=TEXT(MOD(10-MOD((VALUE(MID(UPPER(TRIM(D296)),3,1))+VALUE(MID(UPPER(TRIM(D296)),5,1))+VALUE(MID(UPPER(TRIM(D296)),7,1)))+(INT(2*VALUE(MID(UPPER(TRIM(D296)),2,1))/10)+MOD(2*VALUE(MID(UPPER(TRIM(D296)),2,1)),10))+(INT(2*VALUE(MID(UPPER(TRIM(D296)),4,1))/10)+MOD(2*VALUE(MID(UPPER(TRIM(D296)),4,1)),10))+(INT(2*VALUE(MID(UPPER(TRIM(D296)),6,1))/10)+MOD(2*VALUE(MID(UPPER(TRIM(D296)),6,1)),10))+(INT(2*VALUE(MID(UPPER(TRIM(D296)),8,1))/10)+MOD(2*VALUE(MID(UPPER(TRIM(D296)),8,1)),10)),10),10),"0"),RIGHT(UPPER(TRIM(D296)),1)=MID("JABCDEFGHI",MOD(10-MOD((VALUE(MID(UPPER(TRIM(D296)),3,1))+VALUE(MID(UPPER(TRIM(D296)),5,1))+VALUE(MID(UPPER(TRIM(D296)),7,1)))+(INT(2*VALUE(MID(UPPER(TRIM(D296)),2,1))/10)+MOD(2*VALUE(MID(UPPER(TRIM(D296)),2,1)),10))+(INT(2*VALUE(MID(UPPER(TRIM(D296)),4,1))/10)+MOD(2*VALUE(MID(UPPER(TRIM(D296)),4,1)),10))+(INT(2*VALUE(MID(UPPER(TRIM(D296)),6,1))/10)+MOD(2*VALUE(MID(UPPER(TRIM(D296)),6,1)),10))+(INT(2*VALUE(MID(UPPER(TRIM(D296)),8,1))/10)+MOD(2*VALUE(MID(UPPER(TRIM(D296)),8,1)),10)),10),10)+1,1)),"OK","REVISAR")),"REVISAR")))</f>
        <v/>
      </c>
      <c r="Q296">
        <f>IF(B296="","",IF(COUNTIFS($B$2:$B$501,B296,$D$2:$D$501,D296)&gt;1,"DUPLICADA",""))</f>
        <v/>
      </c>
      <c r="R296">
        <f>IF(A296="","",ROUNDUP(MONTH(A296)/3,0))</f>
        <v/>
      </c>
      <c r="S296" s="3" t="n"/>
    </row>
    <row r="297">
      <c r="A297" s="2" t="n"/>
      <c r="B297" s="3" t="n"/>
      <c r="C297" s="3" t="n"/>
      <c r="D297" s="3" t="n"/>
      <c r="E297" s="4" t="n"/>
      <c r="F297" s="4" t="n"/>
      <c r="G297" s="4" t="n"/>
      <c r="H297" s="4" t="n"/>
      <c r="I297" s="5">
        <f>IF(E297="","",ROUND(E297*0.21,2))</f>
        <v/>
      </c>
      <c r="J297" s="5">
        <f>IF(F297="","",ROUND(F297*0.1,2))</f>
        <v/>
      </c>
      <c r="K297" s="5">
        <f>IF(G297="","",ROUND(G297*0.04,2))</f>
        <v/>
      </c>
      <c r="L297" s="4" t="n"/>
      <c r="M297" s="4" t="n"/>
      <c r="N297" s="5">
        <f>IF(A297="","",SUM(E297:K297)-N(L297))</f>
        <v/>
      </c>
      <c r="O297">
        <f>IF(OR(A297="",M297=""),"",IF(ABS(M297-N297)&lt;=0.02,"OK","REVISAR"))</f>
        <v/>
      </c>
      <c r="P297">
        <f>IF(D297="","",IF(LEN(TRIM(D297))&lt;&gt;9,"REVISAR",IFERROR(IF(OR(ISNUMBER(VALUE(LEFT(UPPER(TRIM(D297)),1))),LEFT(UPPER(TRIM(D297)),1)="X",LEFT(UPPER(TRIM(D297)),1)="Y",LEFT(UPPER(TRIM(D297)),1)="Z"),IF(MID("TRWAGMYFPDXBNJZSQVHLCKE",MOD(VALUE(SUBSTITUTE(SUBSTITUTE(SUBSTITUTE(LEFT(UPPER(TRIM(D297)),8),"X","0"),"Y","1"),"Z","2")),23)+1,1)=RIGHT(UPPER(TRIM(D297)),1),"OK","REVISAR"),IF(OR(RIGHT(UPPER(TRIM(D297)),1)=TEXT(MOD(10-MOD((VALUE(MID(UPPER(TRIM(D297)),3,1))+VALUE(MID(UPPER(TRIM(D297)),5,1))+VALUE(MID(UPPER(TRIM(D297)),7,1)))+(INT(2*VALUE(MID(UPPER(TRIM(D297)),2,1))/10)+MOD(2*VALUE(MID(UPPER(TRIM(D297)),2,1)),10))+(INT(2*VALUE(MID(UPPER(TRIM(D297)),4,1))/10)+MOD(2*VALUE(MID(UPPER(TRIM(D297)),4,1)),10))+(INT(2*VALUE(MID(UPPER(TRIM(D297)),6,1))/10)+MOD(2*VALUE(MID(UPPER(TRIM(D297)),6,1)),10))+(INT(2*VALUE(MID(UPPER(TRIM(D297)),8,1))/10)+MOD(2*VALUE(MID(UPPER(TRIM(D297)),8,1)),10)),10),10),"0"),RIGHT(UPPER(TRIM(D297)),1)=MID("JABCDEFGHI",MOD(10-MOD((VALUE(MID(UPPER(TRIM(D297)),3,1))+VALUE(MID(UPPER(TRIM(D297)),5,1))+VALUE(MID(UPPER(TRIM(D297)),7,1)))+(INT(2*VALUE(MID(UPPER(TRIM(D297)),2,1))/10)+MOD(2*VALUE(MID(UPPER(TRIM(D297)),2,1)),10))+(INT(2*VALUE(MID(UPPER(TRIM(D297)),4,1))/10)+MOD(2*VALUE(MID(UPPER(TRIM(D297)),4,1)),10))+(INT(2*VALUE(MID(UPPER(TRIM(D297)),6,1))/10)+MOD(2*VALUE(MID(UPPER(TRIM(D297)),6,1)),10))+(INT(2*VALUE(MID(UPPER(TRIM(D297)),8,1))/10)+MOD(2*VALUE(MID(UPPER(TRIM(D297)),8,1)),10)),10),10)+1,1)),"OK","REVISAR")),"REVISAR")))</f>
        <v/>
      </c>
      <c r="Q297">
        <f>IF(B297="","",IF(COUNTIFS($B$2:$B$501,B297,$D$2:$D$501,D297)&gt;1,"DUPLICADA",""))</f>
        <v/>
      </c>
      <c r="R297">
        <f>IF(A297="","",ROUNDUP(MONTH(A297)/3,0))</f>
        <v/>
      </c>
      <c r="S297" s="3" t="n"/>
    </row>
    <row r="298">
      <c r="A298" s="2" t="n"/>
      <c r="B298" s="3" t="n"/>
      <c r="C298" s="3" t="n"/>
      <c r="D298" s="3" t="n"/>
      <c r="E298" s="4" t="n"/>
      <c r="F298" s="4" t="n"/>
      <c r="G298" s="4" t="n"/>
      <c r="H298" s="4" t="n"/>
      <c r="I298" s="5">
        <f>IF(E298="","",ROUND(E298*0.21,2))</f>
        <v/>
      </c>
      <c r="J298" s="5">
        <f>IF(F298="","",ROUND(F298*0.1,2))</f>
        <v/>
      </c>
      <c r="K298" s="5">
        <f>IF(G298="","",ROUND(G298*0.04,2))</f>
        <v/>
      </c>
      <c r="L298" s="4" t="n"/>
      <c r="M298" s="4" t="n"/>
      <c r="N298" s="5">
        <f>IF(A298="","",SUM(E298:K298)-N(L298))</f>
        <v/>
      </c>
      <c r="O298">
        <f>IF(OR(A298="",M298=""),"",IF(ABS(M298-N298)&lt;=0.02,"OK","REVISAR"))</f>
        <v/>
      </c>
      <c r="P298">
        <f>IF(D298="","",IF(LEN(TRIM(D298))&lt;&gt;9,"REVISAR",IFERROR(IF(OR(ISNUMBER(VALUE(LEFT(UPPER(TRIM(D298)),1))),LEFT(UPPER(TRIM(D298)),1)="X",LEFT(UPPER(TRIM(D298)),1)="Y",LEFT(UPPER(TRIM(D298)),1)="Z"),IF(MID("TRWAGMYFPDXBNJZSQVHLCKE",MOD(VALUE(SUBSTITUTE(SUBSTITUTE(SUBSTITUTE(LEFT(UPPER(TRIM(D298)),8),"X","0"),"Y","1"),"Z","2")),23)+1,1)=RIGHT(UPPER(TRIM(D298)),1),"OK","REVISAR"),IF(OR(RIGHT(UPPER(TRIM(D298)),1)=TEXT(MOD(10-MOD((VALUE(MID(UPPER(TRIM(D298)),3,1))+VALUE(MID(UPPER(TRIM(D298)),5,1))+VALUE(MID(UPPER(TRIM(D298)),7,1)))+(INT(2*VALUE(MID(UPPER(TRIM(D298)),2,1))/10)+MOD(2*VALUE(MID(UPPER(TRIM(D298)),2,1)),10))+(INT(2*VALUE(MID(UPPER(TRIM(D298)),4,1))/10)+MOD(2*VALUE(MID(UPPER(TRIM(D298)),4,1)),10))+(INT(2*VALUE(MID(UPPER(TRIM(D298)),6,1))/10)+MOD(2*VALUE(MID(UPPER(TRIM(D298)),6,1)),10))+(INT(2*VALUE(MID(UPPER(TRIM(D298)),8,1))/10)+MOD(2*VALUE(MID(UPPER(TRIM(D298)),8,1)),10)),10),10),"0"),RIGHT(UPPER(TRIM(D298)),1)=MID("JABCDEFGHI",MOD(10-MOD((VALUE(MID(UPPER(TRIM(D298)),3,1))+VALUE(MID(UPPER(TRIM(D298)),5,1))+VALUE(MID(UPPER(TRIM(D298)),7,1)))+(INT(2*VALUE(MID(UPPER(TRIM(D298)),2,1))/10)+MOD(2*VALUE(MID(UPPER(TRIM(D298)),2,1)),10))+(INT(2*VALUE(MID(UPPER(TRIM(D298)),4,1))/10)+MOD(2*VALUE(MID(UPPER(TRIM(D298)),4,1)),10))+(INT(2*VALUE(MID(UPPER(TRIM(D298)),6,1))/10)+MOD(2*VALUE(MID(UPPER(TRIM(D298)),6,1)),10))+(INT(2*VALUE(MID(UPPER(TRIM(D298)),8,1))/10)+MOD(2*VALUE(MID(UPPER(TRIM(D298)),8,1)),10)),10),10)+1,1)),"OK","REVISAR")),"REVISAR")))</f>
        <v/>
      </c>
      <c r="Q298">
        <f>IF(B298="","",IF(COUNTIFS($B$2:$B$501,B298,$D$2:$D$501,D298)&gt;1,"DUPLICADA",""))</f>
        <v/>
      </c>
      <c r="R298">
        <f>IF(A298="","",ROUNDUP(MONTH(A298)/3,0))</f>
        <v/>
      </c>
      <c r="S298" s="3" t="n"/>
    </row>
    <row r="299">
      <c r="A299" s="2" t="n"/>
      <c r="B299" s="3" t="n"/>
      <c r="C299" s="3" t="n"/>
      <c r="D299" s="3" t="n"/>
      <c r="E299" s="4" t="n"/>
      <c r="F299" s="4" t="n"/>
      <c r="G299" s="4" t="n"/>
      <c r="H299" s="4" t="n"/>
      <c r="I299" s="5">
        <f>IF(E299="","",ROUND(E299*0.21,2))</f>
        <v/>
      </c>
      <c r="J299" s="5">
        <f>IF(F299="","",ROUND(F299*0.1,2))</f>
        <v/>
      </c>
      <c r="K299" s="5">
        <f>IF(G299="","",ROUND(G299*0.04,2))</f>
        <v/>
      </c>
      <c r="L299" s="4" t="n"/>
      <c r="M299" s="4" t="n"/>
      <c r="N299" s="5">
        <f>IF(A299="","",SUM(E299:K299)-N(L299))</f>
        <v/>
      </c>
      <c r="O299">
        <f>IF(OR(A299="",M299=""),"",IF(ABS(M299-N299)&lt;=0.02,"OK","REVISAR"))</f>
        <v/>
      </c>
      <c r="P299">
        <f>IF(D299="","",IF(LEN(TRIM(D299))&lt;&gt;9,"REVISAR",IFERROR(IF(OR(ISNUMBER(VALUE(LEFT(UPPER(TRIM(D299)),1))),LEFT(UPPER(TRIM(D299)),1)="X",LEFT(UPPER(TRIM(D299)),1)="Y",LEFT(UPPER(TRIM(D299)),1)="Z"),IF(MID("TRWAGMYFPDXBNJZSQVHLCKE",MOD(VALUE(SUBSTITUTE(SUBSTITUTE(SUBSTITUTE(LEFT(UPPER(TRIM(D299)),8),"X","0"),"Y","1"),"Z","2")),23)+1,1)=RIGHT(UPPER(TRIM(D299)),1),"OK","REVISAR"),IF(OR(RIGHT(UPPER(TRIM(D299)),1)=TEXT(MOD(10-MOD((VALUE(MID(UPPER(TRIM(D299)),3,1))+VALUE(MID(UPPER(TRIM(D299)),5,1))+VALUE(MID(UPPER(TRIM(D299)),7,1)))+(INT(2*VALUE(MID(UPPER(TRIM(D299)),2,1))/10)+MOD(2*VALUE(MID(UPPER(TRIM(D299)),2,1)),10))+(INT(2*VALUE(MID(UPPER(TRIM(D299)),4,1))/10)+MOD(2*VALUE(MID(UPPER(TRIM(D299)),4,1)),10))+(INT(2*VALUE(MID(UPPER(TRIM(D299)),6,1))/10)+MOD(2*VALUE(MID(UPPER(TRIM(D299)),6,1)),10))+(INT(2*VALUE(MID(UPPER(TRIM(D299)),8,1))/10)+MOD(2*VALUE(MID(UPPER(TRIM(D299)),8,1)),10)),10),10),"0"),RIGHT(UPPER(TRIM(D299)),1)=MID("JABCDEFGHI",MOD(10-MOD((VALUE(MID(UPPER(TRIM(D299)),3,1))+VALUE(MID(UPPER(TRIM(D299)),5,1))+VALUE(MID(UPPER(TRIM(D299)),7,1)))+(INT(2*VALUE(MID(UPPER(TRIM(D299)),2,1))/10)+MOD(2*VALUE(MID(UPPER(TRIM(D299)),2,1)),10))+(INT(2*VALUE(MID(UPPER(TRIM(D299)),4,1))/10)+MOD(2*VALUE(MID(UPPER(TRIM(D299)),4,1)),10))+(INT(2*VALUE(MID(UPPER(TRIM(D299)),6,1))/10)+MOD(2*VALUE(MID(UPPER(TRIM(D299)),6,1)),10))+(INT(2*VALUE(MID(UPPER(TRIM(D299)),8,1))/10)+MOD(2*VALUE(MID(UPPER(TRIM(D299)),8,1)),10)),10),10)+1,1)),"OK","REVISAR")),"REVISAR")))</f>
        <v/>
      </c>
      <c r="Q299">
        <f>IF(B299="","",IF(COUNTIFS($B$2:$B$501,B299,$D$2:$D$501,D299)&gt;1,"DUPLICADA",""))</f>
        <v/>
      </c>
      <c r="R299">
        <f>IF(A299="","",ROUNDUP(MONTH(A299)/3,0))</f>
        <v/>
      </c>
      <c r="S299" s="3" t="n"/>
    </row>
    <row r="300">
      <c r="A300" s="2" t="n"/>
      <c r="B300" s="3" t="n"/>
      <c r="C300" s="3" t="n"/>
      <c r="D300" s="3" t="n"/>
      <c r="E300" s="4" t="n"/>
      <c r="F300" s="4" t="n"/>
      <c r="G300" s="4" t="n"/>
      <c r="H300" s="4" t="n"/>
      <c r="I300" s="5">
        <f>IF(E300="","",ROUND(E300*0.21,2))</f>
        <v/>
      </c>
      <c r="J300" s="5">
        <f>IF(F300="","",ROUND(F300*0.1,2))</f>
        <v/>
      </c>
      <c r="K300" s="5">
        <f>IF(G300="","",ROUND(G300*0.04,2))</f>
        <v/>
      </c>
      <c r="L300" s="4" t="n"/>
      <c r="M300" s="4" t="n"/>
      <c r="N300" s="5">
        <f>IF(A300="","",SUM(E300:K300)-N(L300))</f>
        <v/>
      </c>
      <c r="O300">
        <f>IF(OR(A300="",M300=""),"",IF(ABS(M300-N300)&lt;=0.02,"OK","REVISAR"))</f>
        <v/>
      </c>
      <c r="P300">
        <f>IF(D300="","",IF(LEN(TRIM(D300))&lt;&gt;9,"REVISAR",IFERROR(IF(OR(ISNUMBER(VALUE(LEFT(UPPER(TRIM(D300)),1))),LEFT(UPPER(TRIM(D300)),1)="X",LEFT(UPPER(TRIM(D300)),1)="Y",LEFT(UPPER(TRIM(D300)),1)="Z"),IF(MID("TRWAGMYFPDXBNJZSQVHLCKE",MOD(VALUE(SUBSTITUTE(SUBSTITUTE(SUBSTITUTE(LEFT(UPPER(TRIM(D300)),8),"X","0"),"Y","1"),"Z","2")),23)+1,1)=RIGHT(UPPER(TRIM(D300)),1),"OK","REVISAR"),IF(OR(RIGHT(UPPER(TRIM(D300)),1)=TEXT(MOD(10-MOD((VALUE(MID(UPPER(TRIM(D300)),3,1))+VALUE(MID(UPPER(TRIM(D300)),5,1))+VALUE(MID(UPPER(TRIM(D300)),7,1)))+(INT(2*VALUE(MID(UPPER(TRIM(D300)),2,1))/10)+MOD(2*VALUE(MID(UPPER(TRIM(D300)),2,1)),10))+(INT(2*VALUE(MID(UPPER(TRIM(D300)),4,1))/10)+MOD(2*VALUE(MID(UPPER(TRIM(D300)),4,1)),10))+(INT(2*VALUE(MID(UPPER(TRIM(D300)),6,1))/10)+MOD(2*VALUE(MID(UPPER(TRIM(D300)),6,1)),10))+(INT(2*VALUE(MID(UPPER(TRIM(D300)),8,1))/10)+MOD(2*VALUE(MID(UPPER(TRIM(D300)),8,1)),10)),10),10),"0"),RIGHT(UPPER(TRIM(D300)),1)=MID("JABCDEFGHI",MOD(10-MOD((VALUE(MID(UPPER(TRIM(D300)),3,1))+VALUE(MID(UPPER(TRIM(D300)),5,1))+VALUE(MID(UPPER(TRIM(D300)),7,1)))+(INT(2*VALUE(MID(UPPER(TRIM(D300)),2,1))/10)+MOD(2*VALUE(MID(UPPER(TRIM(D300)),2,1)),10))+(INT(2*VALUE(MID(UPPER(TRIM(D300)),4,1))/10)+MOD(2*VALUE(MID(UPPER(TRIM(D300)),4,1)),10))+(INT(2*VALUE(MID(UPPER(TRIM(D300)),6,1))/10)+MOD(2*VALUE(MID(UPPER(TRIM(D300)),6,1)),10))+(INT(2*VALUE(MID(UPPER(TRIM(D300)),8,1))/10)+MOD(2*VALUE(MID(UPPER(TRIM(D300)),8,1)),10)),10),10)+1,1)),"OK","REVISAR")),"REVISAR")))</f>
        <v/>
      </c>
      <c r="Q300">
        <f>IF(B300="","",IF(COUNTIFS($B$2:$B$501,B300,$D$2:$D$501,D300)&gt;1,"DUPLICADA",""))</f>
        <v/>
      </c>
      <c r="R300">
        <f>IF(A300="","",ROUNDUP(MONTH(A300)/3,0))</f>
        <v/>
      </c>
      <c r="S300" s="3" t="n"/>
    </row>
    <row r="301">
      <c r="A301" s="2" t="n"/>
      <c r="B301" s="3" t="n"/>
      <c r="C301" s="3" t="n"/>
      <c r="D301" s="3" t="n"/>
      <c r="E301" s="4" t="n"/>
      <c r="F301" s="4" t="n"/>
      <c r="G301" s="4" t="n"/>
      <c r="H301" s="4" t="n"/>
      <c r="I301" s="5">
        <f>IF(E301="","",ROUND(E301*0.21,2))</f>
        <v/>
      </c>
      <c r="J301" s="5">
        <f>IF(F301="","",ROUND(F301*0.1,2))</f>
        <v/>
      </c>
      <c r="K301" s="5">
        <f>IF(G301="","",ROUND(G301*0.04,2))</f>
        <v/>
      </c>
      <c r="L301" s="4" t="n"/>
      <c r="M301" s="4" t="n"/>
      <c r="N301" s="5">
        <f>IF(A301="","",SUM(E301:K301)-N(L301))</f>
        <v/>
      </c>
      <c r="O301">
        <f>IF(OR(A301="",M301=""),"",IF(ABS(M301-N301)&lt;=0.02,"OK","REVISAR"))</f>
        <v/>
      </c>
      <c r="P301">
        <f>IF(D301="","",IF(LEN(TRIM(D301))&lt;&gt;9,"REVISAR",IFERROR(IF(OR(ISNUMBER(VALUE(LEFT(UPPER(TRIM(D301)),1))),LEFT(UPPER(TRIM(D301)),1)="X",LEFT(UPPER(TRIM(D301)),1)="Y",LEFT(UPPER(TRIM(D301)),1)="Z"),IF(MID("TRWAGMYFPDXBNJZSQVHLCKE",MOD(VALUE(SUBSTITUTE(SUBSTITUTE(SUBSTITUTE(LEFT(UPPER(TRIM(D301)),8),"X","0"),"Y","1"),"Z","2")),23)+1,1)=RIGHT(UPPER(TRIM(D301)),1),"OK","REVISAR"),IF(OR(RIGHT(UPPER(TRIM(D301)),1)=TEXT(MOD(10-MOD((VALUE(MID(UPPER(TRIM(D301)),3,1))+VALUE(MID(UPPER(TRIM(D301)),5,1))+VALUE(MID(UPPER(TRIM(D301)),7,1)))+(INT(2*VALUE(MID(UPPER(TRIM(D301)),2,1))/10)+MOD(2*VALUE(MID(UPPER(TRIM(D301)),2,1)),10))+(INT(2*VALUE(MID(UPPER(TRIM(D301)),4,1))/10)+MOD(2*VALUE(MID(UPPER(TRIM(D301)),4,1)),10))+(INT(2*VALUE(MID(UPPER(TRIM(D301)),6,1))/10)+MOD(2*VALUE(MID(UPPER(TRIM(D301)),6,1)),10))+(INT(2*VALUE(MID(UPPER(TRIM(D301)),8,1))/10)+MOD(2*VALUE(MID(UPPER(TRIM(D301)),8,1)),10)),10),10),"0"),RIGHT(UPPER(TRIM(D301)),1)=MID("JABCDEFGHI",MOD(10-MOD((VALUE(MID(UPPER(TRIM(D301)),3,1))+VALUE(MID(UPPER(TRIM(D301)),5,1))+VALUE(MID(UPPER(TRIM(D301)),7,1)))+(INT(2*VALUE(MID(UPPER(TRIM(D301)),2,1))/10)+MOD(2*VALUE(MID(UPPER(TRIM(D301)),2,1)),10))+(INT(2*VALUE(MID(UPPER(TRIM(D301)),4,1))/10)+MOD(2*VALUE(MID(UPPER(TRIM(D301)),4,1)),10))+(INT(2*VALUE(MID(UPPER(TRIM(D301)),6,1))/10)+MOD(2*VALUE(MID(UPPER(TRIM(D301)),6,1)),10))+(INT(2*VALUE(MID(UPPER(TRIM(D301)),8,1))/10)+MOD(2*VALUE(MID(UPPER(TRIM(D301)),8,1)),10)),10),10)+1,1)),"OK","REVISAR")),"REVISAR")))</f>
        <v/>
      </c>
      <c r="Q301">
        <f>IF(B301="","",IF(COUNTIFS($B$2:$B$501,B301,$D$2:$D$501,D301)&gt;1,"DUPLICADA",""))</f>
        <v/>
      </c>
      <c r="R301">
        <f>IF(A301="","",ROUNDUP(MONTH(A301)/3,0))</f>
        <v/>
      </c>
      <c r="S301" s="3" t="n"/>
    </row>
    <row r="302">
      <c r="A302" s="2" t="n"/>
      <c r="B302" s="3" t="n"/>
      <c r="C302" s="3" t="n"/>
      <c r="D302" s="3" t="n"/>
      <c r="E302" s="4" t="n"/>
      <c r="F302" s="4" t="n"/>
      <c r="G302" s="4" t="n"/>
      <c r="H302" s="4" t="n"/>
      <c r="I302" s="5">
        <f>IF(E302="","",ROUND(E302*0.21,2))</f>
        <v/>
      </c>
      <c r="J302" s="5">
        <f>IF(F302="","",ROUND(F302*0.1,2))</f>
        <v/>
      </c>
      <c r="K302" s="5">
        <f>IF(G302="","",ROUND(G302*0.04,2))</f>
        <v/>
      </c>
      <c r="L302" s="4" t="n"/>
      <c r="M302" s="4" t="n"/>
      <c r="N302" s="5">
        <f>IF(A302="","",SUM(E302:K302)-N(L302))</f>
        <v/>
      </c>
      <c r="O302">
        <f>IF(OR(A302="",M302=""),"",IF(ABS(M302-N302)&lt;=0.02,"OK","REVISAR"))</f>
        <v/>
      </c>
      <c r="P302">
        <f>IF(D302="","",IF(LEN(TRIM(D302))&lt;&gt;9,"REVISAR",IFERROR(IF(OR(ISNUMBER(VALUE(LEFT(UPPER(TRIM(D302)),1))),LEFT(UPPER(TRIM(D302)),1)="X",LEFT(UPPER(TRIM(D302)),1)="Y",LEFT(UPPER(TRIM(D302)),1)="Z"),IF(MID("TRWAGMYFPDXBNJZSQVHLCKE",MOD(VALUE(SUBSTITUTE(SUBSTITUTE(SUBSTITUTE(LEFT(UPPER(TRIM(D302)),8),"X","0"),"Y","1"),"Z","2")),23)+1,1)=RIGHT(UPPER(TRIM(D302)),1),"OK","REVISAR"),IF(OR(RIGHT(UPPER(TRIM(D302)),1)=TEXT(MOD(10-MOD((VALUE(MID(UPPER(TRIM(D302)),3,1))+VALUE(MID(UPPER(TRIM(D302)),5,1))+VALUE(MID(UPPER(TRIM(D302)),7,1)))+(INT(2*VALUE(MID(UPPER(TRIM(D302)),2,1))/10)+MOD(2*VALUE(MID(UPPER(TRIM(D302)),2,1)),10))+(INT(2*VALUE(MID(UPPER(TRIM(D302)),4,1))/10)+MOD(2*VALUE(MID(UPPER(TRIM(D302)),4,1)),10))+(INT(2*VALUE(MID(UPPER(TRIM(D302)),6,1))/10)+MOD(2*VALUE(MID(UPPER(TRIM(D302)),6,1)),10))+(INT(2*VALUE(MID(UPPER(TRIM(D302)),8,1))/10)+MOD(2*VALUE(MID(UPPER(TRIM(D302)),8,1)),10)),10),10),"0"),RIGHT(UPPER(TRIM(D302)),1)=MID("JABCDEFGHI",MOD(10-MOD((VALUE(MID(UPPER(TRIM(D302)),3,1))+VALUE(MID(UPPER(TRIM(D302)),5,1))+VALUE(MID(UPPER(TRIM(D302)),7,1)))+(INT(2*VALUE(MID(UPPER(TRIM(D302)),2,1))/10)+MOD(2*VALUE(MID(UPPER(TRIM(D302)),2,1)),10))+(INT(2*VALUE(MID(UPPER(TRIM(D302)),4,1))/10)+MOD(2*VALUE(MID(UPPER(TRIM(D302)),4,1)),10))+(INT(2*VALUE(MID(UPPER(TRIM(D302)),6,1))/10)+MOD(2*VALUE(MID(UPPER(TRIM(D302)),6,1)),10))+(INT(2*VALUE(MID(UPPER(TRIM(D302)),8,1))/10)+MOD(2*VALUE(MID(UPPER(TRIM(D302)),8,1)),10)),10),10)+1,1)),"OK","REVISAR")),"REVISAR")))</f>
        <v/>
      </c>
      <c r="Q302">
        <f>IF(B302="","",IF(COUNTIFS($B$2:$B$501,B302,$D$2:$D$501,D302)&gt;1,"DUPLICADA",""))</f>
        <v/>
      </c>
      <c r="R302">
        <f>IF(A302="","",ROUNDUP(MONTH(A302)/3,0))</f>
        <v/>
      </c>
      <c r="S302" s="3" t="n"/>
    </row>
    <row r="303">
      <c r="A303" s="2" t="n"/>
      <c r="B303" s="3" t="n"/>
      <c r="C303" s="3" t="n"/>
      <c r="D303" s="3" t="n"/>
      <c r="E303" s="4" t="n"/>
      <c r="F303" s="4" t="n"/>
      <c r="G303" s="4" t="n"/>
      <c r="H303" s="4" t="n"/>
      <c r="I303" s="5">
        <f>IF(E303="","",ROUND(E303*0.21,2))</f>
        <v/>
      </c>
      <c r="J303" s="5">
        <f>IF(F303="","",ROUND(F303*0.1,2))</f>
        <v/>
      </c>
      <c r="K303" s="5">
        <f>IF(G303="","",ROUND(G303*0.04,2))</f>
        <v/>
      </c>
      <c r="L303" s="4" t="n"/>
      <c r="M303" s="4" t="n"/>
      <c r="N303" s="5">
        <f>IF(A303="","",SUM(E303:K303)-N(L303))</f>
        <v/>
      </c>
      <c r="O303">
        <f>IF(OR(A303="",M303=""),"",IF(ABS(M303-N303)&lt;=0.02,"OK","REVISAR"))</f>
        <v/>
      </c>
      <c r="P303">
        <f>IF(D303="","",IF(LEN(TRIM(D303))&lt;&gt;9,"REVISAR",IFERROR(IF(OR(ISNUMBER(VALUE(LEFT(UPPER(TRIM(D303)),1))),LEFT(UPPER(TRIM(D303)),1)="X",LEFT(UPPER(TRIM(D303)),1)="Y",LEFT(UPPER(TRIM(D303)),1)="Z"),IF(MID("TRWAGMYFPDXBNJZSQVHLCKE",MOD(VALUE(SUBSTITUTE(SUBSTITUTE(SUBSTITUTE(LEFT(UPPER(TRIM(D303)),8),"X","0"),"Y","1"),"Z","2")),23)+1,1)=RIGHT(UPPER(TRIM(D303)),1),"OK","REVISAR"),IF(OR(RIGHT(UPPER(TRIM(D303)),1)=TEXT(MOD(10-MOD((VALUE(MID(UPPER(TRIM(D303)),3,1))+VALUE(MID(UPPER(TRIM(D303)),5,1))+VALUE(MID(UPPER(TRIM(D303)),7,1)))+(INT(2*VALUE(MID(UPPER(TRIM(D303)),2,1))/10)+MOD(2*VALUE(MID(UPPER(TRIM(D303)),2,1)),10))+(INT(2*VALUE(MID(UPPER(TRIM(D303)),4,1))/10)+MOD(2*VALUE(MID(UPPER(TRIM(D303)),4,1)),10))+(INT(2*VALUE(MID(UPPER(TRIM(D303)),6,1))/10)+MOD(2*VALUE(MID(UPPER(TRIM(D303)),6,1)),10))+(INT(2*VALUE(MID(UPPER(TRIM(D303)),8,1))/10)+MOD(2*VALUE(MID(UPPER(TRIM(D303)),8,1)),10)),10),10),"0"),RIGHT(UPPER(TRIM(D303)),1)=MID("JABCDEFGHI",MOD(10-MOD((VALUE(MID(UPPER(TRIM(D303)),3,1))+VALUE(MID(UPPER(TRIM(D303)),5,1))+VALUE(MID(UPPER(TRIM(D303)),7,1)))+(INT(2*VALUE(MID(UPPER(TRIM(D303)),2,1))/10)+MOD(2*VALUE(MID(UPPER(TRIM(D303)),2,1)),10))+(INT(2*VALUE(MID(UPPER(TRIM(D303)),4,1))/10)+MOD(2*VALUE(MID(UPPER(TRIM(D303)),4,1)),10))+(INT(2*VALUE(MID(UPPER(TRIM(D303)),6,1))/10)+MOD(2*VALUE(MID(UPPER(TRIM(D303)),6,1)),10))+(INT(2*VALUE(MID(UPPER(TRIM(D303)),8,1))/10)+MOD(2*VALUE(MID(UPPER(TRIM(D303)),8,1)),10)),10),10)+1,1)),"OK","REVISAR")),"REVISAR")))</f>
        <v/>
      </c>
      <c r="Q303">
        <f>IF(B303="","",IF(COUNTIFS($B$2:$B$501,B303,$D$2:$D$501,D303)&gt;1,"DUPLICADA",""))</f>
        <v/>
      </c>
      <c r="R303">
        <f>IF(A303="","",ROUNDUP(MONTH(A303)/3,0))</f>
        <v/>
      </c>
      <c r="S303" s="3" t="n"/>
    </row>
    <row r="304">
      <c r="A304" s="2" t="n"/>
      <c r="B304" s="3" t="n"/>
      <c r="C304" s="3" t="n"/>
      <c r="D304" s="3" t="n"/>
      <c r="E304" s="4" t="n"/>
      <c r="F304" s="4" t="n"/>
      <c r="G304" s="4" t="n"/>
      <c r="H304" s="4" t="n"/>
      <c r="I304" s="5">
        <f>IF(E304="","",ROUND(E304*0.21,2))</f>
        <v/>
      </c>
      <c r="J304" s="5">
        <f>IF(F304="","",ROUND(F304*0.1,2))</f>
        <v/>
      </c>
      <c r="K304" s="5">
        <f>IF(G304="","",ROUND(G304*0.04,2))</f>
        <v/>
      </c>
      <c r="L304" s="4" t="n"/>
      <c r="M304" s="4" t="n"/>
      <c r="N304" s="5">
        <f>IF(A304="","",SUM(E304:K304)-N(L304))</f>
        <v/>
      </c>
      <c r="O304">
        <f>IF(OR(A304="",M304=""),"",IF(ABS(M304-N304)&lt;=0.02,"OK","REVISAR"))</f>
        <v/>
      </c>
      <c r="P304">
        <f>IF(D304="","",IF(LEN(TRIM(D304))&lt;&gt;9,"REVISAR",IFERROR(IF(OR(ISNUMBER(VALUE(LEFT(UPPER(TRIM(D304)),1))),LEFT(UPPER(TRIM(D304)),1)="X",LEFT(UPPER(TRIM(D304)),1)="Y",LEFT(UPPER(TRIM(D304)),1)="Z"),IF(MID("TRWAGMYFPDXBNJZSQVHLCKE",MOD(VALUE(SUBSTITUTE(SUBSTITUTE(SUBSTITUTE(LEFT(UPPER(TRIM(D304)),8),"X","0"),"Y","1"),"Z","2")),23)+1,1)=RIGHT(UPPER(TRIM(D304)),1),"OK","REVISAR"),IF(OR(RIGHT(UPPER(TRIM(D304)),1)=TEXT(MOD(10-MOD((VALUE(MID(UPPER(TRIM(D304)),3,1))+VALUE(MID(UPPER(TRIM(D304)),5,1))+VALUE(MID(UPPER(TRIM(D304)),7,1)))+(INT(2*VALUE(MID(UPPER(TRIM(D304)),2,1))/10)+MOD(2*VALUE(MID(UPPER(TRIM(D304)),2,1)),10))+(INT(2*VALUE(MID(UPPER(TRIM(D304)),4,1))/10)+MOD(2*VALUE(MID(UPPER(TRIM(D304)),4,1)),10))+(INT(2*VALUE(MID(UPPER(TRIM(D304)),6,1))/10)+MOD(2*VALUE(MID(UPPER(TRIM(D304)),6,1)),10))+(INT(2*VALUE(MID(UPPER(TRIM(D304)),8,1))/10)+MOD(2*VALUE(MID(UPPER(TRIM(D304)),8,1)),10)),10),10),"0"),RIGHT(UPPER(TRIM(D304)),1)=MID("JABCDEFGHI",MOD(10-MOD((VALUE(MID(UPPER(TRIM(D304)),3,1))+VALUE(MID(UPPER(TRIM(D304)),5,1))+VALUE(MID(UPPER(TRIM(D304)),7,1)))+(INT(2*VALUE(MID(UPPER(TRIM(D304)),2,1))/10)+MOD(2*VALUE(MID(UPPER(TRIM(D304)),2,1)),10))+(INT(2*VALUE(MID(UPPER(TRIM(D304)),4,1))/10)+MOD(2*VALUE(MID(UPPER(TRIM(D304)),4,1)),10))+(INT(2*VALUE(MID(UPPER(TRIM(D304)),6,1))/10)+MOD(2*VALUE(MID(UPPER(TRIM(D304)),6,1)),10))+(INT(2*VALUE(MID(UPPER(TRIM(D304)),8,1))/10)+MOD(2*VALUE(MID(UPPER(TRIM(D304)),8,1)),10)),10),10)+1,1)),"OK","REVISAR")),"REVISAR")))</f>
        <v/>
      </c>
      <c r="Q304">
        <f>IF(B304="","",IF(COUNTIFS($B$2:$B$501,B304,$D$2:$D$501,D304)&gt;1,"DUPLICADA",""))</f>
        <v/>
      </c>
      <c r="R304">
        <f>IF(A304="","",ROUNDUP(MONTH(A304)/3,0))</f>
        <v/>
      </c>
      <c r="S304" s="3" t="n"/>
    </row>
    <row r="305">
      <c r="A305" s="2" t="n"/>
      <c r="B305" s="3" t="n"/>
      <c r="C305" s="3" t="n"/>
      <c r="D305" s="3" t="n"/>
      <c r="E305" s="4" t="n"/>
      <c r="F305" s="4" t="n"/>
      <c r="G305" s="4" t="n"/>
      <c r="H305" s="4" t="n"/>
      <c r="I305" s="5">
        <f>IF(E305="","",ROUND(E305*0.21,2))</f>
        <v/>
      </c>
      <c r="J305" s="5">
        <f>IF(F305="","",ROUND(F305*0.1,2))</f>
        <v/>
      </c>
      <c r="K305" s="5">
        <f>IF(G305="","",ROUND(G305*0.04,2))</f>
        <v/>
      </c>
      <c r="L305" s="4" t="n"/>
      <c r="M305" s="4" t="n"/>
      <c r="N305" s="5">
        <f>IF(A305="","",SUM(E305:K305)-N(L305))</f>
        <v/>
      </c>
      <c r="O305">
        <f>IF(OR(A305="",M305=""),"",IF(ABS(M305-N305)&lt;=0.02,"OK","REVISAR"))</f>
        <v/>
      </c>
      <c r="P305">
        <f>IF(D305="","",IF(LEN(TRIM(D305))&lt;&gt;9,"REVISAR",IFERROR(IF(OR(ISNUMBER(VALUE(LEFT(UPPER(TRIM(D305)),1))),LEFT(UPPER(TRIM(D305)),1)="X",LEFT(UPPER(TRIM(D305)),1)="Y",LEFT(UPPER(TRIM(D305)),1)="Z"),IF(MID("TRWAGMYFPDXBNJZSQVHLCKE",MOD(VALUE(SUBSTITUTE(SUBSTITUTE(SUBSTITUTE(LEFT(UPPER(TRIM(D305)),8),"X","0"),"Y","1"),"Z","2")),23)+1,1)=RIGHT(UPPER(TRIM(D305)),1),"OK","REVISAR"),IF(OR(RIGHT(UPPER(TRIM(D305)),1)=TEXT(MOD(10-MOD((VALUE(MID(UPPER(TRIM(D305)),3,1))+VALUE(MID(UPPER(TRIM(D305)),5,1))+VALUE(MID(UPPER(TRIM(D305)),7,1)))+(INT(2*VALUE(MID(UPPER(TRIM(D305)),2,1))/10)+MOD(2*VALUE(MID(UPPER(TRIM(D305)),2,1)),10))+(INT(2*VALUE(MID(UPPER(TRIM(D305)),4,1))/10)+MOD(2*VALUE(MID(UPPER(TRIM(D305)),4,1)),10))+(INT(2*VALUE(MID(UPPER(TRIM(D305)),6,1))/10)+MOD(2*VALUE(MID(UPPER(TRIM(D305)),6,1)),10))+(INT(2*VALUE(MID(UPPER(TRIM(D305)),8,1))/10)+MOD(2*VALUE(MID(UPPER(TRIM(D305)),8,1)),10)),10),10),"0"),RIGHT(UPPER(TRIM(D305)),1)=MID("JABCDEFGHI",MOD(10-MOD((VALUE(MID(UPPER(TRIM(D305)),3,1))+VALUE(MID(UPPER(TRIM(D305)),5,1))+VALUE(MID(UPPER(TRIM(D305)),7,1)))+(INT(2*VALUE(MID(UPPER(TRIM(D305)),2,1))/10)+MOD(2*VALUE(MID(UPPER(TRIM(D305)),2,1)),10))+(INT(2*VALUE(MID(UPPER(TRIM(D305)),4,1))/10)+MOD(2*VALUE(MID(UPPER(TRIM(D305)),4,1)),10))+(INT(2*VALUE(MID(UPPER(TRIM(D305)),6,1))/10)+MOD(2*VALUE(MID(UPPER(TRIM(D305)),6,1)),10))+(INT(2*VALUE(MID(UPPER(TRIM(D305)),8,1))/10)+MOD(2*VALUE(MID(UPPER(TRIM(D305)),8,1)),10)),10),10)+1,1)),"OK","REVISAR")),"REVISAR")))</f>
        <v/>
      </c>
      <c r="Q305">
        <f>IF(B305="","",IF(COUNTIFS($B$2:$B$501,B305,$D$2:$D$501,D305)&gt;1,"DUPLICADA",""))</f>
        <v/>
      </c>
      <c r="R305">
        <f>IF(A305="","",ROUNDUP(MONTH(A305)/3,0))</f>
        <v/>
      </c>
      <c r="S305" s="3" t="n"/>
    </row>
    <row r="306">
      <c r="A306" s="2" t="n"/>
      <c r="B306" s="3" t="n"/>
      <c r="C306" s="3" t="n"/>
      <c r="D306" s="3" t="n"/>
      <c r="E306" s="4" t="n"/>
      <c r="F306" s="4" t="n"/>
      <c r="G306" s="4" t="n"/>
      <c r="H306" s="4" t="n"/>
      <c r="I306" s="5">
        <f>IF(E306="","",ROUND(E306*0.21,2))</f>
        <v/>
      </c>
      <c r="J306" s="5">
        <f>IF(F306="","",ROUND(F306*0.1,2))</f>
        <v/>
      </c>
      <c r="K306" s="5">
        <f>IF(G306="","",ROUND(G306*0.04,2))</f>
        <v/>
      </c>
      <c r="L306" s="4" t="n"/>
      <c r="M306" s="4" t="n"/>
      <c r="N306" s="5">
        <f>IF(A306="","",SUM(E306:K306)-N(L306))</f>
        <v/>
      </c>
      <c r="O306">
        <f>IF(OR(A306="",M306=""),"",IF(ABS(M306-N306)&lt;=0.02,"OK","REVISAR"))</f>
        <v/>
      </c>
      <c r="P306">
        <f>IF(D306="","",IF(LEN(TRIM(D306))&lt;&gt;9,"REVISAR",IFERROR(IF(OR(ISNUMBER(VALUE(LEFT(UPPER(TRIM(D306)),1))),LEFT(UPPER(TRIM(D306)),1)="X",LEFT(UPPER(TRIM(D306)),1)="Y",LEFT(UPPER(TRIM(D306)),1)="Z"),IF(MID("TRWAGMYFPDXBNJZSQVHLCKE",MOD(VALUE(SUBSTITUTE(SUBSTITUTE(SUBSTITUTE(LEFT(UPPER(TRIM(D306)),8),"X","0"),"Y","1"),"Z","2")),23)+1,1)=RIGHT(UPPER(TRIM(D306)),1),"OK","REVISAR"),IF(OR(RIGHT(UPPER(TRIM(D306)),1)=TEXT(MOD(10-MOD((VALUE(MID(UPPER(TRIM(D306)),3,1))+VALUE(MID(UPPER(TRIM(D306)),5,1))+VALUE(MID(UPPER(TRIM(D306)),7,1)))+(INT(2*VALUE(MID(UPPER(TRIM(D306)),2,1))/10)+MOD(2*VALUE(MID(UPPER(TRIM(D306)),2,1)),10))+(INT(2*VALUE(MID(UPPER(TRIM(D306)),4,1))/10)+MOD(2*VALUE(MID(UPPER(TRIM(D306)),4,1)),10))+(INT(2*VALUE(MID(UPPER(TRIM(D306)),6,1))/10)+MOD(2*VALUE(MID(UPPER(TRIM(D306)),6,1)),10))+(INT(2*VALUE(MID(UPPER(TRIM(D306)),8,1))/10)+MOD(2*VALUE(MID(UPPER(TRIM(D306)),8,1)),10)),10),10),"0"),RIGHT(UPPER(TRIM(D306)),1)=MID("JABCDEFGHI",MOD(10-MOD((VALUE(MID(UPPER(TRIM(D306)),3,1))+VALUE(MID(UPPER(TRIM(D306)),5,1))+VALUE(MID(UPPER(TRIM(D306)),7,1)))+(INT(2*VALUE(MID(UPPER(TRIM(D306)),2,1))/10)+MOD(2*VALUE(MID(UPPER(TRIM(D306)),2,1)),10))+(INT(2*VALUE(MID(UPPER(TRIM(D306)),4,1))/10)+MOD(2*VALUE(MID(UPPER(TRIM(D306)),4,1)),10))+(INT(2*VALUE(MID(UPPER(TRIM(D306)),6,1))/10)+MOD(2*VALUE(MID(UPPER(TRIM(D306)),6,1)),10))+(INT(2*VALUE(MID(UPPER(TRIM(D306)),8,1))/10)+MOD(2*VALUE(MID(UPPER(TRIM(D306)),8,1)),10)),10),10)+1,1)),"OK","REVISAR")),"REVISAR")))</f>
        <v/>
      </c>
      <c r="Q306">
        <f>IF(B306="","",IF(COUNTIFS($B$2:$B$501,B306,$D$2:$D$501,D306)&gt;1,"DUPLICADA",""))</f>
        <v/>
      </c>
      <c r="R306">
        <f>IF(A306="","",ROUNDUP(MONTH(A306)/3,0))</f>
        <v/>
      </c>
      <c r="S306" s="3" t="n"/>
    </row>
    <row r="307">
      <c r="A307" s="2" t="n"/>
      <c r="B307" s="3" t="n"/>
      <c r="C307" s="3" t="n"/>
      <c r="D307" s="3" t="n"/>
      <c r="E307" s="4" t="n"/>
      <c r="F307" s="4" t="n"/>
      <c r="G307" s="4" t="n"/>
      <c r="H307" s="4" t="n"/>
      <c r="I307" s="5">
        <f>IF(E307="","",ROUND(E307*0.21,2))</f>
        <v/>
      </c>
      <c r="J307" s="5">
        <f>IF(F307="","",ROUND(F307*0.1,2))</f>
        <v/>
      </c>
      <c r="K307" s="5">
        <f>IF(G307="","",ROUND(G307*0.04,2))</f>
        <v/>
      </c>
      <c r="L307" s="4" t="n"/>
      <c r="M307" s="4" t="n"/>
      <c r="N307" s="5">
        <f>IF(A307="","",SUM(E307:K307)-N(L307))</f>
        <v/>
      </c>
      <c r="O307">
        <f>IF(OR(A307="",M307=""),"",IF(ABS(M307-N307)&lt;=0.02,"OK","REVISAR"))</f>
        <v/>
      </c>
      <c r="P307">
        <f>IF(D307="","",IF(LEN(TRIM(D307))&lt;&gt;9,"REVISAR",IFERROR(IF(OR(ISNUMBER(VALUE(LEFT(UPPER(TRIM(D307)),1))),LEFT(UPPER(TRIM(D307)),1)="X",LEFT(UPPER(TRIM(D307)),1)="Y",LEFT(UPPER(TRIM(D307)),1)="Z"),IF(MID("TRWAGMYFPDXBNJZSQVHLCKE",MOD(VALUE(SUBSTITUTE(SUBSTITUTE(SUBSTITUTE(LEFT(UPPER(TRIM(D307)),8),"X","0"),"Y","1"),"Z","2")),23)+1,1)=RIGHT(UPPER(TRIM(D307)),1),"OK","REVISAR"),IF(OR(RIGHT(UPPER(TRIM(D307)),1)=TEXT(MOD(10-MOD((VALUE(MID(UPPER(TRIM(D307)),3,1))+VALUE(MID(UPPER(TRIM(D307)),5,1))+VALUE(MID(UPPER(TRIM(D307)),7,1)))+(INT(2*VALUE(MID(UPPER(TRIM(D307)),2,1))/10)+MOD(2*VALUE(MID(UPPER(TRIM(D307)),2,1)),10))+(INT(2*VALUE(MID(UPPER(TRIM(D307)),4,1))/10)+MOD(2*VALUE(MID(UPPER(TRIM(D307)),4,1)),10))+(INT(2*VALUE(MID(UPPER(TRIM(D307)),6,1))/10)+MOD(2*VALUE(MID(UPPER(TRIM(D307)),6,1)),10))+(INT(2*VALUE(MID(UPPER(TRIM(D307)),8,1))/10)+MOD(2*VALUE(MID(UPPER(TRIM(D307)),8,1)),10)),10),10),"0"),RIGHT(UPPER(TRIM(D307)),1)=MID("JABCDEFGHI",MOD(10-MOD((VALUE(MID(UPPER(TRIM(D307)),3,1))+VALUE(MID(UPPER(TRIM(D307)),5,1))+VALUE(MID(UPPER(TRIM(D307)),7,1)))+(INT(2*VALUE(MID(UPPER(TRIM(D307)),2,1))/10)+MOD(2*VALUE(MID(UPPER(TRIM(D307)),2,1)),10))+(INT(2*VALUE(MID(UPPER(TRIM(D307)),4,1))/10)+MOD(2*VALUE(MID(UPPER(TRIM(D307)),4,1)),10))+(INT(2*VALUE(MID(UPPER(TRIM(D307)),6,1))/10)+MOD(2*VALUE(MID(UPPER(TRIM(D307)),6,1)),10))+(INT(2*VALUE(MID(UPPER(TRIM(D307)),8,1))/10)+MOD(2*VALUE(MID(UPPER(TRIM(D307)),8,1)),10)),10),10)+1,1)),"OK","REVISAR")),"REVISAR")))</f>
        <v/>
      </c>
      <c r="Q307">
        <f>IF(B307="","",IF(COUNTIFS($B$2:$B$501,B307,$D$2:$D$501,D307)&gt;1,"DUPLICADA",""))</f>
        <v/>
      </c>
      <c r="R307">
        <f>IF(A307="","",ROUNDUP(MONTH(A307)/3,0))</f>
        <v/>
      </c>
      <c r="S307" s="3" t="n"/>
    </row>
    <row r="308">
      <c r="A308" s="2" t="n"/>
      <c r="B308" s="3" t="n"/>
      <c r="C308" s="3" t="n"/>
      <c r="D308" s="3" t="n"/>
      <c r="E308" s="4" t="n"/>
      <c r="F308" s="4" t="n"/>
      <c r="G308" s="4" t="n"/>
      <c r="H308" s="4" t="n"/>
      <c r="I308" s="5">
        <f>IF(E308="","",ROUND(E308*0.21,2))</f>
        <v/>
      </c>
      <c r="J308" s="5">
        <f>IF(F308="","",ROUND(F308*0.1,2))</f>
        <v/>
      </c>
      <c r="K308" s="5">
        <f>IF(G308="","",ROUND(G308*0.04,2))</f>
        <v/>
      </c>
      <c r="L308" s="4" t="n"/>
      <c r="M308" s="4" t="n"/>
      <c r="N308" s="5">
        <f>IF(A308="","",SUM(E308:K308)-N(L308))</f>
        <v/>
      </c>
      <c r="O308">
        <f>IF(OR(A308="",M308=""),"",IF(ABS(M308-N308)&lt;=0.02,"OK","REVISAR"))</f>
        <v/>
      </c>
      <c r="P308">
        <f>IF(D308="","",IF(LEN(TRIM(D308))&lt;&gt;9,"REVISAR",IFERROR(IF(OR(ISNUMBER(VALUE(LEFT(UPPER(TRIM(D308)),1))),LEFT(UPPER(TRIM(D308)),1)="X",LEFT(UPPER(TRIM(D308)),1)="Y",LEFT(UPPER(TRIM(D308)),1)="Z"),IF(MID("TRWAGMYFPDXBNJZSQVHLCKE",MOD(VALUE(SUBSTITUTE(SUBSTITUTE(SUBSTITUTE(LEFT(UPPER(TRIM(D308)),8),"X","0"),"Y","1"),"Z","2")),23)+1,1)=RIGHT(UPPER(TRIM(D308)),1),"OK","REVISAR"),IF(OR(RIGHT(UPPER(TRIM(D308)),1)=TEXT(MOD(10-MOD((VALUE(MID(UPPER(TRIM(D308)),3,1))+VALUE(MID(UPPER(TRIM(D308)),5,1))+VALUE(MID(UPPER(TRIM(D308)),7,1)))+(INT(2*VALUE(MID(UPPER(TRIM(D308)),2,1))/10)+MOD(2*VALUE(MID(UPPER(TRIM(D308)),2,1)),10))+(INT(2*VALUE(MID(UPPER(TRIM(D308)),4,1))/10)+MOD(2*VALUE(MID(UPPER(TRIM(D308)),4,1)),10))+(INT(2*VALUE(MID(UPPER(TRIM(D308)),6,1))/10)+MOD(2*VALUE(MID(UPPER(TRIM(D308)),6,1)),10))+(INT(2*VALUE(MID(UPPER(TRIM(D308)),8,1))/10)+MOD(2*VALUE(MID(UPPER(TRIM(D308)),8,1)),10)),10),10),"0"),RIGHT(UPPER(TRIM(D308)),1)=MID("JABCDEFGHI",MOD(10-MOD((VALUE(MID(UPPER(TRIM(D308)),3,1))+VALUE(MID(UPPER(TRIM(D308)),5,1))+VALUE(MID(UPPER(TRIM(D308)),7,1)))+(INT(2*VALUE(MID(UPPER(TRIM(D308)),2,1))/10)+MOD(2*VALUE(MID(UPPER(TRIM(D308)),2,1)),10))+(INT(2*VALUE(MID(UPPER(TRIM(D308)),4,1))/10)+MOD(2*VALUE(MID(UPPER(TRIM(D308)),4,1)),10))+(INT(2*VALUE(MID(UPPER(TRIM(D308)),6,1))/10)+MOD(2*VALUE(MID(UPPER(TRIM(D308)),6,1)),10))+(INT(2*VALUE(MID(UPPER(TRIM(D308)),8,1))/10)+MOD(2*VALUE(MID(UPPER(TRIM(D308)),8,1)),10)),10),10)+1,1)),"OK","REVISAR")),"REVISAR")))</f>
        <v/>
      </c>
      <c r="Q308">
        <f>IF(B308="","",IF(COUNTIFS($B$2:$B$501,B308,$D$2:$D$501,D308)&gt;1,"DUPLICADA",""))</f>
        <v/>
      </c>
      <c r="R308">
        <f>IF(A308="","",ROUNDUP(MONTH(A308)/3,0))</f>
        <v/>
      </c>
      <c r="S308" s="3" t="n"/>
    </row>
    <row r="309">
      <c r="A309" s="2" t="n"/>
      <c r="B309" s="3" t="n"/>
      <c r="C309" s="3" t="n"/>
      <c r="D309" s="3" t="n"/>
      <c r="E309" s="4" t="n"/>
      <c r="F309" s="4" t="n"/>
      <c r="G309" s="4" t="n"/>
      <c r="H309" s="4" t="n"/>
      <c r="I309" s="5">
        <f>IF(E309="","",ROUND(E309*0.21,2))</f>
        <v/>
      </c>
      <c r="J309" s="5">
        <f>IF(F309="","",ROUND(F309*0.1,2))</f>
        <v/>
      </c>
      <c r="K309" s="5">
        <f>IF(G309="","",ROUND(G309*0.04,2))</f>
        <v/>
      </c>
      <c r="L309" s="4" t="n"/>
      <c r="M309" s="4" t="n"/>
      <c r="N309" s="5">
        <f>IF(A309="","",SUM(E309:K309)-N(L309))</f>
        <v/>
      </c>
      <c r="O309">
        <f>IF(OR(A309="",M309=""),"",IF(ABS(M309-N309)&lt;=0.02,"OK","REVISAR"))</f>
        <v/>
      </c>
      <c r="P309">
        <f>IF(D309="","",IF(LEN(TRIM(D309))&lt;&gt;9,"REVISAR",IFERROR(IF(OR(ISNUMBER(VALUE(LEFT(UPPER(TRIM(D309)),1))),LEFT(UPPER(TRIM(D309)),1)="X",LEFT(UPPER(TRIM(D309)),1)="Y",LEFT(UPPER(TRIM(D309)),1)="Z"),IF(MID("TRWAGMYFPDXBNJZSQVHLCKE",MOD(VALUE(SUBSTITUTE(SUBSTITUTE(SUBSTITUTE(LEFT(UPPER(TRIM(D309)),8),"X","0"),"Y","1"),"Z","2")),23)+1,1)=RIGHT(UPPER(TRIM(D309)),1),"OK","REVISAR"),IF(OR(RIGHT(UPPER(TRIM(D309)),1)=TEXT(MOD(10-MOD((VALUE(MID(UPPER(TRIM(D309)),3,1))+VALUE(MID(UPPER(TRIM(D309)),5,1))+VALUE(MID(UPPER(TRIM(D309)),7,1)))+(INT(2*VALUE(MID(UPPER(TRIM(D309)),2,1))/10)+MOD(2*VALUE(MID(UPPER(TRIM(D309)),2,1)),10))+(INT(2*VALUE(MID(UPPER(TRIM(D309)),4,1))/10)+MOD(2*VALUE(MID(UPPER(TRIM(D309)),4,1)),10))+(INT(2*VALUE(MID(UPPER(TRIM(D309)),6,1))/10)+MOD(2*VALUE(MID(UPPER(TRIM(D309)),6,1)),10))+(INT(2*VALUE(MID(UPPER(TRIM(D309)),8,1))/10)+MOD(2*VALUE(MID(UPPER(TRIM(D309)),8,1)),10)),10),10),"0"),RIGHT(UPPER(TRIM(D309)),1)=MID("JABCDEFGHI",MOD(10-MOD((VALUE(MID(UPPER(TRIM(D309)),3,1))+VALUE(MID(UPPER(TRIM(D309)),5,1))+VALUE(MID(UPPER(TRIM(D309)),7,1)))+(INT(2*VALUE(MID(UPPER(TRIM(D309)),2,1))/10)+MOD(2*VALUE(MID(UPPER(TRIM(D309)),2,1)),10))+(INT(2*VALUE(MID(UPPER(TRIM(D309)),4,1))/10)+MOD(2*VALUE(MID(UPPER(TRIM(D309)),4,1)),10))+(INT(2*VALUE(MID(UPPER(TRIM(D309)),6,1))/10)+MOD(2*VALUE(MID(UPPER(TRIM(D309)),6,1)),10))+(INT(2*VALUE(MID(UPPER(TRIM(D309)),8,1))/10)+MOD(2*VALUE(MID(UPPER(TRIM(D309)),8,1)),10)),10),10)+1,1)),"OK","REVISAR")),"REVISAR")))</f>
        <v/>
      </c>
      <c r="Q309">
        <f>IF(B309="","",IF(COUNTIFS($B$2:$B$501,B309,$D$2:$D$501,D309)&gt;1,"DUPLICADA",""))</f>
        <v/>
      </c>
      <c r="R309">
        <f>IF(A309="","",ROUNDUP(MONTH(A309)/3,0))</f>
        <v/>
      </c>
      <c r="S309" s="3" t="n"/>
    </row>
    <row r="310">
      <c r="A310" s="2" t="n"/>
      <c r="B310" s="3" t="n"/>
      <c r="C310" s="3" t="n"/>
      <c r="D310" s="3" t="n"/>
      <c r="E310" s="4" t="n"/>
      <c r="F310" s="4" t="n"/>
      <c r="G310" s="4" t="n"/>
      <c r="H310" s="4" t="n"/>
      <c r="I310" s="5">
        <f>IF(E310="","",ROUND(E310*0.21,2))</f>
        <v/>
      </c>
      <c r="J310" s="5">
        <f>IF(F310="","",ROUND(F310*0.1,2))</f>
        <v/>
      </c>
      <c r="K310" s="5">
        <f>IF(G310="","",ROUND(G310*0.04,2))</f>
        <v/>
      </c>
      <c r="L310" s="4" t="n"/>
      <c r="M310" s="4" t="n"/>
      <c r="N310" s="5">
        <f>IF(A310="","",SUM(E310:K310)-N(L310))</f>
        <v/>
      </c>
      <c r="O310">
        <f>IF(OR(A310="",M310=""),"",IF(ABS(M310-N310)&lt;=0.02,"OK","REVISAR"))</f>
        <v/>
      </c>
      <c r="P310">
        <f>IF(D310="","",IF(LEN(TRIM(D310))&lt;&gt;9,"REVISAR",IFERROR(IF(OR(ISNUMBER(VALUE(LEFT(UPPER(TRIM(D310)),1))),LEFT(UPPER(TRIM(D310)),1)="X",LEFT(UPPER(TRIM(D310)),1)="Y",LEFT(UPPER(TRIM(D310)),1)="Z"),IF(MID("TRWAGMYFPDXBNJZSQVHLCKE",MOD(VALUE(SUBSTITUTE(SUBSTITUTE(SUBSTITUTE(LEFT(UPPER(TRIM(D310)),8),"X","0"),"Y","1"),"Z","2")),23)+1,1)=RIGHT(UPPER(TRIM(D310)),1),"OK","REVISAR"),IF(OR(RIGHT(UPPER(TRIM(D310)),1)=TEXT(MOD(10-MOD((VALUE(MID(UPPER(TRIM(D310)),3,1))+VALUE(MID(UPPER(TRIM(D310)),5,1))+VALUE(MID(UPPER(TRIM(D310)),7,1)))+(INT(2*VALUE(MID(UPPER(TRIM(D310)),2,1))/10)+MOD(2*VALUE(MID(UPPER(TRIM(D310)),2,1)),10))+(INT(2*VALUE(MID(UPPER(TRIM(D310)),4,1))/10)+MOD(2*VALUE(MID(UPPER(TRIM(D310)),4,1)),10))+(INT(2*VALUE(MID(UPPER(TRIM(D310)),6,1))/10)+MOD(2*VALUE(MID(UPPER(TRIM(D310)),6,1)),10))+(INT(2*VALUE(MID(UPPER(TRIM(D310)),8,1))/10)+MOD(2*VALUE(MID(UPPER(TRIM(D310)),8,1)),10)),10),10),"0"),RIGHT(UPPER(TRIM(D310)),1)=MID("JABCDEFGHI",MOD(10-MOD((VALUE(MID(UPPER(TRIM(D310)),3,1))+VALUE(MID(UPPER(TRIM(D310)),5,1))+VALUE(MID(UPPER(TRIM(D310)),7,1)))+(INT(2*VALUE(MID(UPPER(TRIM(D310)),2,1))/10)+MOD(2*VALUE(MID(UPPER(TRIM(D310)),2,1)),10))+(INT(2*VALUE(MID(UPPER(TRIM(D310)),4,1))/10)+MOD(2*VALUE(MID(UPPER(TRIM(D310)),4,1)),10))+(INT(2*VALUE(MID(UPPER(TRIM(D310)),6,1))/10)+MOD(2*VALUE(MID(UPPER(TRIM(D310)),6,1)),10))+(INT(2*VALUE(MID(UPPER(TRIM(D310)),8,1))/10)+MOD(2*VALUE(MID(UPPER(TRIM(D310)),8,1)),10)),10),10)+1,1)),"OK","REVISAR")),"REVISAR")))</f>
        <v/>
      </c>
      <c r="Q310">
        <f>IF(B310="","",IF(COUNTIFS($B$2:$B$501,B310,$D$2:$D$501,D310)&gt;1,"DUPLICADA",""))</f>
        <v/>
      </c>
      <c r="R310">
        <f>IF(A310="","",ROUNDUP(MONTH(A310)/3,0))</f>
        <v/>
      </c>
      <c r="S310" s="3" t="n"/>
    </row>
    <row r="311">
      <c r="A311" s="2" t="n"/>
      <c r="B311" s="3" t="n"/>
      <c r="C311" s="3" t="n"/>
      <c r="D311" s="3" t="n"/>
      <c r="E311" s="4" t="n"/>
      <c r="F311" s="4" t="n"/>
      <c r="G311" s="4" t="n"/>
      <c r="H311" s="4" t="n"/>
      <c r="I311" s="5">
        <f>IF(E311="","",ROUND(E311*0.21,2))</f>
        <v/>
      </c>
      <c r="J311" s="5">
        <f>IF(F311="","",ROUND(F311*0.1,2))</f>
        <v/>
      </c>
      <c r="K311" s="5">
        <f>IF(G311="","",ROUND(G311*0.04,2))</f>
        <v/>
      </c>
      <c r="L311" s="4" t="n"/>
      <c r="M311" s="4" t="n"/>
      <c r="N311" s="5">
        <f>IF(A311="","",SUM(E311:K311)-N(L311))</f>
        <v/>
      </c>
      <c r="O311">
        <f>IF(OR(A311="",M311=""),"",IF(ABS(M311-N311)&lt;=0.02,"OK","REVISAR"))</f>
        <v/>
      </c>
      <c r="P311">
        <f>IF(D311="","",IF(LEN(TRIM(D311))&lt;&gt;9,"REVISAR",IFERROR(IF(OR(ISNUMBER(VALUE(LEFT(UPPER(TRIM(D311)),1))),LEFT(UPPER(TRIM(D311)),1)="X",LEFT(UPPER(TRIM(D311)),1)="Y",LEFT(UPPER(TRIM(D311)),1)="Z"),IF(MID("TRWAGMYFPDXBNJZSQVHLCKE",MOD(VALUE(SUBSTITUTE(SUBSTITUTE(SUBSTITUTE(LEFT(UPPER(TRIM(D311)),8),"X","0"),"Y","1"),"Z","2")),23)+1,1)=RIGHT(UPPER(TRIM(D311)),1),"OK","REVISAR"),IF(OR(RIGHT(UPPER(TRIM(D311)),1)=TEXT(MOD(10-MOD((VALUE(MID(UPPER(TRIM(D311)),3,1))+VALUE(MID(UPPER(TRIM(D311)),5,1))+VALUE(MID(UPPER(TRIM(D311)),7,1)))+(INT(2*VALUE(MID(UPPER(TRIM(D311)),2,1))/10)+MOD(2*VALUE(MID(UPPER(TRIM(D311)),2,1)),10))+(INT(2*VALUE(MID(UPPER(TRIM(D311)),4,1))/10)+MOD(2*VALUE(MID(UPPER(TRIM(D311)),4,1)),10))+(INT(2*VALUE(MID(UPPER(TRIM(D311)),6,1))/10)+MOD(2*VALUE(MID(UPPER(TRIM(D311)),6,1)),10))+(INT(2*VALUE(MID(UPPER(TRIM(D311)),8,1))/10)+MOD(2*VALUE(MID(UPPER(TRIM(D311)),8,1)),10)),10),10),"0"),RIGHT(UPPER(TRIM(D311)),1)=MID("JABCDEFGHI",MOD(10-MOD((VALUE(MID(UPPER(TRIM(D311)),3,1))+VALUE(MID(UPPER(TRIM(D311)),5,1))+VALUE(MID(UPPER(TRIM(D311)),7,1)))+(INT(2*VALUE(MID(UPPER(TRIM(D311)),2,1))/10)+MOD(2*VALUE(MID(UPPER(TRIM(D311)),2,1)),10))+(INT(2*VALUE(MID(UPPER(TRIM(D311)),4,1))/10)+MOD(2*VALUE(MID(UPPER(TRIM(D311)),4,1)),10))+(INT(2*VALUE(MID(UPPER(TRIM(D311)),6,1))/10)+MOD(2*VALUE(MID(UPPER(TRIM(D311)),6,1)),10))+(INT(2*VALUE(MID(UPPER(TRIM(D311)),8,1))/10)+MOD(2*VALUE(MID(UPPER(TRIM(D311)),8,1)),10)),10),10)+1,1)),"OK","REVISAR")),"REVISAR")))</f>
        <v/>
      </c>
      <c r="Q311">
        <f>IF(B311="","",IF(COUNTIFS($B$2:$B$501,B311,$D$2:$D$501,D311)&gt;1,"DUPLICADA",""))</f>
        <v/>
      </c>
      <c r="R311">
        <f>IF(A311="","",ROUNDUP(MONTH(A311)/3,0))</f>
        <v/>
      </c>
      <c r="S311" s="3" t="n"/>
    </row>
    <row r="312">
      <c r="A312" s="2" t="n"/>
      <c r="B312" s="3" t="n"/>
      <c r="C312" s="3" t="n"/>
      <c r="D312" s="3" t="n"/>
      <c r="E312" s="4" t="n"/>
      <c r="F312" s="4" t="n"/>
      <c r="G312" s="4" t="n"/>
      <c r="H312" s="4" t="n"/>
      <c r="I312" s="5">
        <f>IF(E312="","",ROUND(E312*0.21,2))</f>
        <v/>
      </c>
      <c r="J312" s="5">
        <f>IF(F312="","",ROUND(F312*0.1,2))</f>
        <v/>
      </c>
      <c r="K312" s="5">
        <f>IF(G312="","",ROUND(G312*0.04,2))</f>
        <v/>
      </c>
      <c r="L312" s="4" t="n"/>
      <c r="M312" s="4" t="n"/>
      <c r="N312" s="5">
        <f>IF(A312="","",SUM(E312:K312)-N(L312))</f>
        <v/>
      </c>
      <c r="O312">
        <f>IF(OR(A312="",M312=""),"",IF(ABS(M312-N312)&lt;=0.02,"OK","REVISAR"))</f>
        <v/>
      </c>
      <c r="P312">
        <f>IF(D312="","",IF(LEN(TRIM(D312))&lt;&gt;9,"REVISAR",IFERROR(IF(OR(ISNUMBER(VALUE(LEFT(UPPER(TRIM(D312)),1))),LEFT(UPPER(TRIM(D312)),1)="X",LEFT(UPPER(TRIM(D312)),1)="Y",LEFT(UPPER(TRIM(D312)),1)="Z"),IF(MID("TRWAGMYFPDXBNJZSQVHLCKE",MOD(VALUE(SUBSTITUTE(SUBSTITUTE(SUBSTITUTE(LEFT(UPPER(TRIM(D312)),8),"X","0"),"Y","1"),"Z","2")),23)+1,1)=RIGHT(UPPER(TRIM(D312)),1),"OK","REVISAR"),IF(OR(RIGHT(UPPER(TRIM(D312)),1)=TEXT(MOD(10-MOD((VALUE(MID(UPPER(TRIM(D312)),3,1))+VALUE(MID(UPPER(TRIM(D312)),5,1))+VALUE(MID(UPPER(TRIM(D312)),7,1)))+(INT(2*VALUE(MID(UPPER(TRIM(D312)),2,1))/10)+MOD(2*VALUE(MID(UPPER(TRIM(D312)),2,1)),10))+(INT(2*VALUE(MID(UPPER(TRIM(D312)),4,1))/10)+MOD(2*VALUE(MID(UPPER(TRIM(D312)),4,1)),10))+(INT(2*VALUE(MID(UPPER(TRIM(D312)),6,1))/10)+MOD(2*VALUE(MID(UPPER(TRIM(D312)),6,1)),10))+(INT(2*VALUE(MID(UPPER(TRIM(D312)),8,1))/10)+MOD(2*VALUE(MID(UPPER(TRIM(D312)),8,1)),10)),10),10),"0"),RIGHT(UPPER(TRIM(D312)),1)=MID("JABCDEFGHI",MOD(10-MOD((VALUE(MID(UPPER(TRIM(D312)),3,1))+VALUE(MID(UPPER(TRIM(D312)),5,1))+VALUE(MID(UPPER(TRIM(D312)),7,1)))+(INT(2*VALUE(MID(UPPER(TRIM(D312)),2,1))/10)+MOD(2*VALUE(MID(UPPER(TRIM(D312)),2,1)),10))+(INT(2*VALUE(MID(UPPER(TRIM(D312)),4,1))/10)+MOD(2*VALUE(MID(UPPER(TRIM(D312)),4,1)),10))+(INT(2*VALUE(MID(UPPER(TRIM(D312)),6,1))/10)+MOD(2*VALUE(MID(UPPER(TRIM(D312)),6,1)),10))+(INT(2*VALUE(MID(UPPER(TRIM(D312)),8,1))/10)+MOD(2*VALUE(MID(UPPER(TRIM(D312)),8,1)),10)),10),10)+1,1)),"OK","REVISAR")),"REVISAR")))</f>
        <v/>
      </c>
      <c r="Q312">
        <f>IF(B312="","",IF(COUNTIFS($B$2:$B$501,B312,$D$2:$D$501,D312)&gt;1,"DUPLICADA",""))</f>
        <v/>
      </c>
      <c r="R312">
        <f>IF(A312="","",ROUNDUP(MONTH(A312)/3,0))</f>
        <v/>
      </c>
      <c r="S312" s="3" t="n"/>
    </row>
    <row r="313">
      <c r="A313" s="2" t="n"/>
      <c r="B313" s="3" t="n"/>
      <c r="C313" s="3" t="n"/>
      <c r="D313" s="3" t="n"/>
      <c r="E313" s="4" t="n"/>
      <c r="F313" s="4" t="n"/>
      <c r="G313" s="4" t="n"/>
      <c r="H313" s="4" t="n"/>
      <c r="I313" s="5">
        <f>IF(E313="","",ROUND(E313*0.21,2))</f>
        <v/>
      </c>
      <c r="J313" s="5">
        <f>IF(F313="","",ROUND(F313*0.1,2))</f>
        <v/>
      </c>
      <c r="K313" s="5">
        <f>IF(G313="","",ROUND(G313*0.04,2))</f>
        <v/>
      </c>
      <c r="L313" s="4" t="n"/>
      <c r="M313" s="4" t="n"/>
      <c r="N313" s="5">
        <f>IF(A313="","",SUM(E313:K313)-N(L313))</f>
        <v/>
      </c>
      <c r="O313">
        <f>IF(OR(A313="",M313=""),"",IF(ABS(M313-N313)&lt;=0.02,"OK","REVISAR"))</f>
        <v/>
      </c>
      <c r="P313">
        <f>IF(D313="","",IF(LEN(TRIM(D313))&lt;&gt;9,"REVISAR",IFERROR(IF(OR(ISNUMBER(VALUE(LEFT(UPPER(TRIM(D313)),1))),LEFT(UPPER(TRIM(D313)),1)="X",LEFT(UPPER(TRIM(D313)),1)="Y",LEFT(UPPER(TRIM(D313)),1)="Z"),IF(MID("TRWAGMYFPDXBNJZSQVHLCKE",MOD(VALUE(SUBSTITUTE(SUBSTITUTE(SUBSTITUTE(LEFT(UPPER(TRIM(D313)),8),"X","0"),"Y","1"),"Z","2")),23)+1,1)=RIGHT(UPPER(TRIM(D313)),1),"OK","REVISAR"),IF(OR(RIGHT(UPPER(TRIM(D313)),1)=TEXT(MOD(10-MOD((VALUE(MID(UPPER(TRIM(D313)),3,1))+VALUE(MID(UPPER(TRIM(D313)),5,1))+VALUE(MID(UPPER(TRIM(D313)),7,1)))+(INT(2*VALUE(MID(UPPER(TRIM(D313)),2,1))/10)+MOD(2*VALUE(MID(UPPER(TRIM(D313)),2,1)),10))+(INT(2*VALUE(MID(UPPER(TRIM(D313)),4,1))/10)+MOD(2*VALUE(MID(UPPER(TRIM(D313)),4,1)),10))+(INT(2*VALUE(MID(UPPER(TRIM(D313)),6,1))/10)+MOD(2*VALUE(MID(UPPER(TRIM(D313)),6,1)),10))+(INT(2*VALUE(MID(UPPER(TRIM(D313)),8,1))/10)+MOD(2*VALUE(MID(UPPER(TRIM(D313)),8,1)),10)),10),10),"0"),RIGHT(UPPER(TRIM(D313)),1)=MID("JABCDEFGHI",MOD(10-MOD((VALUE(MID(UPPER(TRIM(D313)),3,1))+VALUE(MID(UPPER(TRIM(D313)),5,1))+VALUE(MID(UPPER(TRIM(D313)),7,1)))+(INT(2*VALUE(MID(UPPER(TRIM(D313)),2,1))/10)+MOD(2*VALUE(MID(UPPER(TRIM(D313)),2,1)),10))+(INT(2*VALUE(MID(UPPER(TRIM(D313)),4,1))/10)+MOD(2*VALUE(MID(UPPER(TRIM(D313)),4,1)),10))+(INT(2*VALUE(MID(UPPER(TRIM(D313)),6,1))/10)+MOD(2*VALUE(MID(UPPER(TRIM(D313)),6,1)),10))+(INT(2*VALUE(MID(UPPER(TRIM(D313)),8,1))/10)+MOD(2*VALUE(MID(UPPER(TRIM(D313)),8,1)),10)),10),10)+1,1)),"OK","REVISAR")),"REVISAR")))</f>
        <v/>
      </c>
      <c r="Q313">
        <f>IF(B313="","",IF(COUNTIFS($B$2:$B$501,B313,$D$2:$D$501,D313)&gt;1,"DUPLICADA",""))</f>
        <v/>
      </c>
      <c r="R313">
        <f>IF(A313="","",ROUNDUP(MONTH(A313)/3,0))</f>
        <v/>
      </c>
      <c r="S313" s="3" t="n"/>
    </row>
    <row r="314">
      <c r="A314" s="2" t="n"/>
      <c r="B314" s="3" t="n"/>
      <c r="C314" s="3" t="n"/>
      <c r="D314" s="3" t="n"/>
      <c r="E314" s="4" t="n"/>
      <c r="F314" s="4" t="n"/>
      <c r="G314" s="4" t="n"/>
      <c r="H314" s="4" t="n"/>
      <c r="I314" s="5">
        <f>IF(E314="","",ROUND(E314*0.21,2))</f>
        <v/>
      </c>
      <c r="J314" s="5">
        <f>IF(F314="","",ROUND(F314*0.1,2))</f>
        <v/>
      </c>
      <c r="K314" s="5">
        <f>IF(G314="","",ROUND(G314*0.04,2))</f>
        <v/>
      </c>
      <c r="L314" s="4" t="n"/>
      <c r="M314" s="4" t="n"/>
      <c r="N314" s="5">
        <f>IF(A314="","",SUM(E314:K314)-N(L314))</f>
        <v/>
      </c>
      <c r="O314">
        <f>IF(OR(A314="",M314=""),"",IF(ABS(M314-N314)&lt;=0.02,"OK","REVISAR"))</f>
        <v/>
      </c>
      <c r="P314">
        <f>IF(D314="","",IF(LEN(TRIM(D314))&lt;&gt;9,"REVISAR",IFERROR(IF(OR(ISNUMBER(VALUE(LEFT(UPPER(TRIM(D314)),1))),LEFT(UPPER(TRIM(D314)),1)="X",LEFT(UPPER(TRIM(D314)),1)="Y",LEFT(UPPER(TRIM(D314)),1)="Z"),IF(MID("TRWAGMYFPDXBNJZSQVHLCKE",MOD(VALUE(SUBSTITUTE(SUBSTITUTE(SUBSTITUTE(LEFT(UPPER(TRIM(D314)),8),"X","0"),"Y","1"),"Z","2")),23)+1,1)=RIGHT(UPPER(TRIM(D314)),1),"OK","REVISAR"),IF(OR(RIGHT(UPPER(TRIM(D314)),1)=TEXT(MOD(10-MOD((VALUE(MID(UPPER(TRIM(D314)),3,1))+VALUE(MID(UPPER(TRIM(D314)),5,1))+VALUE(MID(UPPER(TRIM(D314)),7,1)))+(INT(2*VALUE(MID(UPPER(TRIM(D314)),2,1))/10)+MOD(2*VALUE(MID(UPPER(TRIM(D314)),2,1)),10))+(INT(2*VALUE(MID(UPPER(TRIM(D314)),4,1))/10)+MOD(2*VALUE(MID(UPPER(TRIM(D314)),4,1)),10))+(INT(2*VALUE(MID(UPPER(TRIM(D314)),6,1))/10)+MOD(2*VALUE(MID(UPPER(TRIM(D314)),6,1)),10))+(INT(2*VALUE(MID(UPPER(TRIM(D314)),8,1))/10)+MOD(2*VALUE(MID(UPPER(TRIM(D314)),8,1)),10)),10),10),"0"),RIGHT(UPPER(TRIM(D314)),1)=MID("JABCDEFGHI",MOD(10-MOD((VALUE(MID(UPPER(TRIM(D314)),3,1))+VALUE(MID(UPPER(TRIM(D314)),5,1))+VALUE(MID(UPPER(TRIM(D314)),7,1)))+(INT(2*VALUE(MID(UPPER(TRIM(D314)),2,1))/10)+MOD(2*VALUE(MID(UPPER(TRIM(D314)),2,1)),10))+(INT(2*VALUE(MID(UPPER(TRIM(D314)),4,1))/10)+MOD(2*VALUE(MID(UPPER(TRIM(D314)),4,1)),10))+(INT(2*VALUE(MID(UPPER(TRIM(D314)),6,1))/10)+MOD(2*VALUE(MID(UPPER(TRIM(D314)),6,1)),10))+(INT(2*VALUE(MID(UPPER(TRIM(D314)),8,1))/10)+MOD(2*VALUE(MID(UPPER(TRIM(D314)),8,1)),10)),10),10)+1,1)),"OK","REVISAR")),"REVISAR")))</f>
        <v/>
      </c>
      <c r="Q314">
        <f>IF(B314="","",IF(COUNTIFS($B$2:$B$501,B314,$D$2:$D$501,D314)&gt;1,"DUPLICADA",""))</f>
        <v/>
      </c>
      <c r="R314">
        <f>IF(A314="","",ROUNDUP(MONTH(A314)/3,0))</f>
        <v/>
      </c>
      <c r="S314" s="3" t="n"/>
    </row>
    <row r="315">
      <c r="A315" s="2" t="n"/>
      <c r="B315" s="3" t="n"/>
      <c r="C315" s="3" t="n"/>
      <c r="D315" s="3" t="n"/>
      <c r="E315" s="4" t="n"/>
      <c r="F315" s="4" t="n"/>
      <c r="G315" s="4" t="n"/>
      <c r="H315" s="4" t="n"/>
      <c r="I315" s="5">
        <f>IF(E315="","",ROUND(E315*0.21,2))</f>
        <v/>
      </c>
      <c r="J315" s="5">
        <f>IF(F315="","",ROUND(F315*0.1,2))</f>
        <v/>
      </c>
      <c r="K315" s="5">
        <f>IF(G315="","",ROUND(G315*0.04,2))</f>
        <v/>
      </c>
      <c r="L315" s="4" t="n"/>
      <c r="M315" s="4" t="n"/>
      <c r="N315" s="5">
        <f>IF(A315="","",SUM(E315:K315)-N(L315))</f>
        <v/>
      </c>
      <c r="O315">
        <f>IF(OR(A315="",M315=""),"",IF(ABS(M315-N315)&lt;=0.02,"OK","REVISAR"))</f>
        <v/>
      </c>
      <c r="P315">
        <f>IF(D315="","",IF(LEN(TRIM(D315))&lt;&gt;9,"REVISAR",IFERROR(IF(OR(ISNUMBER(VALUE(LEFT(UPPER(TRIM(D315)),1))),LEFT(UPPER(TRIM(D315)),1)="X",LEFT(UPPER(TRIM(D315)),1)="Y",LEFT(UPPER(TRIM(D315)),1)="Z"),IF(MID("TRWAGMYFPDXBNJZSQVHLCKE",MOD(VALUE(SUBSTITUTE(SUBSTITUTE(SUBSTITUTE(LEFT(UPPER(TRIM(D315)),8),"X","0"),"Y","1"),"Z","2")),23)+1,1)=RIGHT(UPPER(TRIM(D315)),1),"OK","REVISAR"),IF(OR(RIGHT(UPPER(TRIM(D315)),1)=TEXT(MOD(10-MOD((VALUE(MID(UPPER(TRIM(D315)),3,1))+VALUE(MID(UPPER(TRIM(D315)),5,1))+VALUE(MID(UPPER(TRIM(D315)),7,1)))+(INT(2*VALUE(MID(UPPER(TRIM(D315)),2,1))/10)+MOD(2*VALUE(MID(UPPER(TRIM(D315)),2,1)),10))+(INT(2*VALUE(MID(UPPER(TRIM(D315)),4,1))/10)+MOD(2*VALUE(MID(UPPER(TRIM(D315)),4,1)),10))+(INT(2*VALUE(MID(UPPER(TRIM(D315)),6,1))/10)+MOD(2*VALUE(MID(UPPER(TRIM(D315)),6,1)),10))+(INT(2*VALUE(MID(UPPER(TRIM(D315)),8,1))/10)+MOD(2*VALUE(MID(UPPER(TRIM(D315)),8,1)),10)),10),10),"0"),RIGHT(UPPER(TRIM(D315)),1)=MID("JABCDEFGHI",MOD(10-MOD((VALUE(MID(UPPER(TRIM(D315)),3,1))+VALUE(MID(UPPER(TRIM(D315)),5,1))+VALUE(MID(UPPER(TRIM(D315)),7,1)))+(INT(2*VALUE(MID(UPPER(TRIM(D315)),2,1))/10)+MOD(2*VALUE(MID(UPPER(TRIM(D315)),2,1)),10))+(INT(2*VALUE(MID(UPPER(TRIM(D315)),4,1))/10)+MOD(2*VALUE(MID(UPPER(TRIM(D315)),4,1)),10))+(INT(2*VALUE(MID(UPPER(TRIM(D315)),6,1))/10)+MOD(2*VALUE(MID(UPPER(TRIM(D315)),6,1)),10))+(INT(2*VALUE(MID(UPPER(TRIM(D315)),8,1))/10)+MOD(2*VALUE(MID(UPPER(TRIM(D315)),8,1)),10)),10),10)+1,1)),"OK","REVISAR")),"REVISAR")))</f>
        <v/>
      </c>
      <c r="Q315">
        <f>IF(B315="","",IF(COUNTIFS($B$2:$B$501,B315,$D$2:$D$501,D315)&gt;1,"DUPLICADA",""))</f>
        <v/>
      </c>
      <c r="R315">
        <f>IF(A315="","",ROUNDUP(MONTH(A315)/3,0))</f>
        <v/>
      </c>
      <c r="S315" s="3" t="n"/>
    </row>
    <row r="316">
      <c r="A316" s="2" t="n"/>
      <c r="B316" s="3" t="n"/>
      <c r="C316" s="3" t="n"/>
      <c r="D316" s="3" t="n"/>
      <c r="E316" s="4" t="n"/>
      <c r="F316" s="4" t="n"/>
      <c r="G316" s="4" t="n"/>
      <c r="H316" s="4" t="n"/>
      <c r="I316" s="5">
        <f>IF(E316="","",ROUND(E316*0.21,2))</f>
        <v/>
      </c>
      <c r="J316" s="5">
        <f>IF(F316="","",ROUND(F316*0.1,2))</f>
        <v/>
      </c>
      <c r="K316" s="5">
        <f>IF(G316="","",ROUND(G316*0.04,2))</f>
        <v/>
      </c>
      <c r="L316" s="4" t="n"/>
      <c r="M316" s="4" t="n"/>
      <c r="N316" s="5">
        <f>IF(A316="","",SUM(E316:K316)-N(L316))</f>
        <v/>
      </c>
      <c r="O316">
        <f>IF(OR(A316="",M316=""),"",IF(ABS(M316-N316)&lt;=0.02,"OK","REVISAR"))</f>
        <v/>
      </c>
      <c r="P316">
        <f>IF(D316="","",IF(LEN(TRIM(D316))&lt;&gt;9,"REVISAR",IFERROR(IF(OR(ISNUMBER(VALUE(LEFT(UPPER(TRIM(D316)),1))),LEFT(UPPER(TRIM(D316)),1)="X",LEFT(UPPER(TRIM(D316)),1)="Y",LEFT(UPPER(TRIM(D316)),1)="Z"),IF(MID("TRWAGMYFPDXBNJZSQVHLCKE",MOD(VALUE(SUBSTITUTE(SUBSTITUTE(SUBSTITUTE(LEFT(UPPER(TRIM(D316)),8),"X","0"),"Y","1"),"Z","2")),23)+1,1)=RIGHT(UPPER(TRIM(D316)),1),"OK","REVISAR"),IF(OR(RIGHT(UPPER(TRIM(D316)),1)=TEXT(MOD(10-MOD((VALUE(MID(UPPER(TRIM(D316)),3,1))+VALUE(MID(UPPER(TRIM(D316)),5,1))+VALUE(MID(UPPER(TRIM(D316)),7,1)))+(INT(2*VALUE(MID(UPPER(TRIM(D316)),2,1))/10)+MOD(2*VALUE(MID(UPPER(TRIM(D316)),2,1)),10))+(INT(2*VALUE(MID(UPPER(TRIM(D316)),4,1))/10)+MOD(2*VALUE(MID(UPPER(TRIM(D316)),4,1)),10))+(INT(2*VALUE(MID(UPPER(TRIM(D316)),6,1))/10)+MOD(2*VALUE(MID(UPPER(TRIM(D316)),6,1)),10))+(INT(2*VALUE(MID(UPPER(TRIM(D316)),8,1))/10)+MOD(2*VALUE(MID(UPPER(TRIM(D316)),8,1)),10)),10),10),"0"),RIGHT(UPPER(TRIM(D316)),1)=MID("JABCDEFGHI",MOD(10-MOD((VALUE(MID(UPPER(TRIM(D316)),3,1))+VALUE(MID(UPPER(TRIM(D316)),5,1))+VALUE(MID(UPPER(TRIM(D316)),7,1)))+(INT(2*VALUE(MID(UPPER(TRIM(D316)),2,1))/10)+MOD(2*VALUE(MID(UPPER(TRIM(D316)),2,1)),10))+(INT(2*VALUE(MID(UPPER(TRIM(D316)),4,1))/10)+MOD(2*VALUE(MID(UPPER(TRIM(D316)),4,1)),10))+(INT(2*VALUE(MID(UPPER(TRIM(D316)),6,1))/10)+MOD(2*VALUE(MID(UPPER(TRIM(D316)),6,1)),10))+(INT(2*VALUE(MID(UPPER(TRIM(D316)),8,1))/10)+MOD(2*VALUE(MID(UPPER(TRIM(D316)),8,1)),10)),10),10)+1,1)),"OK","REVISAR")),"REVISAR")))</f>
        <v/>
      </c>
      <c r="Q316">
        <f>IF(B316="","",IF(COUNTIFS($B$2:$B$501,B316,$D$2:$D$501,D316)&gt;1,"DUPLICADA",""))</f>
        <v/>
      </c>
      <c r="R316">
        <f>IF(A316="","",ROUNDUP(MONTH(A316)/3,0))</f>
        <v/>
      </c>
      <c r="S316" s="3" t="n"/>
    </row>
    <row r="317">
      <c r="A317" s="2" t="n"/>
      <c r="B317" s="3" t="n"/>
      <c r="C317" s="3" t="n"/>
      <c r="D317" s="3" t="n"/>
      <c r="E317" s="4" t="n"/>
      <c r="F317" s="4" t="n"/>
      <c r="G317" s="4" t="n"/>
      <c r="H317" s="4" t="n"/>
      <c r="I317" s="5">
        <f>IF(E317="","",ROUND(E317*0.21,2))</f>
        <v/>
      </c>
      <c r="J317" s="5">
        <f>IF(F317="","",ROUND(F317*0.1,2))</f>
        <v/>
      </c>
      <c r="K317" s="5">
        <f>IF(G317="","",ROUND(G317*0.04,2))</f>
        <v/>
      </c>
      <c r="L317" s="4" t="n"/>
      <c r="M317" s="4" t="n"/>
      <c r="N317" s="5">
        <f>IF(A317="","",SUM(E317:K317)-N(L317))</f>
        <v/>
      </c>
      <c r="O317">
        <f>IF(OR(A317="",M317=""),"",IF(ABS(M317-N317)&lt;=0.02,"OK","REVISAR"))</f>
        <v/>
      </c>
      <c r="P317">
        <f>IF(D317="","",IF(LEN(TRIM(D317))&lt;&gt;9,"REVISAR",IFERROR(IF(OR(ISNUMBER(VALUE(LEFT(UPPER(TRIM(D317)),1))),LEFT(UPPER(TRIM(D317)),1)="X",LEFT(UPPER(TRIM(D317)),1)="Y",LEFT(UPPER(TRIM(D317)),1)="Z"),IF(MID("TRWAGMYFPDXBNJZSQVHLCKE",MOD(VALUE(SUBSTITUTE(SUBSTITUTE(SUBSTITUTE(LEFT(UPPER(TRIM(D317)),8),"X","0"),"Y","1"),"Z","2")),23)+1,1)=RIGHT(UPPER(TRIM(D317)),1),"OK","REVISAR"),IF(OR(RIGHT(UPPER(TRIM(D317)),1)=TEXT(MOD(10-MOD((VALUE(MID(UPPER(TRIM(D317)),3,1))+VALUE(MID(UPPER(TRIM(D317)),5,1))+VALUE(MID(UPPER(TRIM(D317)),7,1)))+(INT(2*VALUE(MID(UPPER(TRIM(D317)),2,1))/10)+MOD(2*VALUE(MID(UPPER(TRIM(D317)),2,1)),10))+(INT(2*VALUE(MID(UPPER(TRIM(D317)),4,1))/10)+MOD(2*VALUE(MID(UPPER(TRIM(D317)),4,1)),10))+(INT(2*VALUE(MID(UPPER(TRIM(D317)),6,1))/10)+MOD(2*VALUE(MID(UPPER(TRIM(D317)),6,1)),10))+(INT(2*VALUE(MID(UPPER(TRIM(D317)),8,1))/10)+MOD(2*VALUE(MID(UPPER(TRIM(D317)),8,1)),10)),10),10),"0"),RIGHT(UPPER(TRIM(D317)),1)=MID("JABCDEFGHI",MOD(10-MOD((VALUE(MID(UPPER(TRIM(D317)),3,1))+VALUE(MID(UPPER(TRIM(D317)),5,1))+VALUE(MID(UPPER(TRIM(D317)),7,1)))+(INT(2*VALUE(MID(UPPER(TRIM(D317)),2,1))/10)+MOD(2*VALUE(MID(UPPER(TRIM(D317)),2,1)),10))+(INT(2*VALUE(MID(UPPER(TRIM(D317)),4,1))/10)+MOD(2*VALUE(MID(UPPER(TRIM(D317)),4,1)),10))+(INT(2*VALUE(MID(UPPER(TRIM(D317)),6,1))/10)+MOD(2*VALUE(MID(UPPER(TRIM(D317)),6,1)),10))+(INT(2*VALUE(MID(UPPER(TRIM(D317)),8,1))/10)+MOD(2*VALUE(MID(UPPER(TRIM(D317)),8,1)),10)),10),10)+1,1)),"OK","REVISAR")),"REVISAR")))</f>
        <v/>
      </c>
      <c r="Q317">
        <f>IF(B317="","",IF(COUNTIFS($B$2:$B$501,B317,$D$2:$D$501,D317)&gt;1,"DUPLICADA",""))</f>
        <v/>
      </c>
      <c r="R317">
        <f>IF(A317="","",ROUNDUP(MONTH(A317)/3,0))</f>
        <v/>
      </c>
      <c r="S317" s="3" t="n"/>
    </row>
    <row r="318">
      <c r="A318" s="2" t="n"/>
      <c r="B318" s="3" t="n"/>
      <c r="C318" s="3" t="n"/>
      <c r="D318" s="3" t="n"/>
      <c r="E318" s="4" t="n"/>
      <c r="F318" s="4" t="n"/>
      <c r="G318" s="4" t="n"/>
      <c r="H318" s="4" t="n"/>
      <c r="I318" s="5">
        <f>IF(E318="","",ROUND(E318*0.21,2))</f>
        <v/>
      </c>
      <c r="J318" s="5">
        <f>IF(F318="","",ROUND(F318*0.1,2))</f>
        <v/>
      </c>
      <c r="K318" s="5">
        <f>IF(G318="","",ROUND(G318*0.04,2))</f>
        <v/>
      </c>
      <c r="L318" s="4" t="n"/>
      <c r="M318" s="4" t="n"/>
      <c r="N318" s="5">
        <f>IF(A318="","",SUM(E318:K318)-N(L318))</f>
        <v/>
      </c>
      <c r="O318">
        <f>IF(OR(A318="",M318=""),"",IF(ABS(M318-N318)&lt;=0.02,"OK","REVISAR"))</f>
        <v/>
      </c>
      <c r="P318">
        <f>IF(D318="","",IF(LEN(TRIM(D318))&lt;&gt;9,"REVISAR",IFERROR(IF(OR(ISNUMBER(VALUE(LEFT(UPPER(TRIM(D318)),1))),LEFT(UPPER(TRIM(D318)),1)="X",LEFT(UPPER(TRIM(D318)),1)="Y",LEFT(UPPER(TRIM(D318)),1)="Z"),IF(MID("TRWAGMYFPDXBNJZSQVHLCKE",MOD(VALUE(SUBSTITUTE(SUBSTITUTE(SUBSTITUTE(LEFT(UPPER(TRIM(D318)),8),"X","0"),"Y","1"),"Z","2")),23)+1,1)=RIGHT(UPPER(TRIM(D318)),1),"OK","REVISAR"),IF(OR(RIGHT(UPPER(TRIM(D318)),1)=TEXT(MOD(10-MOD((VALUE(MID(UPPER(TRIM(D318)),3,1))+VALUE(MID(UPPER(TRIM(D318)),5,1))+VALUE(MID(UPPER(TRIM(D318)),7,1)))+(INT(2*VALUE(MID(UPPER(TRIM(D318)),2,1))/10)+MOD(2*VALUE(MID(UPPER(TRIM(D318)),2,1)),10))+(INT(2*VALUE(MID(UPPER(TRIM(D318)),4,1))/10)+MOD(2*VALUE(MID(UPPER(TRIM(D318)),4,1)),10))+(INT(2*VALUE(MID(UPPER(TRIM(D318)),6,1))/10)+MOD(2*VALUE(MID(UPPER(TRIM(D318)),6,1)),10))+(INT(2*VALUE(MID(UPPER(TRIM(D318)),8,1))/10)+MOD(2*VALUE(MID(UPPER(TRIM(D318)),8,1)),10)),10),10),"0"),RIGHT(UPPER(TRIM(D318)),1)=MID("JABCDEFGHI",MOD(10-MOD((VALUE(MID(UPPER(TRIM(D318)),3,1))+VALUE(MID(UPPER(TRIM(D318)),5,1))+VALUE(MID(UPPER(TRIM(D318)),7,1)))+(INT(2*VALUE(MID(UPPER(TRIM(D318)),2,1))/10)+MOD(2*VALUE(MID(UPPER(TRIM(D318)),2,1)),10))+(INT(2*VALUE(MID(UPPER(TRIM(D318)),4,1))/10)+MOD(2*VALUE(MID(UPPER(TRIM(D318)),4,1)),10))+(INT(2*VALUE(MID(UPPER(TRIM(D318)),6,1))/10)+MOD(2*VALUE(MID(UPPER(TRIM(D318)),6,1)),10))+(INT(2*VALUE(MID(UPPER(TRIM(D318)),8,1))/10)+MOD(2*VALUE(MID(UPPER(TRIM(D318)),8,1)),10)),10),10)+1,1)),"OK","REVISAR")),"REVISAR")))</f>
        <v/>
      </c>
      <c r="Q318">
        <f>IF(B318="","",IF(COUNTIFS($B$2:$B$501,B318,$D$2:$D$501,D318)&gt;1,"DUPLICADA",""))</f>
        <v/>
      </c>
      <c r="R318">
        <f>IF(A318="","",ROUNDUP(MONTH(A318)/3,0))</f>
        <v/>
      </c>
      <c r="S318" s="3" t="n"/>
    </row>
    <row r="319">
      <c r="A319" s="2" t="n"/>
      <c r="B319" s="3" t="n"/>
      <c r="C319" s="3" t="n"/>
      <c r="D319" s="3" t="n"/>
      <c r="E319" s="4" t="n"/>
      <c r="F319" s="4" t="n"/>
      <c r="G319" s="4" t="n"/>
      <c r="H319" s="4" t="n"/>
      <c r="I319" s="5">
        <f>IF(E319="","",ROUND(E319*0.21,2))</f>
        <v/>
      </c>
      <c r="J319" s="5">
        <f>IF(F319="","",ROUND(F319*0.1,2))</f>
        <v/>
      </c>
      <c r="K319" s="5">
        <f>IF(G319="","",ROUND(G319*0.04,2))</f>
        <v/>
      </c>
      <c r="L319" s="4" t="n"/>
      <c r="M319" s="4" t="n"/>
      <c r="N319" s="5">
        <f>IF(A319="","",SUM(E319:K319)-N(L319))</f>
        <v/>
      </c>
      <c r="O319">
        <f>IF(OR(A319="",M319=""),"",IF(ABS(M319-N319)&lt;=0.02,"OK","REVISAR"))</f>
        <v/>
      </c>
      <c r="P319">
        <f>IF(D319="","",IF(LEN(TRIM(D319))&lt;&gt;9,"REVISAR",IFERROR(IF(OR(ISNUMBER(VALUE(LEFT(UPPER(TRIM(D319)),1))),LEFT(UPPER(TRIM(D319)),1)="X",LEFT(UPPER(TRIM(D319)),1)="Y",LEFT(UPPER(TRIM(D319)),1)="Z"),IF(MID("TRWAGMYFPDXBNJZSQVHLCKE",MOD(VALUE(SUBSTITUTE(SUBSTITUTE(SUBSTITUTE(LEFT(UPPER(TRIM(D319)),8),"X","0"),"Y","1"),"Z","2")),23)+1,1)=RIGHT(UPPER(TRIM(D319)),1),"OK","REVISAR"),IF(OR(RIGHT(UPPER(TRIM(D319)),1)=TEXT(MOD(10-MOD((VALUE(MID(UPPER(TRIM(D319)),3,1))+VALUE(MID(UPPER(TRIM(D319)),5,1))+VALUE(MID(UPPER(TRIM(D319)),7,1)))+(INT(2*VALUE(MID(UPPER(TRIM(D319)),2,1))/10)+MOD(2*VALUE(MID(UPPER(TRIM(D319)),2,1)),10))+(INT(2*VALUE(MID(UPPER(TRIM(D319)),4,1))/10)+MOD(2*VALUE(MID(UPPER(TRIM(D319)),4,1)),10))+(INT(2*VALUE(MID(UPPER(TRIM(D319)),6,1))/10)+MOD(2*VALUE(MID(UPPER(TRIM(D319)),6,1)),10))+(INT(2*VALUE(MID(UPPER(TRIM(D319)),8,1))/10)+MOD(2*VALUE(MID(UPPER(TRIM(D319)),8,1)),10)),10),10),"0"),RIGHT(UPPER(TRIM(D319)),1)=MID("JABCDEFGHI",MOD(10-MOD((VALUE(MID(UPPER(TRIM(D319)),3,1))+VALUE(MID(UPPER(TRIM(D319)),5,1))+VALUE(MID(UPPER(TRIM(D319)),7,1)))+(INT(2*VALUE(MID(UPPER(TRIM(D319)),2,1))/10)+MOD(2*VALUE(MID(UPPER(TRIM(D319)),2,1)),10))+(INT(2*VALUE(MID(UPPER(TRIM(D319)),4,1))/10)+MOD(2*VALUE(MID(UPPER(TRIM(D319)),4,1)),10))+(INT(2*VALUE(MID(UPPER(TRIM(D319)),6,1))/10)+MOD(2*VALUE(MID(UPPER(TRIM(D319)),6,1)),10))+(INT(2*VALUE(MID(UPPER(TRIM(D319)),8,1))/10)+MOD(2*VALUE(MID(UPPER(TRIM(D319)),8,1)),10)),10),10)+1,1)),"OK","REVISAR")),"REVISAR")))</f>
        <v/>
      </c>
      <c r="Q319">
        <f>IF(B319="","",IF(COUNTIFS($B$2:$B$501,B319,$D$2:$D$501,D319)&gt;1,"DUPLICADA",""))</f>
        <v/>
      </c>
      <c r="R319">
        <f>IF(A319="","",ROUNDUP(MONTH(A319)/3,0))</f>
        <v/>
      </c>
      <c r="S319" s="3" t="n"/>
    </row>
    <row r="320">
      <c r="A320" s="2" t="n"/>
      <c r="B320" s="3" t="n"/>
      <c r="C320" s="3" t="n"/>
      <c r="D320" s="3" t="n"/>
      <c r="E320" s="4" t="n"/>
      <c r="F320" s="4" t="n"/>
      <c r="G320" s="4" t="n"/>
      <c r="H320" s="4" t="n"/>
      <c r="I320" s="5">
        <f>IF(E320="","",ROUND(E320*0.21,2))</f>
        <v/>
      </c>
      <c r="J320" s="5">
        <f>IF(F320="","",ROUND(F320*0.1,2))</f>
        <v/>
      </c>
      <c r="K320" s="5">
        <f>IF(G320="","",ROUND(G320*0.04,2))</f>
        <v/>
      </c>
      <c r="L320" s="4" t="n"/>
      <c r="M320" s="4" t="n"/>
      <c r="N320" s="5">
        <f>IF(A320="","",SUM(E320:K320)-N(L320))</f>
        <v/>
      </c>
      <c r="O320">
        <f>IF(OR(A320="",M320=""),"",IF(ABS(M320-N320)&lt;=0.02,"OK","REVISAR"))</f>
        <v/>
      </c>
      <c r="P320">
        <f>IF(D320="","",IF(LEN(TRIM(D320))&lt;&gt;9,"REVISAR",IFERROR(IF(OR(ISNUMBER(VALUE(LEFT(UPPER(TRIM(D320)),1))),LEFT(UPPER(TRIM(D320)),1)="X",LEFT(UPPER(TRIM(D320)),1)="Y",LEFT(UPPER(TRIM(D320)),1)="Z"),IF(MID("TRWAGMYFPDXBNJZSQVHLCKE",MOD(VALUE(SUBSTITUTE(SUBSTITUTE(SUBSTITUTE(LEFT(UPPER(TRIM(D320)),8),"X","0"),"Y","1"),"Z","2")),23)+1,1)=RIGHT(UPPER(TRIM(D320)),1),"OK","REVISAR"),IF(OR(RIGHT(UPPER(TRIM(D320)),1)=TEXT(MOD(10-MOD((VALUE(MID(UPPER(TRIM(D320)),3,1))+VALUE(MID(UPPER(TRIM(D320)),5,1))+VALUE(MID(UPPER(TRIM(D320)),7,1)))+(INT(2*VALUE(MID(UPPER(TRIM(D320)),2,1))/10)+MOD(2*VALUE(MID(UPPER(TRIM(D320)),2,1)),10))+(INT(2*VALUE(MID(UPPER(TRIM(D320)),4,1))/10)+MOD(2*VALUE(MID(UPPER(TRIM(D320)),4,1)),10))+(INT(2*VALUE(MID(UPPER(TRIM(D320)),6,1))/10)+MOD(2*VALUE(MID(UPPER(TRIM(D320)),6,1)),10))+(INT(2*VALUE(MID(UPPER(TRIM(D320)),8,1))/10)+MOD(2*VALUE(MID(UPPER(TRIM(D320)),8,1)),10)),10),10),"0"),RIGHT(UPPER(TRIM(D320)),1)=MID("JABCDEFGHI",MOD(10-MOD((VALUE(MID(UPPER(TRIM(D320)),3,1))+VALUE(MID(UPPER(TRIM(D320)),5,1))+VALUE(MID(UPPER(TRIM(D320)),7,1)))+(INT(2*VALUE(MID(UPPER(TRIM(D320)),2,1))/10)+MOD(2*VALUE(MID(UPPER(TRIM(D320)),2,1)),10))+(INT(2*VALUE(MID(UPPER(TRIM(D320)),4,1))/10)+MOD(2*VALUE(MID(UPPER(TRIM(D320)),4,1)),10))+(INT(2*VALUE(MID(UPPER(TRIM(D320)),6,1))/10)+MOD(2*VALUE(MID(UPPER(TRIM(D320)),6,1)),10))+(INT(2*VALUE(MID(UPPER(TRIM(D320)),8,1))/10)+MOD(2*VALUE(MID(UPPER(TRIM(D320)),8,1)),10)),10),10)+1,1)),"OK","REVISAR")),"REVISAR")))</f>
        <v/>
      </c>
      <c r="Q320">
        <f>IF(B320="","",IF(COUNTIFS($B$2:$B$501,B320,$D$2:$D$501,D320)&gt;1,"DUPLICADA",""))</f>
        <v/>
      </c>
      <c r="R320">
        <f>IF(A320="","",ROUNDUP(MONTH(A320)/3,0))</f>
        <v/>
      </c>
      <c r="S320" s="3" t="n"/>
    </row>
    <row r="321">
      <c r="A321" s="2" t="n"/>
      <c r="B321" s="3" t="n"/>
      <c r="C321" s="3" t="n"/>
      <c r="D321" s="3" t="n"/>
      <c r="E321" s="4" t="n"/>
      <c r="F321" s="4" t="n"/>
      <c r="G321" s="4" t="n"/>
      <c r="H321" s="4" t="n"/>
      <c r="I321" s="5">
        <f>IF(E321="","",ROUND(E321*0.21,2))</f>
        <v/>
      </c>
      <c r="J321" s="5">
        <f>IF(F321="","",ROUND(F321*0.1,2))</f>
        <v/>
      </c>
      <c r="K321" s="5">
        <f>IF(G321="","",ROUND(G321*0.04,2))</f>
        <v/>
      </c>
      <c r="L321" s="4" t="n"/>
      <c r="M321" s="4" t="n"/>
      <c r="N321" s="5">
        <f>IF(A321="","",SUM(E321:K321)-N(L321))</f>
        <v/>
      </c>
      <c r="O321">
        <f>IF(OR(A321="",M321=""),"",IF(ABS(M321-N321)&lt;=0.02,"OK","REVISAR"))</f>
        <v/>
      </c>
      <c r="P321">
        <f>IF(D321="","",IF(LEN(TRIM(D321))&lt;&gt;9,"REVISAR",IFERROR(IF(OR(ISNUMBER(VALUE(LEFT(UPPER(TRIM(D321)),1))),LEFT(UPPER(TRIM(D321)),1)="X",LEFT(UPPER(TRIM(D321)),1)="Y",LEFT(UPPER(TRIM(D321)),1)="Z"),IF(MID("TRWAGMYFPDXBNJZSQVHLCKE",MOD(VALUE(SUBSTITUTE(SUBSTITUTE(SUBSTITUTE(LEFT(UPPER(TRIM(D321)),8),"X","0"),"Y","1"),"Z","2")),23)+1,1)=RIGHT(UPPER(TRIM(D321)),1),"OK","REVISAR"),IF(OR(RIGHT(UPPER(TRIM(D321)),1)=TEXT(MOD(10-MOD((VALUE(MID(UPPER(TRIM(D321)),3,1))+VALUE(MID(UPPER(TRIM(D321)),5,1))+VALUE(MID(UPPER(TRIM(D321)),7,1)))+(INT(2*VALUE(MID(UPPER(TRIM(D321)),2,1))/10)+MOD(2*VALUE(MID(UPPER(TRIM(D321)),2,1)),10))+(INT(2*VALUE(MID(UPPER(TRIM(D321)),4,1))/10)+MOD(2*VALUE(MID(UPPER(TRIM(D321)),4,1)),10))+(INT(2*VALUE(MID(UPPER(TRIM(D321)),6,1))/10)+MOD(2*VALUE(MID(UPPER(TRIM(D321)),6,1)),10))+(INT(2*VALUE(MID(UPPER(TRIM(D321)),8,1))/10)+MOD(2*VALUE(MID(UPPER(TRIM(D321)),8,1)),10)),10),10),"0"),RIGHT(UPPER(TRIM(D321)),1)=MID("JABCDEFGHI",MOD(10-MOD((VALUE(MID(UPPER(TRIM(D321)),3,1))+VALUE(MID(UPPER(TRIM(D321)),5,1))+VALUE(MID(UPPER(TRIM(D321)),7,1)))+(INT(2*VALUE(MID(UPPER(TRIM(D321)),2,1))/10)+MOD(2*VALUE(MID(UPPER(TRIM(D321)),2,1)),10))+(INT(2*VALUE(MID(UPPER(TRIM(D321)),4,1))/10)+MOD(2*VALUE(MID(UPPER(TRIM(D321)),4,1)),10))+(INT(2*VALUE(MID(UPPER(TRIM(D321)),6,1))/10)+MOD(2*VALUE(MID(UPPER(TRIM(D321)),6,1)),10))+(INT(2*VALUE(MID(UPPER(TRIM(D321)),8,1))/10)+MOD(2*VALUE(MID(UPPER(TRIM(D321)),8,1)),10)),10),10)+1,1)),"OK","REVISAR")),"REVISAR")))</f>
        <v/>
      </c>
      <c r="Q321">
        <f>IF(B321="","",IF(COUNTIFS($B$2:$B$501,B321,$D$2:$D$501,D321)&gt;1,"DUPLICADA",""))</f>
        <v/>
      </c>
      <c r="R321">
        <f>IF(A321="","",ROUNDUP(MONTH(A321)/3,0))</f>
        <v/>
      </c>
      <c r="S321" s="3" t="n"/>
    </row>
    <row r="322">
      <c r="A322" s="2" t="n"/>
      <c r="B322" s="3" t="n"/>
      <c r="C322" s="3" t="n"/>
      <c r="D322" s="3" t="n"/>
      <c r="E322" s="4" t="n"/>
      <c r="F322" s="4" t="n"/>
      <c r="G322" s="4" t="n"/>
      <c r="H322" s="4" t="n"/>
      <c r="I322" s="5">
        <f>IF(E322="","",ROUND(E322*0.21,2))</f>
        <v/>
      </c>
      <c r="J322" s="5">
        <f>IF(F322="","",ROUND(F322*0.1,2))</f>
        <v/>
      </c>
      <c r="K322" s="5">
        <f>IF(G322="","",ROUND(G322*0.04,2))</f>
        <v/>
      </c>
      <c r="L322" s="4" t="n"/>
      <c r="M322" s="4" t="n"/>
      <c r="N322" s="5">
        <f>IF(A322="","",SUM(E322:K322)-N(L322))</f>
        <v/>
      </c>
      <c r="O322">
        <f>IF(OR(A322="",M322=""),"",IF(ABS(M322-N322)&lt;=0.02,"OK","REVISAR"))</f>
        <v/>
      </c>
      <c r="P322">
        <f>IF(D322="","",IF(LEN(TRIM(D322))&lt;&gt;9,"REVISAR",IFERROR(IF(OR(ISNUMBER(VALUE(LEFT(UPPER(TRIM(D322)),1))),LEFT(UPPER(TRIM(D322)),1)="X",LEFT(UPPER(TRIM(D322)),1)="Y",LEFT(UPPER(TRIM(D322)),1)="Z"),IF(MID("TRWAGMYFPDXBNJZSQVHLCKE",MOD(VALUE(SUBSTITUTE(SUBSTITUTE(SUBSTITUTE(LEFT(UPPER(TRIM(D322)),8),"X","0"),"Y","1"),"Z","2")),23)+1,1)=RIGHT(UPPER(TRIM(D322)),1),"OK","REVISAR"),IF(OR(RIGHT(UPPER(TRIM(D322)),1)=TEXT(MOD(10-MOD((VALUE(MID(UPPER(TRIM(D322)),3,1))+VALUE(MID(UPPER(TRIM(D322)),5,1))+VALUE(MID(UPPER(TRIM(D322)),7,1)))+(INT(2*VALUE(MID(UPPER(TRIM(D322)),2,1))/10)+MOD(2*VALUE(MID(UPPER(TRIM(D322)),2,1)),10))+(INT(2*VALUE(MID(UPPER(TRIM(D322)),4,1))/10)+MOD(2*VALUE(MID(UPPER(TRIM(D322)),4,1)),10))+(INT(2*VALUE(MID(UPPER(TRIM(D322)),6,1))/10)+MOD(2*VALUE(MID(UPPER(TRIM(D322)),6,1)),10))+(INT(2*VALUE(MID(UPPER(TRIM(D322)),8,1))/10)+MOD(2*VALUE(MID(UPPER(TRIM(D322)),8,1)),10)),10),10),"0"),RIGHT(UPPER(TRIM(D322)),1)=MID("JABCDEFGHI",MOD(10-MOD((VALUE(MID(UPPER(TRIM(D322)),3,1))+VALUE(MID(UPPER(TRIM(D322)),5,1))+VALUE(MID(UPPER(TRIM(D322)),7,1)))+(INT(2*VALUE(MID(UPPER(TRIM(D322)),2,1))/10)+MOD(2*VALUE(MID(UPPER(TRIM(D322)),2,1)),10))+(INT(2*VALUE(MID(UPPER(TRIM(D322)),4,1))/10)+MOD(2*VALUE(MID(UPPER(TRIM(D322)),4,1)),10))+(INT(2*VALUE(MID(UPPER(TRIM(D322)),6,1))/10)+MOD(2*VALUE(MID(UPPER(TRIM(D322)),6,1)),10))+(INT(2*VALUE(MID(UPPER(TRIM(D322)),8,1))/10)+MOD(2*VALUE(MID(UPPER(TRIM(D322)),8,1)),10)),10),10)+1,1)),"OK","REVISAR")),"REVISAR")))</f>
        <v/>
      </c>
      <c r="Q322">
        <f>IF(B322="","",IF(COUNTIFS($B$2:$B$501,B322,$D$2:$D$501,D322)&gt;1,"DUPLICADA",""))</f>
        <v/>
      </c>
      <c r="R322">
        <f>IF(A322="","",ROUNDUP(MONTH(A322)/3,0))</f>
        <v/>
      </c>
      <c r="S322" s="3" t="n"/>
    </row>
    <row r="323">
      <c r="A323" s="2" t="n"/>
      <c r="B323" s="3" t="n"/>
      <c r="C323" s="3" t="n"/>
      <c r="D323" s="3" t="n"/>
      <c r="E323" s="4" t="n"/>
      <c r="F323" s="4" t="n"/>
      <c r="G323" s="4" t="n"/>
      <c r="H323" s="4" t="n"/>
      <c r="I323" s="5">
        <f>IF(E323="","",ROUND(E323*0.21,2))</f>
        <v/>
      </c>
      <c r="J323" s="5">
        <f>IF(F323="","",ROUND(F323*0.1,2))</f>
        <v/>
      </c>
      <c r="K323" s="5">
        <f>IF(G323="","",ROUND(G323*0.04,2))</f>
        <v/>
      </c>
      <c r="L323" s="4" t="n"/>
      <c r="M323" s="4" t="n"/>
      <c r="N323" s="5">
        <f>IF(A323="","",SUM(E323:K323)-N(L323))</f>
        <v/>
      </c>
      <c r="O323">
        <f>IF(OR(A323="",M323=""),"",IF(ABS(M323-N323)&lt;=0.02,"OK","REVISAR"))</f>
        <v/>
      </c>
      <c r="P323">
        <f>IF(D323="","",IF(LEN(TRIM(D323))&lt;&gt;9,"REVISAR",IFERROR(IF(OR(ISNUMBER(VALUE(LEFT(UPPER(TRIM(D323)),1))),LEFT(UPPER(TRIM(D323)),1)="X",LEFT(UPPER(TRIM(D323)),1)="Y",LEFT(UPPER(TRIM(D323)),1)="Z"),IF(MID("TRWAGMYFPDXBNJZSQVHLCKE",MOD(VALUE(SUBSTITUTE(SUBSTITUTE(SUBSTITUTE(LEFT(UPPER(TRIM(D323)),8),"X","0"),"Y","1"),"Z","2")),23)+1,1)=RIGHT(UPPER(TRIM(D323)),1),"OK","REVISAR"),IF(OR(RIGHT(UPPER(TRIM(D323)),1)=TEXT(MOD(10-MOD((VALUE(MID(UPPER(TRIM(D323)),3,1))+VALUE(MID(UPPER(TRIM(D323)),5,1))+VALUE(MID(UPPER(TRIM(D323)),7,1)))+(INT(2*VALUE(MID(UPPER(TRIM(D323)),2,1))/10)+MOD(2*VALUE(MID(UPPER(TRIM(D323)),2,1)),10))+(INT(2*VALUE(MID(UPPER(TRIM(D323)),4,1))/10)+MOD(2*VALUE(MID(UPPER(TRIM(D323)),4,1)),10))+(INT(2*VALUE(MID(UPPER(TRIM(D323)),6,1))/10)+MOD(2*VALUE(MID(UPPER(TRIM(D323)),6,1)),10))+(INT(2*VALUE(MID(UPPER(TRIM(D323)),8,1))/10)+MOD(2*VALUE(MID(UPPER(TRIM(D323)),8,1)),10)),10),10),"0"),RIGHT(UPPER(TRIM(D323)),1)=MID("JABCDEFGHI",MOD(10-MOD((VALUE(MID(UPPER(TRIM(D323)),3,1))+VALUE(MID(UPPER(TRIM(D323)),5,1))+VALUE(MID(UPPER(TRIM(D323)),7,1)))+(INT(2*VALUE(MID(UPPER(TRIM(D323)),2,1))/10)+MOD(2*VALUE(MID(UPPER(TRIM(D323)),2,1)),10))+(INT(2*VALUE(MID(UPPER(TRIM(D323)),4,1))/10)+MOD(2*VALUE(MID(UPPER(TRIM(D323)),4,1)),10))+(INT(2*VALUE(MID(UPPER(TRIM(D323)),6,1))/10)+MOD(2*VALUE(MID(UPPER(TRIM(D323)),6,1)),10))+(INT(2*VALUE(MID(UPPER(TRIM(D323)),8,1))/10)+MOD(2*VALUE(MID(UPPER(TRIM(D323)),8,1)),10)),10),10)+1,1)),"OK","REVISAR")),"REVISAR")))</f>
        <v/>
      </c>
      <c r="Q323">
        <f>IF(B323="","",IF(COUNTIFS($B$2:$B$501,B323,$D$2:$D$501,D323)&gt;1,"DUPLICADA",""))</f>
        <v/>
      </c>
      <c r="R323">
        <f>IF(A323="","",ROUNDUP(MONTH(A323)/3,0))</f>
        <v/>
      </c>
      <c r="S323" s="3" t="n"/>
    </row>
    <row r="324">
      <c r="A324" s="2" t="n"/>
      <c r="B324" s="3" t="n"/>
      <c r="C324" s="3" t="n"/>
      <c r="D324" s="3" t="n"/>
      <c r="E324" s="4" t="n"/>
      <c r="F324" s="4" t="n"/>
      <c r="G324" s="4" t="n"/>
      <c r="H324" s="4" t="n"/>
      <c r="I324" s="5">
        <f>IF(E324="","",ROUND(E324*0.21,2))</f>
        <v/>
      </c>
      <c r="J324" s="5">
        <f>IF(F324="","",ROUND(F324*0.1,2))</f>
        <v/>
      </c>
      <c r="K324" s="5">
        <f>IF(G324="","",ROUND(G324*0.04,2))</f>
        <v/>
      </c>
      <c r="L324" s="4" t="n"/>
      <c r="M324" s="4" t="n"/>
      <c r="N324" s="5">
        <f>IF(A324="","",SUM(E324:K324)-N(L324))</f>
        <v/>
      </c>
      <c r="O324">
        <f>IF(OR(A324="",M324=""),"",IF(ABS(M324-N324)&lt;=0.02,"OK","REVISAR"))</f>
        <v/>
      </c>
      <c r="P324">
        <f>IF(D324="","",IF(LEN(TRIM(D324))&lt;&gt;9,"REVISAR",IFERROR(IF(OR(ISNUMBER(VALUE(LEFT(UPPER(TRIM(D324)),1))),LEFT(UPPER(TRIM(D324)),1)="X",LEFT(UPPER(TRIM(D324)),1)="Y",LEFT(UPPER(TRIM(D324)),1)="Z"),IF(MID("TRWAGMYFPDXBNJZSQVHLCKE",MOD(VALUE(SUBSTITUTE(SUBSTITUTE(SUBSTITUTE(LEFT(UPPER(TRIM(D324)),8),"X","0"),"Y","1"),"Z","2")),23)+1,1)=RIGHT(UPPER(TRIM(D324)),1),"OK","REVISAR"),IF(OR(RIGHT(UPPER(TRIM(D324)),1)=TEXT(MOD(10-MOD((VALUE(MID(UPPER(TRIM(D324)),3,1))+VALUE(MID(UPPER(TRIM(D324)),5,1))+VALUE(MID(UPPER(TRIM(D324)),7,1)))+(INT(2*VALUE(MID(UPPER(TRIM(D324)),2,1))/10)+MOD(2*VALUE(MID(UPPER(TRIM(D324)),2,1)),10))+(INT(2*VALUE(MID(UPPER(TRIM(D324)),4,1))/10)+MOD(2*VALUE(MID(UPPER(TRIM(D324)),4,1)),10))+(INT(2*VALUE(MID(UPPER(TRIM(D324)),6,1))/10)+MOD(2*VALUE(MID(UPPER(TRIM(D324)),6,1)),10))+(INT(2*VALUE(MID(UPPER(TRIM(D324)),8,1))/10)+MOD(2*VALUE(MID(UPPER(TRIM(D324)),8,1)),10)),10),10),"0"),RIGHT(UPPER(TRIM(D324)),1)=MID("JABCDEFGHI",MOD(10-MOD((VALUE(MID(UPPER(TRIM(D324)),3,1))+VALUE(MID(UPPER(TRIM(D324)),5,1))+VALUE(MID(UPPER(TRIM(D324)),7,1)))+(INT(2*VALUE(MID(UPPER(TRIM(D324)),2,1))/10)+MOD(2*VALUE(MID(UPPER(TRIM(D324)),2,1)),10))+(INT(2*VALUE(MID(UPPER(TRIM(D324)),4,1))/10)+MOD(2*VALUE(MID(UPPER(TRIM(D324)),4,1)),10))+(INT(2*VALUE(MID(UPPER(TRIM(D324)),6,1))/10)+MOD(2*VALUE(MID(UPPER(TRIM(D324)),6,1)),10))+(INT(2*VALUE(MID(UPPER(TRIM(D324)),8,1))/10)+MOD(2*VALUE(MID(UPPER(TRIM(D324)),8,1)),10)),10),10)+1,1)),"OK","REVISAR")),"REVISAR")))</f>
        <v/>
      </c>
      <c r="Q324">
        <f>IF(B324="","",IF(COUNTIFS($B$2:$B$501,B324,$D$2:$D$501,D324)&gt;1,"DUPLICADA",""))</f>
        <v/>
      </c>
      <c r="R324">
        <f>IF(A324="","",ROUNDUP(MONTH(A324)/3,0))</f>
        <v/>
      </c>
      <c r="S324" s="3" t="n"/>
    </row>
    <row r="325">
      <c r="A325" s="2" t="n"/>
      <c r="B325" s="3" t="n"/>
      <c r="C325" s="3" t="n"/>
      <c r="D325" s="3" t="n"/>
      <c r="E325" s="4" t="n"/>
      <c r="F325" s="4" t="n"/>
      <c r="G325" s="4" t="n"/>
      <c r="H325" s="4" t="n"/>
      <c r="I325" s="5">
        <f>IF(E325="","",ROUND(E325*0.21,2))</f>
        <v/>
      </c>
      <c r="J325" s="5">
        <f>IF(F325="","",ROUND(F325*0.1,2))</f>
        <v/>
      </c>
      <c r="K325" s="5">
        <f>IF(G325="","",ROUND(G325*0.04,2))</f>
        <v/>
      </c>
      <c r="L325" s="4" t="n"/>
      <c r="M325" s="4" t="n"/>
      <c r="N325" s="5">
        <f>IF(A325="","",SUM(E325:K325)-N(L325))</f>
        <v/>
      </c>
      <c r="O325">
        <f>IF(OR(A325="",M325=""),"",IF(ABS(M325-N325)&lt;=0.02,"OK","REVISAR"))</f>
        <v/>
      </c>
      <c r="P325">
        <f>IF(D325="","",IF(LEN(TRIM(D325))&lt;&gt;9,"REVISAR",IFERROR(IF(OR(ISNUMBER(VALUE(LEFT(UPPER(TRIM(D325)),1))),LEFT(UPPER(TRIM(D325)),1)="X",LEFT(UPPER(TRIM(D325)),1)="Y",LEFT(UPPER(TRIM(D325)),1)="Z"),IF(MID("TRWAGMYFPDXBNJZSQVHLCKE",MOD(VALUE(SUBSTITUTE(SUBSTITUTE(SUBSTITUTE(LEFT(UPPER(TRIM(D325)),8),"X","0"),"Y","1"),"Z","2")),23)+1,1)=RIGHT(UPPER(TRIM(D325)),1),"OK","REVISAR"),IF(OR(RIGHT(UPPER(TRIM(D325)),1)=TEXT(MOD(10-MOD((VALUE(MID(UPPER(TRIM(D325)),3,1))+VALUE(MID(UPPER(TRIM(D325)),5,1))+VALUE(MID(UPPER(TRIM(D325)),7,1)))+(INT(2*VALUE(MID(UPPER(TRIM(D325)),2,1))/10)+MOD(2*VALUE(MID(UPPER(TRIM(D325)),2,1)),10))+(INT(2*VALUE(MID(UPPER(TRIM(D325)),4,1))/10)+MOD(2*VALUE(MID(UPPER(TRIM(D325)),4,1)),10))+(INT(2*VALUE(MID(UPPER(TRIM(D325)),6,1))/10)+MOD(2*VALUE(MID(UPPER(TRIM(D325)),6,1)),10))+(INT(2*VALUE(MID(UPPER(TRIM(D325)),8,1))/10)+MOD(2*VALUE(MID(UPPER(TRIM(D325)),8,1)),10)),10),10),"0"),RIGHT(UPPER(TRIM(D325)),1)=MID("JABCDEFGHI",MOD(10-MOD((VALUE(MID(UPPER(TRIM(D325)),3,1))+VALUE(MID(UPPER(TRIM(D325)),5,1))+VALUE(MID(UPPER(TRIM(D325)),7,1)))+(INT(2*VALUE(MID(UPPER(TRIM(D325)),2,1))/10)+MOD(2*VALUE(MID(UPPER(TRIM(D325)),2,1)),10))+(INT(2*VALUE(MID(UPPER(TRIM(D325)),4,1))/10)+MOD(2*VALUE(MID(UPPER(TRIM(D325)),4,1)),10))+(INT(2*VALUE(MID(UPPER(TRIM(D325)),6,1))/10)+MOD(2*VALUE(MID(UPPER(TRIM(D325)),6,1)),10))+(INT(2*VALUE(MID(UPPER(TRIM(D325)),8,1))/10)+MOD(2*VALUE(MID(UPPER(TRIM(D325)),8,1)),10)),10),10)+1,1)),"OK","REVISAR")),"REVISAR")))</f>
        <v/>
      </c>
      <c r="Q325">
        <f>IF(B325="","",IF(COUNTIFS($B$2:$B$501,B325,$D$2:$D$501,D325)&gt;1,"DUPLICADA",""))</f>
        <v/>
      </c>
      <c r="R325">
        <f>IF(A325="","",ROUNDUP(MONTH(A325)/3,0))</f>
        <v/>
      </c>
      <c r="S325" s="3" t="n"/>
    </row>
    <row r="326">
      <c r="A326" s="2" t="n"/>
      <c r="B326" s="3" t="n"/>
      <c r="C326" s="3" t="n"/>
      <c r="D326" s="3" t="n"/>
      <c r="E326" s="4" t="n"/>
      <c r="F326" s="4" t="n"/>
      <c r="G326" s="4" t="n"/>
      <c r="H326" s="4" t="n"/>
      <c r="I326" s="5">
        <f>IF(E326="","",ROUND(E326*0.21,2))</f>
        <v/>
      </c>
      <c r="J326" s="5">
        <f>IF(F326="","",ROUND(F326*0.1,2))</f>
        <v/>
      </c>
      <c r="K326" s="5">
        <f>IF(G326="","",ROUND(G326*0.04,2))</f>
        <v/>
      </c>
      <c r="L326" s="4" t="n"/>
      <c r="M326" s="4" t="n"/>
      <c r="N326" s="5">
        <f>IF(A326="","",SUM(E326:K326)-N(L326))</f>
        <v/>
      </c>
      <c r="O326">
        <f>IF(OR(A326="",M326=""),"",IF(ABS(M326-N326)&lt;=0.02,"OK","REVISAR"))</f>
        <v/>
      </c>
      <c r="P326">
        <f>IF(D326="","",IF(LEN(TRIM(D326))&lt;&gt;9,"REVISAR",IFERROR(IF(OR(ISNUMBER(VALUE(LEFT(UPPER(TRIM(D326)),1))),LEFT(UPPER(TRIM(D326)),1)="X",LEFT(UPPER(TRIM(D326)),1)="Y",LEFT(UPPER(TRIM(D326)),1)="Z"),IF(MID("TRWAGMYFPDXBNJZSQVHLCKE",MOD(VALUE(SUBSTITUTE(SUBSTITUTE(SUBSTITUTE(LEFT(UPPER(TRIM(D326)),8),"X","0"),"Y","1"),"Z","2")),23)+1,1)=RIGHT(UPPER(TRIM(D326)),1),"OK","REVISAR"),IF(OR(RIGHT(UPPER(TRIM(D326)),1)=TEXT(MOD(10-MOD((VALUE(MID(UPPER(TRIM(D326)),3,1))+VALUE(MID(UPPER(TRIM(D326)),5,1))+VALUE(MID(UPPER(TRIM(D326)),7,1)))+(INT(2*VALUE(MID(UPPER(TRIM(D326)),2,1))/10)+MOD(2*VALUE(MID(UPPER(TRIM(D326)),2,1)),10))+(INT(2*VALUE(MID(UPPER(TRIM(D326)),4,1))/10)+MOD(2*VALUE(MID(UPPER(TRIM(D326)),4,1)),10))+(INT(2*VALUE(MID(UPPER(TRIM(D326)),6,1))/10)+MOD(2*VALUE(MID(UPPER(TRIM(D326)),6,1)),10))+(INT(2*VALUE(MID(UPPER(TRIM(D326)),8,1))/10)+MOD(2*VALUE(MID(UPPER(TRIM(D326)),8,1)),10)),10),10),"0"),RIGHT(UPPER(TRIM(D326)),1)=MID("JABCDEFGHI",MOD(10-MOD((VALUE(MID(UPPER(TRIM(D326)),3,1))+VALUE(MID(UPPER(TRIM(D326)),5,1))+VALUE(MID(UPPER(TRIM(D326)),7,1)))+(INT(2*VALUE(MID(UPPER(TRIM(D326)),2,1))/10)+MOD(2*VALUE(MID(UPPER(TRIM(D326)),2,1)),10))+(INT(2*VALUE(MID(UPPER(TRIM(D326)),4,1))/10)+MOD(2*VALUE(MID(UPPER(TRIM(D326)),4,1)),10))+(INT(2*VALUE(MID(UPPER(TRIM(D326)),6,1))/10)+MOD(2*VALUE(MID(UPPER(TRIM(D326)),6,1)),10))+(INT(2*VALUE(MID(UPPER(TRIM(D326)),8,1))/10)+MOD(2*VALUE(MID(UPPER(TRIM(D326)),8,1)),10)),10),10)+1,1)),"OK","REVISAR")),"REVISAR")))</f>
        <v/>
      </c>
      <c r="Q326">
        <f>IF(B326="","",IF(COUNTIFS($B$2:$B$501,B326,$D$2:$D$501,D326)&gt;1,"DUPLICADA",""))</f>
        <v/>
      </c>
      <c r="R326">
        <f>IF(A326="","",ROUNDUP(MONTH(A326)/3,0))</f>
        <v/>
      </c>
      <c r="S326" s="3" t="n"/>
    </row>
    <row r="327">
      <c r="A327" s="2" t="n"/>
      <c r="B327" s="3" t="n"/>
      <c r="C327" s="3" t="n"/>
      <c r="D327" s="3" t="n"/>
      <c r="E327" s="4" t="n"/>
      <c r="F327" s="4" t="n"/>
      <c r="G327" s="4" t="n"/>
      <c r="H327" s="4" t="n"/>
      <c r="I327" s="5">
        <f>IF(E327="","",ROUND(E327*0.21,2))</f>
        <v/>
      </c>
      <c r="J327" s="5">
        <f>IF(F327="","",ROUND(F327*0.1,2))</f>
        <v/>
      </c>
      <c r="K327" s="5">
        <f>IF(G327="","",ROUND(G327*0.04,2))</f>
        <v/>
      </c>
      <c r="L327" s="4" t="n"/>
      <c r="M327" s="4" t="n"/>
      <c r="N327" s="5">
        <f>IF(A327="","",SUM(E327:K327)-N(L327))</f>
        <v/>
      </c>
      <c r="O327">
        <f>IF(OR(A327="",M327=""),"",IF(ABS(M327-N327)&lt;=0.02,"OK","REVISAR"))</f>
        <v/>
      </c>
      <c r="P327">
        <f>IF(D327="","",IF(LEN(TRIM(D327))&lt;&gt;9,"REVISAR",IFERROR(IF(OR(ISNUMBER(VALUE(LEFT(UPPER(TRIM(D327)),1))),LEFT(UPPER(TRIM(D327)),1)="X",LEFT(UPPER(TRIM(D327)),1)="Y",LEFT(UPPER(TRIM(D327)),1)="Z"),IF(MID("TRWAGMYFPDXBNJZSQVHLCKE",MOD(VALUE(SUBSTITUTE(SUBSTITUTE(SUBSTITUTE(LEFT(UPPER(TRIM(D327)),8),"X","0"),"Y","1"),"Z","2")),23)+1,1)=RIGHT(UPPER(TRIM(D327)),1),"OK","REVISAR"),IF(OR(RIGHT(UPPER(TRIM(D327)),1)=TEXT(MOD(10-MOD((VALUE(MID(UPPER(TRIM(D327)),3,1))+VALUE(MID(UPPER(TRIM(D327)),5,1))+VALUE(MID(UPPER(TRIM(D327)),7,1)))+(INT(2*VALUE(MID(UPPER(TRIM(D327)),2,1))/10)+MOD(2*VALUE(MID(UPPER(TRIM(D327)),2,1)),10))+(INT(2*VALUE(MID(UPPER(TRIM(D327)),4,1))/10)+MOD(2*VALUE(MID(UPPER(TRIM(D327)),4,1)),10))+(INT(2*VALUE(MID(UPPER(TRIM(D327)),6,1))/10)+MOD(2*VALUE(MID(UPPER(TRIM(D327)),6,1)),10))+(INT(2*VALUE(MID(UPPER(TRIM(D327)),8,1))/10)+MOD(2*VALUE(MID(UPPER(TRIM(D327)),8,1)),10)),10),10),"0"),RIGHT(UPPER(TRIM(D327)),1)=MID("JABCDEFGHI",MOD(10-MOD((VALUE(MID(UPPER(TRIM(D327)),3,1))+VALUE(MID(UPPER(TRIM(D327)),5,1))+VALUE(MID(UPPER(TRIM(D327)),7,1)))+(INT(2*VALUE(MID(UPPER(TRIM(D327)),2,1))/10)+MOD(2*VALUE(MID(UPPER(TRIM(D327)),2,1)),10))+(INT(2*VALUE(MID(UPPER(TRIM(D327)),4,1))/10)+MOD(2*VALUE(MID(UPPER(TRIM(D327)),4,1)),10))+(INT(2*VALUE(MID(UPPER(TRIM(D327)),6,1))/10)+MOD(2*VALUE(MID(UPPER(TRIM(D327)),6,1)),10))+(INT(2*VALUE(MID(UPPER(TRIM(D327)),8,1))/10)+MOD(2*VALUE(MID(UPPER(TRIM(D327)),8,1)),10)),10),10)+1,1)),"OK","REVISAR")),"REVISAR")))</f>
        <v/>
      </c>
      <c r="Q327">
        <f>IF(B327="","",IF(COUNTIFS($B$2:$B$501,B327,$D$2:$D$501,D327)&gt;1,"DUPLICADA",""))</f>
        <v/>
      </c>
      <c r="R327">
        <f>IF(A327="","",ROUNDUP(MONTH(A327)/3,0))</f>
        <v/>
      </c>
      <c r="S327" s="3" t="n"/>
    </row>
    <row r="328">
      <c r="A328" s="2" t="n"/>
      <c r="B328" s="3" t="n"/>
      <c r="C328" s="3" t="n"/>
      <c r="D328" s="3" t="n"/>
      <c r="E328" s="4" t="n"/>
      <c r="F328" s="4" t="n"/>
      <c r="G328" s="4" t="n"/>
      <c r="H328" s="4" t="n"/>
      <c r="I328" s="5">
        <f>IF(E328="","",ROUND(E328*0.21,2))</f>
        <v/>
      </c>
      <c r="J328" s="5">
        <f>IF(F328="","",ROUND(F328*0.1,2))</f>
        <v/>
      </c>
      <c r="K328" s="5">
        <f>IF(G328="","",ROUND(G328*0.04,2))</f>
        <v/>
      </c>
      <c r="L328" s="4" t="n"/>
      <c r="M328" s="4" t="n"/>
      <c r="N328" s="5">
        <f>IF(A328="","",SUM(E328:K328)-N(L328))</f>
        <v/>
      </c>
      <c r="O328">
        <f>IF(OR(A328="",M328=""),"",IF(ABS(M328-N328)&lt;=0.02,"OK","REVISAR"))</f>
        <v/>
      </c>
      <c r="P328">
        <f>IF(D328="","",IF(LEN(TRIM(D328))&lt;&gt;9,"REVISAR",IFERROR(IF(OR(ISNUMBER(VALUE(LEFT(UPPER(TRIM(D328)),1))),LEFT(UPPER(TRIM(D328)),1)="X",LEFT(UPPER(TRIM(D328)),1)="Y",LEFT(UPPER(TRIM(D328)),1)="Z"),IF(MID("TRWAGMYFPDXBNJZSQVHLCKE",MOD(VALUE(SUBSTITUTE(SUBSTITUTE(SUBSTITUTE(LEFT(UPPER(TRIM(D328)),8),"X","0"),"Y","1"),"Z","2")),23)+1,1)=RIGHT(UPPER(TRIM(D328)),1),"OK","REVISAR"),IF(OR(RIGHT(UPPER(TRIM(D328)),1)=TEXT(MOD(10-MOD((VALUE(MID(UPPER(TRIM(D328)),3,1))+VALUE(MID(UPPER(TRIM(D328)),5,1))+VALUE(MID(UPPER(TRIM(D328)),7,1)))+(INT(2*VALUE(MID(UPPER(TRIM(D328)),2,1))/10)+MOD(2*VALUE(MID(UPPER(TRIM(D328)),2,1)),10))+(INT(2*VALUE(MID(UPPER(TRIM(D328)),4,1))/10)+MOD(2*VALUE(MID(UPPER(TRIM(D328)),4,1)),10))+(INT(2*VALUE(MID(UPPER(TRIM(D328)),6,1))/10)+MOD(2*VALUE(MID(UPPER(TRIM(D328)),6,1)),10))+(INT(2*VALUE(MID(UPPER(TRIM(D328)),8,1))/10)+MOD(2*VALUE(MID(UPPER(TRIM(D328)),8,1)),10)),10),10),"0"),RIGHT(UPPER(TRIM(D328)),1)=MID("JABCDEFGHI",MOD(10-MOD((VALUE(MID(UPPER(TRIM(D328)),3,1))+VALUE(MID(UPPER(TRIM(D328)),5,1))+VALUE(MID(UPPER(TRIM(D328)),7,1)))+(INT(2*VALUE(MID(UPPER(TRIM(D328)),2,1))/10)+MOD(2*VALUE(MID(UPPER(TRIM(D328)),2,1)),10))+(INT(2*VALUE(MID(UPPER(TRIM(D328)),4,1))/10)+MOD(2*VALUE(MID(UPPER(TRIM(D328)),4,1)),10))+(INT(2*VALUE(MID(UPPER(TRIM(D328)),6,1))/10)+MOD(2*VALUE(MID(UPPER(TRIM(D328)),6,1)),10))+(INT(2*VALUE(MID(UPPER(TRIM(D328)),8,1))/10)+MOD(2*VALUE(MID(UPPER(TRIM(D328)),8,1)),10)),10),10)+1,1)),"OK","REVISAR")),"REVISAR")))</f>
        <v/>
      </c>
      <c r="Q328">
        <f>IF(B328="","",IF(COUNTIFS($B$2:$B$501,B328,$D$2:$D$501,D328)&gt;1,"DUPLICADA",""))</f>
        <v/>
      </c>
      <c r="R328">
        <f>IF(A328="","",ROUNDUP(MONTH(A328)/3,0))</f>
        <v/>
      </c>
      <c r="S328" s="3" t="n"/>
    </row>
    <row r="329">
      <c r="A329" s="2" t="n"/>
      <c r="B329" s="3" t="n"/>
      <c r="C329" s="3" t="n"/>
      <c r="D329" s="3" t="n"/>
      <c r="E329" s="4" t="n"/>
      <c r="F329" s="4" t="n"/>
      <c r="G329" s="4" t="n"/>
      <c r="H329" s="4" t="n"/>
      <c r="I329" s="5">
        <f>IF(E329="","",ROUND(E329*0.21,2))</f>
        <v/>
      </c>
      <c r="J329" s="5">
        <f>IF(F329="","",ROUND(F329*0.1,2))</f>
        <v/>
      </c>
      <c r="K329" s="5">
        <f>IF(G329="","",ROUND(G329*0.04,2))</f>
        <v/>
      </c>
      <c r="L329" s="4" t="n"/>
      <c r="M329" s="4" t="n"/>
      <c r="N329" s="5">
        <f>IF(A329="","",SUM(E329:K329)-N(L329))</f>
        <v/>
      </c>
      <c r="O329">
        <f>IF(OR(A329="",M329=""),"",IF(ABS(M329-N329)&lt;=0.02,"OK","REVISAR"))</f>
        <v/>
      </c>
      <c r="P329">
        <f>IF(D329="","",IF(LEN(TRIM(D329))&lt;&gt;9,"REVISAR",IFERROR(IF(OR(ISNUMBER(VALUE(LEFT(UPPER(TRIM(D329)),1))),LEFT(UPPER(TRIM(D329)),1)="X",LEFT(UPPER(TRIM(D329)),1)="Y",LEFT(UPPER(TRIM(D329)),1)="Z"),IF(MID("TRWAGMYFPDXBNJZSQVHLCKE",MOD(VALUE(SUBSTITUTE(SUBSTITUTE(SUBSTITUTE(LEFT(UPPER(TRIM(D329)),8),"X","0"),"Y","1"),"Z","2")),23)+1,1)=RIGHT(UPPER(TRIM(D329)),1),"OK","REVISAR"),IF(OR(RIGHT(UPPER(TRIM(D329)),1)=TEXT(MOD(10-MOD((VALUE(MID(UPPER(TRIM(D329)),3,1))+VALUE(MID(UPPER(TRIM(D329)),5,1))+VALUE(MID(UPPER(TRIM(D329)),7,1)))+(INT(2*VALUE(MID(UPPER(TRIM(D329)),2,1))/10)+MOD(2*VALUE(MID(UPPER(TRIM(D329)),2,1)),10))+(INT(2*VALUE(MID(UPPER(TRIM(D329)),4,1))/10)+MOD(2*VALUE(MID(UPPER(TRIM(D329)),4,1)),10))+(INT(2*VALUE(MID(UPPER(TRIM(D329)),6,1))/10)+MOD(2*VALUE(MID(UPPER(TRIM(D329)),6,1)),10))+(INT(2*VALUE(MID(UPPER(TRIM(D329)),8,1))/10)+MOD(2*VALUE(MID(UPPER(TRIM(D329)),8,1)),10)),10),10),"0"),RIGHT(UPPER(TRIM(D329)),1)=MID("JABCDEFGHI",MOD(10-MOD((VALUE(MID(UPPER(TRIM(D329)),3,1))+VALUE(MID(UPPER(TRIM(D329)),5,1))+VALUE(MID(UPPER(TRIM(D329)),7,1)))+(INT(2*VALUE(MID(UPPER(TRIM(D329)),2,1))/10)+MOD(2*VALUE(MID(UPPER(TRIM(D329)),2,1)),10))+(INT(2*VALUE(MID(UPPER(TRIM(D329)),4,1))/10)+MOD(2*VALUE(MID(UPPER(TRIM(D329)),4,1)),10))+(INT(2*VALUE(MID(UPPER(TRIM(D329)),6,1))/10)+MOD(2*VALUE(MID(UPPER(TRIM(D329)),6,1)),10))+(INT(2*VALUE(MID(UPPER(TRIM(D329)),8,1))/10)+MOD(2*VALUE(MID(UPPER(TRIM(D329)),8,1)),10)),10),10)+1,1)),"OK","REVISAR")),"REVISAR")))</f>
        <v/>
      </c>
      <c r="Q329">
        <f>IF(B329="","",IF(COUNTIFS($B$2:$B$501,B329,$D$2:$D$501,D329)&gt;1,"DUPLICADA",""))</f>
        <v/>
      </c>
      <c r="R329">
        <f>IF(A329="","",ROUNDUP(MONTH(A329)/3,0))</f>
        <v/>
      </c>
      <c r="S329" s="3" t="n"/>
    </row>
    <row r="330">
      <c r="A330" s="2" t="n"/>
      <c r="B330" s="3" t="n"/>
      <c r="C330" s="3" t="n"/>
      <c r="D330" s="3" t="n"/>
      <c r="E330" s="4" t="n"/>
      <c r="F330" s="4" t="n"/>
      <c r="G330" s="4" t="n"/>
      <c r="H330" s="4" t="n"/>
      <c r="I330" s="5">
        <f>IF(E330="","",ROUND(E330*0.21,2))</f>
        <v/>
      </c>
      <c r="J330" s="5">
        <f>IF(F330="","",ROUND(F330*0.1,2))</f>
        <v/>
      </c>
      <c r="K330" s="5">
        <f>IF(G330="","",ROUND(G330*0.04,2))</f>
        <v/>
      </c>
      <c r="L330" s="4" t="n"/>
      <c r="M330" s="4" t="n"/>
      <c r="N330" s="5">
        <f>IF(A330="","",SUM(E330:K330)-N(L330))</f>
        <v/>
      </c>
      <c r="O330">
        <f>IF(OR(A330="",M330=""),"",IF(ABS(M330-N330)&lt;=0.02,"OK","REVISAR"))</f>
        <v/>
      </c>
      <c r="P330">
        <f>IF(D330="","",IF(LEN(TRIM(D330))&lt;&gt;9,"REVISAR",IFERROR(IF(OR(ISNUMBER(VALUE(LEFT(UPPER(TRIM(D330)),1))),LEFT(UPPER(TRIM(D330)),1)="X",LEFT(UPPER(TRIM(D330)),1)="Y",LEFT(UPPER(TRIM(D330)),1)="Z"),IF(MID("TRWAGMYFPDXBNJZSQVHLCKE",MOD(VALUE(SUBSTITUTE(SUBSTITUTE(SUBSTITUTE(LEFT(UPPER(TRIM(D330)),8),"X","0"),"Y","1"),"Z","2")),23)+1,1)=RIGHT(UPPER(TRIM(D330)),1),"OK","REVISAR"),IF(OR(RIGHT(UPPER(TRIM(D330)),1)=TEXT(MOD(10-MOD((VALUE(MID(UPPER(TRIM(D330)),3,1))+VALUE(MID(UPPER(TRIM(D330)),5,1))+VALUE(MID(UPPER(TRIM(D330)),7,1)))+(INT(2*VALUE(MID(UPPER(TRIM(D330)),2,1))/10)+MOD(2*VALUE(MID(UPPER(TRIM(D330)),2,1)),10))+(INT(2*VALUE(MID(UPPER(TRIM(D330)),4,1))/10)+MOD(2*VALUE(MID(UPPER(TRIM(D330)),4,1)),10))+(INT(2*VALUE(MID(UPPER(TRIM(D330)),6,1))/10)+MOD(2*VALUE(MID(UPPER(TRIM(D330)),6,1)),10))+(INT(2*VALUE(MID(UPPER(TRIM(D330)),8,1))/10)+MOD(2*VALUE(MID(UPPER(TRIM(D330)),8,1)),10)),10),10),"0"),RIGHT(UPPER(TRIM(D330)),1)=MID("JABCDEFGHI",MOD(10-MOD((VALUE(MID(UPPER(TRIM(D330)),3,1))+VALUE(MID(UPPER(TRIM(D330)),5,1))+VALUE(MID(UPPER(TRIM(D330)),7,1)))+(INT(2*VALUE(MID(UPPER(TRIM(D330)),2,1))/10)+MOD(2*VALUE(MID(UPPER(TRIM(D330)),2,1)),10))+(INT(2*VALUE(MID(UPPER(TRIM(D330)),4,1))/10)+MOD(2*VALUE(MID(UPPER(TRIM(D330)),4,1)),10))+(INT(2*VALUE(MID(UPPER(TRIM(D330)),6,1))/10)+MOD(2*VALUE(MID(UPPER(TRIM(D330)),6,1)),10))+(INT(2*VALUE(MID(UPPER(TRIM(D330)),8,1))/10)+MOD(2*VALUE(MID(UPPER(TRIM(D330)),8,1)),10)),10),10)+1,1)),"OK","REVISAR")),"REVISAR")))</f>
        <v/>
      </c>
      <c r="Q330">
        <f>IF(B330="","",IF(COUNTIFS($B$2:$B$501,B330,$D$2:$D$501,D330)&gt;1,"DUPLICADA",""))</f>
        <v/>
      </c>
      <c r="R330">
        <f>IF(A330="","",ROUNDUP(MONTH(A330)/3,0))</f>
        <v/>
      </c>
      <c r="S330" s="3" t="n"/>
    </row>
    <row r="331">
      <c r="A331" s="2" t="n"/>
      <c r="B331" s="3" t="n"/>
      <c r="C331" s="3" t="n"/>
      <c r="D331" s="3" t="n"/>
      <c r="E331" s="4" t="n"/>
      <c r="F331" s="4" t="n"/>
      <c r="G331" s="4" t="n"/>
      <c r="H331" s="4" t="n"/>
      <c r="I331" s="5">
        <f>IF(E331="","",ROUND(E331*0.21,2))</f>
        <v/>
      </c>
      <c r="J331" s="5">
        <f>IF(F331="","",ROUND(F331*0.1,2))</f>
        <v/>
      </c>
      <c r="K331" s="5">
        <f>IF(G331="","",ROUND(G331*0.04,2))</f>
        <v/>
      </c>
      <c r="L331" s="4" t="n"/>
      <c r="M331" s="4" t="n"/>
      <c r="N331" s="5">
        <f>IF(A331="","",SUM(E331:K331)-N(L331))</f>
        <v/>
      </c>
      <c r="O331">
        <f>IF(OR(A331="",M331=""),"",IF(ABS(M331-N331)&lt;=0.02,"OK","REVISAR"))</f>
        <v/>
      </c>
      <c r="P331">
        <f>IF(D331="","",IF(LEN(TRIM(D331))&lt;&gt;9,"REVISAR",IFERROR(IF(OR(ISNUMBER(VALUE(LEFT(UPPER(TRIM(D331)),1))),LEFT(UPPER(TRIM(D331)),1)="X",LEFT(UPPER(TRIM(D331)),1)="Y",LEFT(UPPER(TRIM(D331)),1)="Z"),IF(MID("TRWAGMYFPDXBNJZSQVHLCKE",MOD(VALUE(SUBSTITUTE(SUBSTITUTE(SUBSTITUTE(LEFT(UPPER(TRIM(D331)),8),"X","0"),"Y","1"),"Z","2")),23)+1,1)=RIGHT(UPPER(TRIM(D331)),1),"OK","REVISAR"),IF(OR(RIGHT(UPPER(TRIM(D331)),1)=TEXT(MOD(10-MOD((VALUE(MID(UPPER(TRIM(D331)),3,1))+VALUE(MID(UPPER(TRIM(D331)),5,1))+VALUE(MID(UPPER(TRIM(D331)),7,1)))+(INT(2*VALUE(MID(UPPER(TRIM(D331)),2,1))/10)+MOD(2*VALUE(MID(UPPER(TRIM(D331)),2,1)),10))+(INT(2*VALUE(MID(UPPER(TRIM(D331)),4,1))/10)+MOD(2*VALUE(MID(UPPER(TRIM(D331)),4,1)),10))+(INT(2*VALUE(MID(UPPER(TRIM(D331)),6,1))/10)+MOD(2*VALUE(MID(UPPER(TRIM(D331)),6,1)),10))+(INT(2*VALUE(MID(UPPER(TRIM(D331)),8,1))/10)+MOD(2*VALUE(MID(UPPER(TRIM(D331)),8,1)),10)),10),10),"0"),RIGHT(UPPER(TRIM(D331)),1)=MID("JABCDEFGHI",MOD(10-MOD((VALUE(MID(UPPER(TRIM(D331)),3,1))+VALUE(MID(UPPER(TRIM(D331)),5,1))+VALUE(MID(UPPER(TRIM(D331)),7,1)))+(INT(2*VALUE(MID(UPPER(TRIM(D331)),2,1))/10)+MOD(2*VALUE(MID(UPPER(TRIM(D331)),2,1)),10))+(INT(2*VALUE(MID(UPPER(TRIM(D331)),4,1))/10)+MOD(2*VALUE(MID(UPPER(TRIM(D331)),4,1)),10))+(INT(2*VALUE(MID(UPPER(TRIM(D331)),6,1))/10)+MOD(2*VALUE(MID(UPPER(TRIM(D331)),6,1)),10))+(INT(2*VALUE(MID(UPPER(TRIM(D331)),8,1))/10)+MOD(2*VALUE(MID(UPPER(TRIM(D331)),8,1)),10)),10),10)+1,1)),"OK","REVISAR")),"REVISAR")))</f>
        <v/>
      </c>
      <c r="Q331">
        <f>IF(B331="","",IF(COUNTIFS($B$2:$B$501,B331,$D$2:$D$501,D331)&gt;1,"DUPLICADA",""))</f>
        <v/>
      </c>
      <c r="R331">
        <f>IF(A331="","",ROUNDUP(MONTH(A331)/3,0))</f>
        <v/>
      </c>
      <c r="S331" s="3" t="n"/>
    </row>
    <row r="332">
      <c r="A332" s="2" t="n"/>
      <c r="B332" s="3" t="n"/>
      <c r="C332" s="3" t="n"/>
      <c r="D332" s="3" t="n"/>
      <c r="E332" s="4" t="n"/>
      <c r="F332" s="4" t="n"/>
      <c r="G332" s="4" t="n"/>
      <c r="H332" s="4" t="n"/>
      <c r="I332" s="5">
        <f>IF(E332="","",ROUND(E332*0.21,2))</f>
        <v/>
      </c>
      <c r="J332" s="5">
        <f>IF(F332="","",ROUND(F332*0.1,2))</f>
        <v/>
      </c>
      <c r="K332" s="5">
        <f>IF(G332="","",ROUND(G332*0.04,2))</f>
        <v/>
      </c>
      <c r="L332" s="4" t="n"/>
      <c r="M332" s="4" t="n"/>
      <c r="N332" s="5">
        <f>IF(A332="","",SUM(E332:K332)-N(L332))</f>
        <v/>
      </c>
      <c r="O332">
        <f>IF(OR(A332="",M332=""),"",IF(ABS(M332-N332)&lt;=0.02,"OK","REVISAR"))</f>
        <v/>
      </c>
      <c r="P332">
        <f>IF(D332="","",IF(LEN(TRIM(D332))&lt;&gt;9,"REVISAR",IFERROR(IF(OR(ISNUMBER(VALUE(LEFT(UPPER(TRIM(D332)),1))),LEFT(UPPER(TRIM(D332)),1)="X",LEFT(UPPER(TRIM(D332)),1)="Y",LEFT(UPPER(TRIM(D332)),1)="Z"),IF(MID("TRWAGMYFPDXBNJZSQVHLCKE",MOD(VALUE(SUBSTITUTE(SUBSTITUTE(SUBSTITUTE(LEFT(UPPER(TRIM(D332)),8),"X","0"),"Y","1"),"Z","2")),23)+1,1)=RIGHT(UPPER(TRIM(D332)),1),"OK","REVISAR"),IF(OR(RIGHT(UPPER(TRIM(D332)),1)=TEXT(MOD(10-MOD((VALUE(MID(UPPER(TRIM(D332)),3,1))+VALUE(MID(UPPER(TRIM(D332)),5,1))+VALUE(MID(UPPER(TRIM(D332)),7,1)))+(INT(2*VALUE(MID(UPPER(TRIM(D332)),2,1))/10)+MOD(2*VALUE(MID(UPPER(TRIM(D332)),2,1)),10))+(INT(2*VALUE(MID(UPPER(TRIM(D332)),4,1))/10)+MOD(2*VALUE(MID(UPPER(TRIM(D332)),4,1)),10))+(INT(2*VALUE(MID(UPPER(TRIM(D332)),6,1))/10)+MOD(2*VALUE(MID(UPPER(TRIM(D332)),6,1)),10))+(INT(2*VALUE(MID(UPPER(TRIM(D332)),8,1))/10)+MOD(2*VALUE(MID(UPPER(TRIM(D332)),8,1)),10)),10),10),"0"),RIGHT(UPPER(TRIM(D332)),1)=MID("JABCDEFGHI",MOD(10-MOD((VALUE(MID(UPPER(TRIM(D332)),3,1))+VALUE(MID(UPPER(TRIM(D332)),5,1))+VALUE(MID(UPPER(TRIM(D332)),7,1)))+(INT(2*VALUE(MID(UPPER(TRIM(D332)),2,1))/10)+MOD(2*VALUE(MID(UPPER(TRIM(D332)),2,1)),10))+(INT(2*VALUE(MID(UPPER(TRIM(D332)),4,1))/10)+MOD(2*VALUE(MID(UPPER(TRIM(D332)),4,1)),10))+(INT(2*VALUE(MID(UPPER(TRIM(D332)),6,1))/10)+MOD(2*VALUE(MID(UPPER(TRIM(D332)),6,1)),10))+(INT(2*VALUE(MID(UPPER(TRIM(D332)),8,1))/10)+MOD(2*VALUE(MID(UPPER(TRIM(D332)),8,1)),10)),10),10)+1,1)),"OK","REVISAR")),"REVISAR")))</f>
        <v/>
      </c>
      <c r="Q332">
        <f>IF(B332="","",IF(COUNTIFS($B$2:$B$501,B332,$D$2:$D$501,D332)&gt;1,"DUPLICADA",""))</f>
        <v/>
      </c>
      <c r="R332">
        <f>IF(A332="","",ROUNDUP(MONTH(A332)/3,0))</f>
        <v/>
      </c>
      <c r="S332" s="3" t="n"/>
    </row>
    <row r="333">
      <c r="A333" s="2" t="n"/>
      <c r="B333" s="3" t="n"/>
      <c r="C333" s="3" t="n"/>
      <c r="D333" s="3" t="n"/>
      <c r="E333" s="4" t="n"/>
      <c r="F333" s="4" t="n"/>
      <c r="G333" s="4" t="n"/>
      <c r="H333" s="4" t="n"/>
      <c r="I333" s="5">
        <f>IF(E333="","",ROUND(E333*0.21,2))</f>
        <v/>
      </c>
      <c r="J333" s="5">
        <f>IF(F333="","",ROUND(F333*0.1,2))</f>
        <v/>
      </c>
      <c r="K333" s="5">
        <f>IF(G333="","",ROUND(G333*0.04,2))</f>
        <v/>
      </c>
      <c r="L333" s="4" t="n"/>
      <c r="M333" s="4" t="n"/>
      <c r="N333" s="5">
        <f>IF(A333="","",SUM(E333:K333)-N(L333))</f>
        <v/>
      </c>
      <c r="O333">
        <f>IF(OR(A333="",M333=""),"",IF(ABS(M333-N333)&lt;=0.02,"OK","REVISAR"))</f>
        <v/>
      </c>
      <c r="P333">
        <f>IF(D333="","",IF(LEN(TRIM(D333))&lt;&gt;9,"REVISAR",IFERROR(IF(OR(ISNUMBER(VALUE(LEFT(UPPER(TRIM(D333)),1))),LEFT(UPPER(TRIM(D333)),1)="X",LEFT(UPPER(TRIM(D333)),1)="Y",LEFT(UPPER(TRIM(D333)),1)="Z"),IF(MID("TRWAGMYFPDXBNJZSQVHLCKE",MOD(VALUE(SUBSTITUTE(SUBSTITUTE(SUBSTITUTE(LEFT(UPPER(TRIM(D333)),8),"X","0"),"Y","1"),"Z","2")),23)+1,1)=RIGHT(UPPER(TRIM(D333)),1),"OK","REVISAR"),IF(OR(RIGHT(UPPER(TRIM(D333)),1)=TEXT(MOD(10-MOD((VALUE(MID(UPPER(TRIM(D333)),3,1))+VALUE(MID(UPPER(TRIM(D333)),5,1))+VALUE(MID(UPPER(TRIM(D333)),7,1)))+(INT(2*VALUE(MID(UPPER(TRIM(D333)),2,1))/10)+MOD(2*VALUE(MID(UPPER(TRIM(D333)),2,1)),10))+(INT(2*VALUE(MID(UPPER(TRIM(D333)),4,1))/10)+MOD(2*VALUE(MID(UPPER(TRIM(D333)),4,1)),10))+(INT(2*VALUE(MID(UPPER(TRIM(D333)),6,1))/10)+MOD(2*VALUE(MID(UPPER(TRIM(D333)),6,1)),10))+(INT(2*VALUE(MID(UPPER(TRIM(D333)),8,1))/10)+MOD(2*VALUE(MID(UPPER(TRIM(D333)),8,1)),10)),10),10),"0"),RIGHT(UPPER(TRIM(D333)),1)=MID("JABCDEFGHI",MOD(10-MOD((VALUE(MID(UPPER(TRIM(D333)),3,1))+VALUE(MID(UPPER(TRIM(D333)),5,1))+VALUE(MID(UPPER(TRIM(D333)),7,1)))+(INT(2*VALUE(MID(UPPER(TRIM(D333)),2,1))/10)+MOD(2*VALUE(MID(UPPER(TRIM(D333)),2,1)),10))+(INT(2*VALUE(MID(UPPER(TRIM(D333)),4,1))/10)+MOD(2*VALUE(MID(UPPER(TRIM(D333)),4,1)),10))+(INT(2*VALUE(MID(UPPER(TRIM(D333)),6,1))/10)+MOD(2*VALUE(MID(UPPER(TRIM(D333)),6,1)),10))+(INT(2*VALUE(MID(UPPER(TRIM(D333)),8,1))/10)+MOD(2*VALUE(MID(UPPER(TRIM(D333)),8,1)),10)),10),10)+1,1)),"OK","REVISAR")),"REVISAR")))</f>
        <v/>
      </c>
      <c r="Q333">
        <f>IF(B333="","",IF(COUNTIFS($B$2:$B$501,B333,$D$2:$D$501,D333)&gt;1,"DUPLICADA",""))</f>
        <v/>
      </c>
      <c r="R333">
        <f>IF(A333="","",ROUNDUP(MONTH(A333)/3,0))</f>
        <v/>
      </c>
      <c r="S333" s="3" t="n"/>
    </row>
    <row r="334">
      <c r="A334" s="2" t="n"/>
      <c r="B334" s="3" t="n"/>
      <c r="C334" s="3" t="n"/>
      <c r="D334" s="3" t="n"/>
      <c r="E334" s="4" t="n"/>
      <c r="F334" s="4" t="n"/>
      <c r="G334" s="4" t="n"/>
      <c r="H334" s="4" t="n"/>
      <c r="I334" s="5">
        <f>IF(E334="","",ROUND(E334*0.21,2))</f>
        <v/>
      </c>
      <c r="J334" s="5">
        <f>IF(F334="","",ROUND(F334*0.1,2))</f>
        <v/>
      </c>
      <c r="K334" s="5">
        <f>IF(G334="","",ROUND(G334*0.04,2))</f>
        <v/>
      </c>
      <c r="L334" s="4" t="n"/>
      <c r="M334" s="4" t="n"/>
      <c r="N334" s="5">
        <f>IF(A334="","",SUM(E334:K334)-N(L334))</f>
        <v/>
      </c>
      <c r="O334">
        <f>IF(OR(A334="",M334=""),"",IF(ABS(M334-N334)&lt;=0.02,"OK","REVISAR"))</f>
        <v/>
      </c>
      <c r="P334">
        <f>IF(D334="","",IF(LEN(TRIM(D334))&lt;&gt;9,"REVISAR",IFERROR(IF(OR(ISNUMBER(VALUE(LEFT(UPPER(TRIM(D334)),1))),LEFT(UPPER(TRIM(D334)),1)="X",LEFT(UPPER(TRIM(D334)),1)="Y",LEFT(UPPER(TRIM(D334)),1)="Z"),IF(MID("TRWAGMYFPDXBNJZSQVHLCKE",MOD(VALUE(SUBSTITUTE(SUBSTITUTE(SUBSTITUTE(LEFT(UPPER(TRIM(D334)),8),"X","0"),"Y","1"),"Z","2")),23)+1,1)=RIGHT(UPPER(TRIM(D334)),1),"OK","REVISAR"),IF(OR(RIGHT(UPPER(TRIM(D334)),1)=TEXT(MOD(10-MOD((VALUE(MID(UPPER(TRIM(D334)),3,1))+VALUE(MID(UPPER(TRIM(D334)),5,1))+VALUE(MID(UPPER(TRIM(D334)),7,1)))+(INT(2*VALUE(MID(UPPER(TRIM(D334)),2,1))/10)+MOD(2*VALUE(MID(UPPER(TRIM(D334)),2,1)),10))+(INT(2*VALUE(MID(UPPER(TRIM(D334)),4,1))/10)+MOD(2*VALUE(MID(UPPER(TRIM(D334)),4,1)),10))+(INT(2*VALUE(MID(UPPER(TRIM(D334)),6,1))/10)+MOD(2*VALUE(MID(UPPER(TRIM(D334)),6,1)),10))+(INT(2*VALUE(MID(UPPER(TRIM(D334)),8,1))/10)+MOD(2*VALUE(MID(UPPER(TRIM(D334)),8,1)),10)),10),10),"0"),RIGHT(UPPER(TRIM(D334)),1)=MID("JABCDEFGHI",MOD(10-MOD((VALUE(MID(UPPER(TRIM(D334)),3,1))+VALUE(MID(UPPER(TRIM(D334)),5,1))+VALUE(MID(UPPER(TRIM(D334)),7,1)))+(INT(2*VALUE(MID(UPPER(TRIM(D334)),2,1))/10)+MOD(2*VALUE(MID(UPPER(TRIM(D334)),2,1)),10))+(INT(2*VALUE(MID(UPPER(TRIM(D334)),4,1))/10)+MOD(2*VALUE(MID(UPPER(TRIM(D334)),4,1)),10))+(INT(2*VALUE(MID(UPPER(TRIM(D334)),6,1))/10)+MOD(2*VALUE(MID(UPPER(TRIM(D334)),6,1)),10))+(INT(2*VALUE(MID(UPPER(TRIM(D334)),8,1))/10)+MOD(2*VALUE(MID(UPPER(TRIM(D334)),8,1)),10)),10),10)+1,1)),"OK","REVISAR")),"REVISAR")))</f>
        <v/>
      </c>
      <c r="Q334">
        <f>IF(B334="","",IF(COUNTIFS($B$2:$B$501,B334,$D$2:$D$501,D334)&gt;1,"DUPLICADA",""))</f>
        <v/>
      </c>
      <c r="R334">
        <f>IF(A334="","",ROUNDUP(MONTH(A334)/3,0))</f>
        <v/>
      </c>
      <c r="S334" s="3" t="n"/>
    </row>
    <row r="335">
      <c r="A335" s="2" t="n"/>
      <c r="B335" s="3" t="n"/>
      <c r="C335" s="3" t="n"/>
      <c r="D335" s="3" t="n"/>
      <c r="E335" s="4" t="n"/>
      <c r="F335" s="4" t="n"/>
      <c r="G335" s="4" t="n"/>
      <c r="H335" s="4" t="n"/>
      <c r="I335" s="5">
        <f>IF(E335="","",ROUND(E335*0.21,2))</f>
        <v/>
      </c>
      <c r="J335" s="5">
        <f>IF(F335="","",ROUND(F335*0.1,2))</f>
        <v/>
      </c>
      <c r="K335" s="5">
        <f>IF(G335="","",ROUND(G335*0.04,2))</f>
        <v/>
      </c>
      <c r="L335" s="4" t="n"/>
      <c r="M335" s="4" t="n"/>
      <c r="N335" s="5">
        <f>IF(A335="","",SUM(E335:K335)-N(L335))</f>
        <v/>
      </c>
      <c r="O335">
        <f>IF(OR(A335="",M335=""),"",IF(ABS(M335-N335)&lt;=0.02,"OK","REVISAR"))</f>
        <v/>
      </c>
      <c r="P335">
        <f>IF(D335="","",IF(LEN(TRIM(D335))&lt;&gt;9,"REVISAR",IFERROR(IF(OR(ISNUMBER(VALUE(LEFT(UPPER(TRIM(D335)),1))),LEFT(UPPER(TRIM(D335)),1)="X",LEFT(UPPER(TRIM(D335)),1)="Y",LEFT(UPPER(TRIM(D335)),1)="Z"),IF(MID("TRWAGMYFPDXBNJZSQVHLCKE",MOD(VALUE(SUBSTITUTE(SUBSTITUTE(SUBSTITUTE(LEFT(UPPER(TRIM(D335)),8),"X","0"),"Y","1"),"Z","2")),23)+1,1)=RIGHT(UPPER(TRIM(D335)),1),"OK","REVISAR"),IF(OR(RIGHT(UPPER(TRIM(D335)),1)=TEXT(MOD(10-MOD((VALUE(MID(UPPER(TRIM(D335)),3,1))+VALUE(MID(UPPER(TRIM(D335)),5,1))+VALUE(MID(UPPER(TRIM(D335)),7,1)))+(INT(2*VALUE(MID(UPPER(TRIM(D335)),2,1))/10)+MOD(2*VALUE(MID(UPPER(TRIM(D335)),2,1)),10))+(INT(2*VALUE(MID(UPPER(TRIM(D335)),4,1))/10)+MOD(2*VALUE(MID(UPPER(TRIM(D335)),4,1)),10))+(INT(2*VALUE(MID(UPPER(TRIM(D335)),6,1))/10)+MOD(2*VALUE(MID(UPPER(TRIM(D335)),6,1)),10))+(INT(2*VALUE(MID(UPPER(TRIM(D335)),8,1))/10)+MOD(2*VALUE(MID(UPPER(TRIM(D335)),8,1)),10)),10),10),"0"),RIGHT(UPPER(TRIM(D335)),1)=MID("JABCDEFGHI",MOD(10-MOD((VALUE(MID(UPPER(TRIM(D335)),3,1))+VALUE(MID(UPPER(TRIM(D335)),5,1))+VALUE(MID(UPPER(TRIM(D335)),7,1)))+(INT(2*VALUE(MID(UPPER(TRIM(D335)),2,1))/10)+MOD(2*VALUE(MID(UPPER(TRIM(D335)),2,1)),10))+(INT(2*VALUE(MID(UPPER(TRIM(D335)),4,1))/10)+MOD(2*VALUE(MID(UPPER(TRIM(D335)),4,1)),10))+(INT(2*VALUE(MID(UPPER(TRIM(D335)),6,1))/10)+MOD(2*VALUE(MID(UPPER(TRIM(D335)),6,1)),10))+(INT(2*VALUE(MID(UPPER(TRIM(D335)),8,1))/10)+MOD(2*VALUE(MID(UPPER(TRIM(D335)),8,1)),10)),10),10)+1,1)),"OK","REVISAR")),"REVISAR")))</f>
        <v/>
      </c>
      <c r="Q335">
        <f>IF(B335="","",IF(COUNTIFS($B$2:$B$501,B335,$D$2:$D$501,D335)&gt;1,"DUPLICADA",""))</f>
        <v/>
      </c>
      <c r="R335">
        <f>IF(A335="","",ROUNDUP(MONTH(A335)/3,0))</f>
        <v/>
      </c>
      <c r="S335" s="3" t="n"/>
    </row>
    <row r="336">
      <c r="A336" s="2" t="n"/>
      <c r="B336" s="3" t="n"/>
      <c r="C336" s="3" t="n"/>
      <c r="D336" s="3" t="n"/>
      <c r="E336" s="4" t="n"/>
      <c r="F336" s="4" t="n"/>
      <c r="G336" s="4" t="n"/>
      <c r="H336" s="4" t="n"/>
      <c r="I336" s="5">
        <f>IF(E336="","",ROUND(E336*0.21,2))</f>
        <v/>
      </c>
      <c r="J336" s="5">
        <f>IF(F336="","",ROUND(F336*0.1,2))</f>
        <v/>
      </c>
      <c r="K336" s="5">
        <f>IF(G336="","",ROUND(G336*0.04,2))</f>
        <v/>
      </c>
      <c r="L336" s="4" t="n"/>
      <c r="M336" s="4" t="n"/>
      <c r="N336" s="5">
        <f>IF(A336="","",SUM(E336:K336)-N(L336))</f>
        <v/>
      </c>
      <c r="O336">
        <f>IF(OR(A336="",M336=""),"",IF(ABS(M336-N336)&lt;=0.02,"OK","REVISAR"))</f>
        <v/>
      </c>
      <c r="P336">
        <f>IF(D336="","",IF(LEN(TRIM(D336))&lt;&gt;9,"REVISAR",IFERROR(IF(OR(ISNUMBER(VALUE(LEFT(UPPER(TRIM(D336)),1))),LEFT(UPPER(TRIM(D336)),1)="X",LEFT(UPPER(TRIM(D336)),1)="Y",LEFT(UPPER(TRIM(D336)),1)="Z"),IF(MID("TRWAGMYFPDXBNJZSQVHLCKE",MOD(VALUE(SUBSTITUTE(SUBSTITUTE(SUBSTITUTE(LEFT(UPPER(TRIM(D336)),8),"X","0"),"Y","1"),"Z","2")),23)+1,1)=RIGHT(UPPER(TRIM(D336)),1),"OK","REVISAR"),IF(OR(RIGHT(UPPER(TRIM(D336)),1)=TEXT(MOD(10-MOD((VALUE(MID(UPPER(TRIM(D336)),3,1))+VALUE(MID(UPPER(TRIM(D336)),5,1))+VALUE(MID(UPPER(TRIM(D336)),7,1)))+(INT(2*VALUE(MID(UPPER(TRIM(D336)),2,1))/10)+MOD(2*VALUE(MID(UPPER(TRIM(D336)),2,1)),10))+(INT(2*VALUE(MID(UPPER(TRIM(D336)),4,1))/10)+MOD(2*VALUE(MID(UPPER(TRIM(D336)),4,1)),10))+(INT(2*VALUE(MID(UPPER(TRIM(D336)),6,1))/10)+MOD(2*VALUE(MID(UPPER(TRIM(D336)),6,1)),10))+(INT(2*VALUE(MID(UPPER(TRIM(D336)),8,1))/10)+MOD(2*VALUE(MID(UPPER(TRIM(D336)),8,1)),10)),10),10),"0"),RIGHT(UPPER(TRIM(D336)),1)=MID("JABCDEFGHI",MOD(10-MOD((VALUE(MID(UPPER(TRIM(D336)),3,1))+VALUE(MID(UPPER(TRIM(D336)),5,1))+VALUE(MID(UPPER(TRIM(D336)),7,1)))+(INT(2*VALUE(MID(UPPER(TRIM(D336)),2,1))/10)+MOD(2*VALUE(MID(UPPER(TRIM(D336)),2,1)),10))+(INT(2*VALUE(MID(UPPER(TRIM(D336)),4,1))/10)+MOD(2*VALUE(MID(UPPER(TRIM(D336)),4,1)),10))+(INT(2*VALUE(MID(UPPER(TRIM(D336)),6,1))/10)+MOD(2*VALUE(MID(UPPER(TRIM(D336)),6,1)),10))+(INT(2*VALUE(MID(UPPER(TRIM(D336)),8,1))/10)+MOD(2*VALUE(MID(UPPER(TRIM(D336)),8,1)),10)),10),10)+1,1)),"OK","REVISAR")),"REVISAR")))</f>
        <v/>
      </c>
      <c r="Q336">
        <f>IF(B336="","",IF(COUNTIFS($B$2:$B$501,B336,$D$2:$D$501,D336)&gt;1,"DUPLICADA",""))</f>
        <v/>
      </c>
      <c r="R336">
        <f>IF(A336="","",ROUNDUP(MONTH(A336)/3,0))</f>
        <v/>
      </c>
      <c r="S336" s="3" t="n"/>
    </row>
    <row r="337">
      <c r="A337" s="2" t="n"/>
      <c r="B337" s="3" t="n"/>
      <c r="C337" s="3" t="n"/>
      <c r="D337" s="3" t="n"/>
      <c r="E337" s="4" t="n"/>
      <c r="F337" s="4" t="n"/>
      <c r="G337" s="4" t="n"/>
      <c r="H337" s="4" t="n"/>
      <c r="I337" s="5">
        <f>IF(E337="","",ROUND(E337*0.21,2))</f>
        <v/>
      </c>
      <c r="J337" s="5">
        <f>IF(F337="","",ROUND(F337*0.1,2))</f>
        <v/>
      </c>
      <c r="K337" s="5">
        <f>IF(G337="","",ROUND(G337*0.04,2))</f>
        <v/>
      </c>
      <c r="L337" s="4" t="n"/>
      <c r="M337" s="4" t="n"/>
      <c r="N337" s="5">
        <f>IF(A337="","",SUM(E337:K337)-N(L337))</f>
        <v/>
      </c>
      <c r="O337">
        <f>IF(OR(A337="",M337=""),"",IF(ABS(M337-N337)&lt;=0.02,"OK","REVISAR"))</f>
        <v/>
      </c>
      <c r="P337">
        <f>IF(D337="","",IF(LEN(TRIM(D337))&lt;&gt;9,"REVISAR",IFERROR(IF(OR(ISNUMBER(VALUE(LEFT(UPPER(TRIM(D337)),1))),LEFT(UPPER(TRIM(D337)),1)="X",LEFT(UPPER(TRIM(D337)),1)="Y",LEFT(UPPER(TRIM(D337)),1)="Z"),IF(MID("TRWAGMYFPDXBNJZSQVHLCKE",MOD(VALUE(SUBSTITUTE(SUBSTITUTE(SUBSTITUTE(LEFT(UPPER(TRIM(D337)),8),"X","0"),"Y","1"),"Z","2")),23)+1,1)=RIGHT(UPPER(TRIM(D337)),1),"OK","REVISAR"),IF(OR(RIGHT(UPPER(TRIM(D337)),1)=TEXT(MOD(10-MOD((VALUE(MID(UPPER(TRIM(D337)),3,1))+VALUE(MID(UPPER(TRIM(D337)),5,1))+VALUE(MID(UPPER(TRIM(D337)),7,1)))+(INT(2*VALUE(MID(UPPER(TRIM(D337)),2,1))/10)+MOD(2*VALUE(MID(UPPER(TRIM(D337)),2,1)),10))+(INT(2*VALUE(MID(UPPER(TRIM(D337)),4,1))/10)+MOD(2*VALUE(MID(UPPER(TRIM(D337)),4,1)),10))+(INT(2*VALUE(MID(UPPER(TRIM(D337)),6,1))/10)+MOD(2*VALUE(MID(UPPER(TRIM(D337)),6,1)),10))+(INT(2*VALUE(MID(UPPER(TRIM(D337)),8,1))/10)+MOD(2*VALUE(MID(UPPER(TRIM(D337)),8,1)),10)),10),10),"0"),RIGHT(UPPER(TRIM(D337)),1)=MID("JABCDEFGHI",MOD(10-MOD((VALUE(MID(UPPER(TRIM(D337)),3,1))+VALUE(MID(UPPER(TRIM(D337)),5,1))+VALUE(MID(UPPER(TRIM(D337)),7,1)))+(INT(2*VALUE(MID(UPPER(TRIM(D337)),2,1))/10)+MOD(2*VALUE(MID(UPPER(TRIM(D337)),2,1)),10))+(INT(2*VALUE(MID(UPPER(TRIM(D337)),4,1))/10)+MOD(2*VALUE(MID(UPPER(TRIM(D337)),4,1)),10))+(INT(2*VALUE(MID(UPPER(TRIM(D337)),6,1))/10)+MOD(2*VALUE(MID(UPPER(TRIM(D337)),6,1)),10))+(INT(2*VALUE(MID(UPPER(TRIM(D337)),8,1))/10)+MOD(2*VALUE(MID(UPPER(TRIM(D337)),8,1)),10)),10),10)+1,1)),"OK","REVISAR")),"REVISAR")))</f>
        <v/>
      </c>
      <c r="Q337">
        <f>IF(B337="","",IF(COUNTIFS($B$2:$B$501,B337,$D$2:$D$501,D337)&gt;1,"DUPLICADA",""))</f>
        <v/>
      </c>
      <c r="R337">
        <f>IF(A337="","",ROUNDUP(MONTH(A337)/3,0))</f>
        <v/>
      </c>
      <c r="S337" s="3" t="n"/>
    </row>
    <row r="338">
      <c r="A338" s="2" t="n"/>
      <c r="B338" s="3" t="n"/>
      <c r="C338" s="3" t="n"/>
      <c r="D338" s="3" t="n"/>
      <c r="E338" s="4" t="n"/>
      <c r="F338" s="4" t="n"/>
      <c r="G338" s="4" t="n"/>
      <c r="H338" s="4" t="n"/>
      <c r="I338" s="5">
        <f>IF(E338="","",ROUND(E338*0.21,2))</f>
        <v/>
      </c>
      <c r="J338" s="5">
        <f>IF(F338="","",ROUND(F338*0.1,2))</f>
        <v/>
      </c>
      <c r="K338" s="5">
        <f>IF(G338="","",ROUND(G338*0.04,2))</f>
        <v/>
      </c>
      <c r="L338" s="4" t="n"/>
      <c r="M338" s="4" t="n"/>
      <c r="N338" s="5">
        <f>IF(A338="","",SUM(E338:K338)-N(L338))</f>
        <v/>
      </c>
      <c r="O338">
        <f>IF(OR(A338="",M338=""),"",IF(ABS(M338-N338)&lt;=0.02,"OK","REVISAR"))</f>
        <v/>
      </c>
      <c r="P338">
        <f>IF(D338="","",IF(LEN(TRIM(D338))&lt;&gt;9,"REVISAR",IFERROR(IF(OR(ISNUMBER(VALUE(LEFT(UPPER(TRIM(D338)),1))),LEFT(UPPER(TRIM(D338)),1)="X",LEFT(UPPER(TRIM(D338)),1)="Y",LEFT(UPPER(TRIM(D338)),1)="Z"),IF(MID("TRWAGMYFPDXBNJZSQVHLCKE",MOD(VALUE(SUBSTITUTE(SUBSTITUTE(SUBSTITUTE(LEFT(UPPER(TRIM(D338)),8),"X","0"),"Y","1"),"Z","2")),23)+1,1)=RIGHT(UPPER(TRIM(D338)),1),"OK","REVISAR"),IF(OR(RIGHT(UPPER(TRIM(D338)),1)=TEXT(MOD(10-MOD((VALUE(MID(UPPER(TRIM(D338)),3,1))+VALUE(MID(UPPER(TRIM(D338)),5,1))+VALUE(MID(UPPER(TRIM(D338)),7,1)))+(INT(2*VALUE(MID(UPPER(TRIM(D338)),2,1))/10)+MOD(2*VALUE(MID(UPPER(TRIM(D338)),2,1)),10))+(INT(2*VALUE(MID(UPPER(TRIM(D338)),4,1))/10)+MOD(2*VALUE(MID(UPPER(TRIM(D338)),4,1)),10))+(INT(2*VALUE(MID(UPPER(TRIM(D338)),6,1))/10)+MOD(2*VALUE(MID(UPPER(TRIM(D338)),6,1)),10))+(INT(2*VALUE(MID(UPPER(TRIM(D338)),8,1))/10)+MOD(2*VALUE(MID(UPPER(TRIM(D338)),8,1)),10)),10),10),"0"),RIGHT(UPPER(TRIM(D338)),1)=MID("JABCDEFGHI",MOD(10-MOD((VALUE(MID(UPPER(TRIM(D338)),3,1))+VALUE(MID(UPPER(TRIM(D338)),5,1))+VALUE(MID(UPPER(TRIM(D338)),7,1)))+(INT(2*VALUE(MID(UPPER(TRIM(D338)),2,1))/10)+MOD(2*VALUE(MID(UPPER(TRIM(D338)),2,1)),10))+(INT(2*VALUE(MID(UPPER(TRIM(D338)),4,1))/10)+MOD(2*VALUE(MID(UPPER(TRIM(D338)),4,1)),10))+(INT(2*VALUE(MID(UPPER(TRIM(D338)),6,1))/10)+MOD(2*VALUE(MID(UPPER(TRIM(D338)),6,1)),10))+(INT(2*VALUE(MID(UPPER(TRIM(D338)),8,1))/10)+MOD(2*VALUE(MID(UPPER(TRIM(D338)),8,1)),10)),10),10)+1,1)),"OK","REVISAR")),"REVISAR")))</f>
        <v/>
      </c>
      <c r="Q338">
        <f>IF(B338="","",IF(COUNTIFS($B$2:$B$501,B338,$D$2:$D$501,D338)&gt;1,"DUPLICADA",""))</f>
        <v/>
      </c>
      <c r="R338">
        <f>IF(A338="","",ROUNDUP(MONTH(A338)/3,0))</f>
        <v/>
      </c>
      <c r="S338" s="3" t="n"/>
    </row>
    <row r="339">
      <c r="A339" s="2" t="n"/>
      <c r="B339" s="3" t="n"/>
      <c r="C339" s="3" t="n"/>
      <c r="D339" s="3" t="n"/>
      <c r="E339" s="4" t="n"/>
      <c r="F339" s="4" t="n"/>
      <c r="G339" s="4" t="n"/>
      <c r="H339" s="4" t="n"/>
      <c r="I339" s="5">
        <f>IF(E339="","",ROUND(E339*0.21,2))</f>
        <v/>
      </c>
      <c r="J339" s="5">
        <f>IF(F339="","",ROUND(F339*0.1,2))</f>
        <v/>
      </c>
      <c r="K339" s="5">
        <f>IF(G339="","",ROUND(G339*0.04,2))</f>
        <v/>
      </c>
      <c r="L339" s="4" t="n"/>
      <c r="M339" s="4" t="n"/>
      <c r="N339" s="5">
        <f>IF(A339="","",SUM(E339:K339)-N(L339))</f>
        <v/>
      </c>
      <c r="O339">
        <f>IF(OR(A339="",M339=""),"",IF(ABS(M339-N339)&lt;=0.02,"OK","REVISAR"))</f>
        <v/>
      </c>
      <c r="P339">
        <f>IF(D339="","",IF(LEN(TRIM(D339))&lt;&gt;9,"REVISAR",IFERROR(IF(OR(ISNUMBER(VALUE(LEFT(UPPER(TRIM(D339)),1))),LEFT(UPPER(TRIM(D339)),1)="X",LEFT(UPPER(TRIM(D339)),1)="Y",LEFT(UPPER(TRIM(D339)),1)="Z"),IF(MID("TRWAGMYFPDXBNJZSQVHLCKE",MOD(VALUE(SUBSTITUTE(SUBSTITUTE(SUBSTITUTE(LEFT(UPPER(TRIM(D339)),8),"X","0"),"Y","1"),"Z","2")),23)+1,1)=RIGHT(UPPER(TRIM(D339)),1),"OK","REVISAR"),IF(OR(RIGHT(UPPER(TRIM(D339)),1)=TEXT(MOD(10-MOD((VALUE(MID(UPPER(TRIM(D339)),3,1))+VALUE(MID(UPPER(TRIM(D339)),5,1))+VALUE(MID(UPPER(TRIM(D339)),7,1)))+(INT(2*VALUE(MID(UPPER(TRIM(D339)),2,1))/10)+MOD(2*VALUE(MID(UPPER(TRIM(D339)),2,1)),10))+(INT(2*VALUE(MID(UPPER(TRIM(D339)),4,1))/10)+MOD(2*VALUE(MID(UPPER(TRIM(D339)),4,1)),10))+(INT(2*VALUE(MID(UPPER(TRIM(D339)),6,1))/10)+MOD(2*VALUE(MID(UPPER(TRIM(D339)),6,1)),10))+(INT(2*VALUE(MID(UPPER(TRIM(D339)),8,1))/10)+MOD(2*VALUE(MID(UPPER(TRIM(D339)),8,1)),10)),10),10),"0"),RIGHT(UPPER(TRIM(D339)),1)=MID("JABCDEFGHI",MOD(10-MOD((VALUE(MID(UPPER(TRIM(D339)),3,1))+VALUE(MID(UPPER(TRIM(D339)),5,1))+VALUE(MID(UPPER(TRIM(D339)),7,1)))+(INT(2*VALUE(MID(UPPER(TRIM(D339)),2,1))/10)+MOD(2*VALUE(MID(UPPER(TRIM(D339)),2,1)),10))+(INT(2*VALUE(MID(UPPER(TRIM(D339)),4,1))/10)+MOD(2*VALUE(MID(UPPER(TRIM(D339)),4,1)),10))+(INT(2*VALUE(MID(UPPER(TRIM(D339)),6,1))/10)+MOD(2*VALUE(MID(UPPER(TRIM(D339)),6,1)),10))+(INT(2*VALUE(MID(UPPER(TRIM(D339)),8,1))/10)+MOD(2*VALUE(MID(UPPER(TRIM(D339)),8,1)),10)),10),10)+1,1)),"OK","REVISAR")),"REVISAR")))</f>
        <v/>
      </c>
      <c r="Q339">
        <f>IF(B339="","",IF(COUNTIFS($B$2:$B$501,B339,$D$2:$D$501,D339)&gt;1,"DUPLICADA",""))</f>
        <v/>
      </c>
      <c r="R339">
        <f>IF(A339="","",ROUNDUP(MONTH(A339)/3,0))</f>
        <v/>
      </c>
      <c r="S339" s="3" t="n"/>
    </row>
    <row r="340">
      <c r="A340" s="2" t="n"/>
      <c r="B340" s="3" t="n"/>
      <c r="C340" s="3" t="n"/>
      <c r="D340" s="3" t="n"/>
      <c r="E340" s="4" t="n"/>
      <c r="F340" s="4" t="n"/>
      <c r="G340" s="4" t="n"/>
      <c r="H340" s="4" t="n"/>
      <c r="I340" s="5">
        <f>IF(E340="","",ROUND(E340*0.21,2))</f>
        <v/>
      </c>
      <c r="J340" s="5">
        <f>IF(F340="","",ROUND(F340*0.1,2))</f>
        <v/>
      </c>
      <c r="K340" s="5">
        <f>IF(G340="","",ROUND(G340*0.04,2))</f>
        <v/>
      </c>
      <c r="L340" s="4" t="n"/>
      <c r="M340" s="4" t="n"/>
      <c r="N340" s="5">
        <f>IF(A340="","",SUM(E340:K340)-N(L340))</f>
        <v/>
      </c>
      <c r="O340">
        <f>IF(OR(A340="",M340=""),"",IF(ABS(M340-N340)&lt;=0.02,"OK","REVISAR"))</f>
        <v/>
      </c>
      <c r="P340">
        <f>IF(D340="","",IF(LEN(TRIM(D340))&lt;&gt;9,"REVISAR",IFERROR(IF(OR(ISNUMBER(VALUE(LEFT(UPPER(TRIM(D340)),1))),LEFT(UPPER(TRIM(D340)),1)="X",LEFT(UPPER(TRIM(D340)),1)="Y",LEFT(UPPER(TRIM(D340)),1)="Z"),IF(MID("TRWAGMYFPDXBNJZSQVHLCKE",MOD(VALUE(SUBSTITUTE(SUBSTITUTE(SUBSTITUTE(LEFT(UPPER(TRIM(D340)),8),"X","0"),"Y","1"),"Z","2")),23)+1,1)=RIGHT(UPPER(TRIM(D340)),1),"OK","REVISAR"),IF(OR(RIGHT(UPPER(TRIM(D340)),1)=TEXT(MOD(10-MOD((VALUE(MID(UPPER(TRIM(D340)),3,1))+VALUE(MID(UPPER(TRIM(D340)),5,1))+VALUE(MID(UPPER(TRIM(D340)),7,1)))+(INT(2*VALUE(MID(UPPER(TRIM(D340)),2,1))/10)+MOD(2*VALUE(MID(UPPER(TRIM(D340)),2,1)),10))+(INT(2*VALUE(MID(UPPER(TRIM(D340)),4,1))/10)+MOD(2*VALUE(MID(UPPER(TRIM(D340)),4,1)),10))+(INT(2*VALUE(MID(UPPER(TRIM(D340)),6,1))/10)+MOD(2*VALUE(MID(UPPER(TRIM(D340)),6,1)),10))+(INT(2*VALUE(MID(UPPER(TRIM(D340)),8,1))/10)+MOD(2*VALUE(MID(UPPER(TRIM(D340)),8,1)),10)),10),10),"0"),RIGHT(UPPER(TRIM(D340)),1)=MID("JABCDEFGHI",MOD(10-MOD((VALUE(MID(UPPER(TRIM(D340)),3,1))+VALUE(MID(UPPER(TRIM(D340)),5,1))+VALUE(MID(UPPER(TRIM(D340)),7,1)))+(INT(2*VALUE(MID(UPPER(TRIM(D340)),2,1))/10)+MOD(2*VALUE(MID(UPPER(TRIM(D340)),2,1)),10))+(INT(2*VALUE(MID(UPPER(TRIM(D340)),4,1))/10)+MOD(2*VALUE(MID(UPPER(TRIM(D340)),4,1)),10))+(INT(2*VALUE(MID(UPPER(TRIM(D340)),6,1))/10)+MOD(2*VALUE(MID(UPPER(TRIM(D340)),6,1)),10))+(INT(2*VALUE(MID(UPPER(TRIM(D340)),8,1))/10)+MOD(2*VALUE(MID(UPPER(TRIM(D340)),8,1)),10)),10),10)+1,1)),"OK","REVISAR")),"REVISAR")))</f>
        <v/>
      </c>
      <c r="Q340">
        <f>IF(B340="","",IF(COUNTIFS($B$2:$B$501,B340,$D$2:$D$501,D340)&gt;1,"DUPLICADA",""))</f>
        <v/>
      </c>
      <c r="R340">
        <f>IF(A340="","",ROUNDUP(MONTH(A340)/3,0))</f>
        <v/>
      </c>
      <c r="S340" s="3" t="n"/>
    </row>
    <row r="341">
      <c r="A341" s="2" t="n"/>
      <c r="B341" s="3" t="n"/>
      <c r="C341" s="3" t="n"/>
      <c r="D341" s="3" t="n"/>
      <c r="E341" s="4" t="n"/>
      <c r="F341" s="4" t="n"/>
      <c r="G341" s="4" t="n"/>
      <c r="H341" s="4" t="n"/>
      <c r="I341" s="5">
        <f>IF(E341="","",ROUND(E341*0.21,2))</f>
        <v/>
      </c>
      <c r="J341" s="5">
        <f>IF(F341="","",ROUND(F341*0.1,2))</f>
        <v/>
      </c>
      <c r="K341" s="5">
        <f>IF(G341="","",ROUND(G341*0.04,2))</f>
        <v/>
      </c>
      <c r="L341" s="4" t="n"/>
      <c r="M341" s="4" t="n"/>
      <c r="N341" s="5">
        <f>IF(A341="","",SUM(E341:K341)-N(L341))</f>
        <v/>
      </c>
      <c r="O341">
        <f>IF(OR(A341="",M341=""),"",IF(ABS(M341-N341)&lt;=0.02,"OK","REVISAR"))</f>
        <v/>
      </c>
      <c r="P341">
        <f>IF(D341="","",IF(LEN(TRIM(D341))&lt;&gt;9,"REVISAR",IFERROR(IF(OR(ISNUMBER(VALUE(LEFT(UPPER(TRIM(D341)),1))),LEFT(UPPER(TRIM(D341)),1)="X",LEFT(UPPER(TRIM(D341)),1)="Y",LEFT(UPPER(TRIM(D341)),1)="Z"),IF(MID("TRWAGMYFPDXBNJZSQVHLCKE",MOD(VALUE(SUBSTITUTE(SUBSTITUTE(SUBSTITUTE(LEFT(UPPER(TRIM(D341)),8),"X","0"),"Y","1"),"Z","2")),23)+1,1)=RIGHT(UPPER(TRIM(D341)),1),"OK","REVISAR"),IF(OR(RIGHT(UPPER(TRIM(D341)),1)=TEXT(MOD(10-MOD((VALUE(MID(UPPER(TRIM(D341)),3,1))+VALUE(MID(UPPER(TRIM(D341)),5,1))+VALUE(MID(UPPER(TRIM(D341)),7,1)))+(INT(2*VALUE(MID(UPPER(TRIM(D341)),2,1))/10)+MOD(2*VALUE(MID(UPPER(TRIM(D341)),2,1)),10))+(INT(2*VALUE(MID(UPPER(TRIM(D341)),4,1))/10)+MOD(2*VALUE(MID(UPPER(TRIM(D341)),4,1)),10))+(INT(2*VALUE(MID(UPPER(TRIM(D341)),6,1))/10)+MOD(2*VALUE(MID(UPPER(TRIM(D341)),6,1)),10))+(INT(2*VALUE(MID(UPPER(TRIM(D341)),8,1))/10)+MOD(2*VALUE(MID(UPPER(TRIM(D341)),8,1)),10)),10),10),"0"),RIGHT(UPPER(TRIM(D341)),1)=MID("JABCDEFGHI",MOD(10-MOD((VALUE(MID(UPPER(TRIM(D341)),3,1))+VALUE(MID(UPPER(TRIM(D341)),5,1))+VALUE(MID(UPPER(TRIM(D341)),7,1)))+(INT(2*VALUE(MID(UPPER(TRIM(D341)),2,1))/10)+MOD(2*VALUE(MID(UPPER(TRIM(D341)),2,1)),10))+(INT(2*VALUE(MID(UPPER(TRIM(D341)),4,1))/10)+MOD(2*VALUE(MID(UPPER(TRIM(D341)),4,1)),10))+(INT(2*VALUE(MID(UPPER(TRIM(D341)),6,1))/10)+MOD(2*VALUE(MID(UPPER(TRIM(D341)),6,1)),10))+(INT(2*VALUE(MID(UPPER(TRIM(D341)),8,1))/10)+MOD(2*VALUE(MID(UPPER(TRIM(D341)),8,1)),10)),10),10)+1,1)),"OK","REVISAR")),"REVISAR")))</f>
        <v/>
      </c>
      <c r="Q341">
        <f>IF(B341="","",IF(COUNTIFS($B$2:$B$501,B341,$D$2:$D$501,D341)&gt;1,"DUPLICADA",""))</f>
        <v/>
      </c>
      <c r="R341">
        <f>IF(A341="","",ROUNDUP(MONTH(A341)/3,0))</f>
        <v/>
      </c>
      <c r="S341" s="3" t="n"/>
    </row>
    <row r="342">
      <c r="A342" s="2" t="n"/>
      <c r="B342" s="3" t="n"/>
      <c r="C342" s="3" t="n"/>
      <c r="D342" s="3" t="n"/>
      <c r="E342" s="4" t="n"/>
      <c r="F342" s="4" t="n"/>
      <c r="G342" s="4" t="n"/>
      <c r="H342" s="4" t="n"/>
      <c r="I342" s="5">
        <f>IF(E342="","",ROUND(E342*0.21,2))</f>
        <v/>
      </c>
      <c r="J342" s="5">
        <f>IF(F342="","",ROUND(F342*0.1,2))</f>
        <v/>
      </c>
      <c r="K342" s="5">
        <f>IF(G342="","",ROUND(G342*0.04,2))</f>
        <v/>
      </c>
      <c r="L342" s="4" t="n"/>
      <c r="M342" s="4" t="n"/>
      <c r="N342" s="5">
        <f>IF(A342="","",SUM(E342:K342)-N(L342))</f>
        <v/>
      </c>
      <c r="O342">
        <f>IF(OR(A342="",M342=""),"",IF(ABS(M342-N342)&lt;=0.02,"OK","REVISAR"))</f>
        <v/>
      </c>
      <c r="P342">
        <f>IF(D342="","",IF(LEN(TRIM(D342))&lt;&gt;9,"REVISAR",IFERROR(IF(OR(ISNUMBER(VALUE(LEFT(UPPER(TRIM(D342)),1))),LEFT(UPPER(TRIM(D342)),1)="X",LEFT(UPPER(TRIM(D342)),1)="Y",LEFT(UPPER(TRIM(D342)),1)="Z"),IF(MID("TRWAGMYFPDXBNJZSQVHLCKE",MOD(VALUE(SUBSTITUTE(SUBSTITUTE(SUBSTITUTE(LEFT(UPPER(TRIM(D342)),8),"X","0"),"Y","1"),"Z","2")),23)+1,1)=RIGHT(UPPER(TRIM(D342)),1),"OK","REVISAR"),IF(OR(RIGHT(UPPER(TRIM(D342)),1)=TEXT(MOD(10-MOD((VALUE(MID(UPPER(TRIM(D342)),3,1))+VALUE(MID(UPPER(TRIM(D342)),5,1))+VALUE(MID(UPPER(TRIM(D342)),7,1)))+(INT(2*VALUE(MID(UPPER(TRIM(D342)),2,1))/10)+MOD(2*VALUE(MID(UPPER(TRIM(D342)),2,1)),10))+(INT(2*VALUE(MID(UPPER(TRIM(D342)),4,1))/10)+MOD(2*VALUE(MID(UPPER(TRIM(D342)),4,1)),10))+(INT(2*VALUE(MID(UPPER(TRIM(D342)),6,1))/10)+MOD(2*VALUE(MID(UPPER(TRIM(D342)),6,1)),10))+(INT(2*VALUE(MID(UPPER(TRIM(D342)),8,1))/10)+MOD(2*VALUE(MID(UPPER(TRIM(D342)),8,1)),10)),10),10),"0"),RIGHT(UPPER(TRIM(D342)),1)=MID("JABCDEFGHI",MOD(10-MOD((VALUE(MID(UPPER(TRIM(D342)),3,1))+VALUE(MID(UPPER(TRIM(D342)),5,1))+VALUE(MID(UPPER(TRIM(D342)),7,1)))+(INT(2*VALUE(MID(UPPER(TRIM(D342)),2,1))/10)+MOD(2*VALUE(MID(UPPER(TRIM(D342)),2,1)),10))+(INT(2*VALUE(MID(UPPER(TRIM(D342)),4,1))/10)+MOD(2*VALUE(MID(UPPER(TRIM(D342)),4,1)),10))+(INT(2*VALUE(MID(UPPER(TRIM(D342)),6,1))/10)+MOD(2*VALUE(MID(UPPER(TRIM(D342)),6,1)),10))+(INT(2*VALUE(MID(UPPER(TRIM(D342)),8,1))/10)+MOD(2*VALUE(MID(UPPER(TRIM(D342)),8,1)),10)),10),10)+1,1)),"OK","REVISAR")),"REVISAR")))</f>
        <v/>
      </c>
      <c r="Q342">
        <f>IF(B342="","",IF(COUNTIFS($B$2:$B$501,B342,$D$2:$D$501,D342)&gt;1,"DUPLICADA",""))</f>
        <v/>
      </c>
      <c r="R342">
        <f>IF(A342="","",ROUNDUP(MONTH(A342)/3,0))</f>
        <v/>
      </c>
      <c r="S342" s="3" t="n"/>
    </row>
    <row r="343">
      <c r="A343" s="2" t="n"/>
      <c r="B343" s="3" t="n"/>
      <c r="C343" s="3" t="n"/>
      <c r="D343" s="3" t="n"/>
      <c r="E343" s="4" t="n"/>
      <c r="F343" s="4" t="n"/>
      <c r="G343" s="4" t="n"/>
      <c r="H343" s="4" t="n"/>
      <c r="I343" s="5">
        <f>IF(E343="","",ROUND(E343*0.21,2))</f>
        <v/>
      </c>
      <c r="J343" s="5">
        <f>IF(F343="","",ROUND(F343*0.1,2))</f>
        <v/>
      </c>
      <c r="K343" s="5">
        <f>IF(G343="","",ROUND(G343*0.04,2))</f>
        <v/>
      </c>
      <c r="L343" s="4" t="n"/>
      <c r="M343" s="4" t="n"/>
      <c r="N343" s="5">
        <f>IF(A343="","",SUM(E343:K343)-N(L343))</f>
        <v/>
      </c>
      <c r="O343">
        <f>IF(OR(A343="",M343=""),"",IF(ABS(M343-N343)&lt;=0.02,"OK","REVISAR"))</f>
        <v/>
      </c>
      <c r="P343">
        <f>IF(D343="","",IF(LEN(TRIM(D343))&lt;&gt;9,"REVISAR",IFERROR(IF(OR(ISNUMBER(VALUE(LEFT(UPPER(TRIM(D343)),1))),LEFT(UPPER(TRIM(D343)),1)="X",LEFT(UPPER(TRIM(D343)),1)="Y",LEFT(UPPER(TRIM(D343)),1)="Z"),IF(MID("TRWAGMYFPDXBNJZSQVHLCKE",MOD(VALUE(SUBSTITUTE(SUBSTITUTE(SUBSTITUTE(LEFT(UPPER(TRIM(D343)),8),"X","0"),"Y","1"),"Z","2")),23)+1,1)=RIGHT(UPPER(TRIM(D343)),1),"OK","REVISAR"),IF(OR(RIGHT(UPPER(TRIM(D343)),1)=TEXT(MOD(10-MOD((VALUE(MID(UPPER(TRIM(D343)),3,1))+VALUE(MID(UPPER(TRIM(D343)),5,1))+VALUE(MID(UPPER(TRIM(D343)),7,1)))+(INT(2*VALUE(MID(UPPER(TRIM(D343)),2,1))/10)+MOD(2*VALUE(MID(UPPER(TRIM(D343)),2,1)),10))+(INT(2*VALUE(MID(UPPER(TRIM(D343)),4,1))/10)+MOD(2*VALUE(MID(UPPER(TRIM(D343)),4,1)),10))+(INT(2*VALUE(MID(UPPER(TRIM(D343)),6,1))/10)+MOD(2*VALUE(MID(UPPER(TRIM(D343)),6,1)),10))+(INT(2*VALUE(MID(UPPER(TRIM(D343)),8,1))/10)+MOD(2*VALUE(MID(UPPER(TRIM(D343)),8,1)),10)),10),10),"0"),RIGHT(UPPER(TRIM(D343)),1)=MID("JABCDEFGHI",MOD(10-MOD((VALUE(MID(UPPER(TRIM(D343)),3,1))+VALUE(MID(UPPER(TRIM(D343)),5,1))+VALUE(MID(UPPER(TRIM(D343)),7,1)))+(INT(2*VALUE(MID(UPPER(TRIM(D343)),2,1))/10)+MOD(2*VALUE(MID(UPPER(TRIM(D343)),2,1)),10))+(INT(2*VALUE(MID(UPPER(TRIM(D343)),4,1))/10)+MOD(2*VALUE(MID(UPPER(TRIM(D343)),4,1)),10))+(INT(2*VALUE(MID(UPPER(TRIM(D343)),6,1))/10)+MOD(2*VALUE(MID(UPPER(TRIM(D343)),6,1)),10))+(INT(2*VALUE(MID(UPPER(TRIM(D343)),8,1))/10)+MOD(2*VALUE(MID(UPPER(TRIM(D343)),8,1)),10)),10),10)+1,1)),"OK","REVISAR")),"REVISAR")))</f>
        <v/>
      </c>
      <c r="Q343">
        <f>IF(B343="","",IF(COUNTIFS($B$2:$B$501,B343,$D$2:$D$501,D343)&gt;1,"DUPLICADA",""))</f>
        <v/>
      </c>
      <c r="R343">
        <f>IF(A343="","",ROUNDUP(MONTH(A343)/3,0))</f>
        <v/>
      </c>
      <c r="S343" s="3" t="n"/>
    </row>
    <row r="344">
      <c r="A344" s="2" t="n"/>
      <c r="B344" s="3" t="n"/>
      <c r="C344" s="3" t="n"/>
      <c r="D344" s="3" t="n"/>
      <c r="E344" s="4" t="n"/>
      <c r="F344" s="4" t="n"/>
      <c r="G344" s="4" t="n"/>
      <c r="H344" s="4" t="n"/>
      <c r="I344" s="5">
        <f>IF(E344="","",ROUND(E344*0.21,2))</f>
        <v/>
      </c>
      <c r="J344" s="5">
        <f>IF(F344="","",ROUND(F344*0.1,2))</f>
        <v/>
      </c>
      <c r="K344" s="5">
        <f>IF(G344="","",ROUND(G344*0.04,2))</f>
        <v/>
      </c>
      <c r="L344" s="4" t="n"/>
      <c r="M344" s="4" t="n"/>
      <c r="N344" s="5">
        <f>IF(A344="","",SUM(E344:K344)-N(L344))</f>
        <v/>
      </c>
      <c r="O344">
        <f>IF(OR(A344="",M344=""),"",IF(ABS(M344-N344)&lt;=0.02,"OK","REVISAR"))</f>
        <v/>
      </c>
      <c r="P344">
        <f>IF(D344="","",IF(LEN(TRIM(D344))&lt;&gt;9,"REVISAR",IFERROR(IF(OR(ISNUMBER(VALUE(LEFT(UPPER(TRIM(D344)),1))),LEFT(UPPER(TRIM(D344)),1)="X",LEFT(UPPER(TRIM(D344)),1)="Y",LEFT(UPPER(TRIM(D344)),1)="Z"),IF(MID("TRWAGMYFPDXBNJZSQVHLCKE",MOD(VALUE(SUBSTITUTE(SUBSTITUTE(SUBSTITUTE(LEFT(UPPER(TRIM(D344)),8),"X","0"),"Y","1"),"Z","2")),23)+1,1)=RIGHT(UPPER(TRIM(D344)),1),"OK","REVISAR"),IF(OR(RIGHT(UPPER(TRIM(D344)),1)=TEXT(MOD(10-MOD((VALUE(MID(UPPER(TRIM(D344)),3,1))+VALUE(MID(UPPER(TRIM(D344)),5,1))+VALUE(MID(UPPER(TRIM(D344)),7,1)))+(INT(2*VALUE(MID(UPPER(TRIM(D344)),2,1))/10)+MOD(2*VALUE(MID(UPPER(TRIM(D344)),2,1)),10))+(INT(2*VALUE(MID(UPPER(TRIM(D344)),4,1))/10)+MOD(2*VALUE(MID(UPPER(TRIM(D344)),4,1)),10))+(INT(2*VALUE(MID(UPPER(TRIM(D344)),6,1))/10)+MOD(2*VALUE(MID(UPPER(TRIM(D344)),6,1)),10))+(INT(2*VALUE(MID(UPPER(TRIM(D344)),8,1))/10)+MOD(2*VALUE(MID(UPPER(TRIM(D344)),8,1)),10)),10),10),"0"),RIGHT(UPPER(TRIM(D344)),1)=MID("JABCDEFGHI",MOD(10-MOD((VALUE(MID(UPPER(TRIM(D344)),3,1))+VALUE(MID(UPPER(TRIM(D344)),5,1))+VALUE(MID(UPPER(TRIM(D344)),7,1)))+(INT(2*VALUE(MID(UPPER(TRIM(D344)),2,1))/10)+MOD(2*VALUE(MID(UPPER(TRIM(D344)),2,1)),10))+(INT(2*VALUE(MID(UPPER(TRIM(D344)),4,1))/10)+MOD(2*VALUE(MID(UPPER(TRIM(D344)),4,1)),10))+(INT(2*VALUE(MID(UPPER(TRIM(D344)),6,1))/10)+MOD(2*VALUE(MID(UPPER(TRIM(D344)),6,1)),10))+(INT(2*VALUE(MID(UPPER(TRIM(D344)),8,1))/10)+MOD(2*VALUE(MID(UPPER(TRIM(D344)),8,1)),10)),10),10)+1,1)),"OK","REVISAR")),"REVISAR")))</f>
        <v/>
      </c>
      <c r="Q344">
        <f>IF(B344="","",IF(COUNTIFS($B$2:$B$501,B344,$D$2:$D$501,D344)&gt;1,"DUPLICADA",""))</f>
        <v/>
      </c>
      <c r="R344">
        <f>IF(A344="","",ROUNDUP(MONTH(A344)/3,0))</f>
        <v/>
      </c>
      <c r="S344" s="3" t="n"/>
    </row>
    <row r="345">
      <c r="A345" s="2" t="n"/>
      <c r="B345" s="3" t="n"/>
      <c r="C345" s="3" t="n"/>
      <c r="D345" s="3" t="n"/>
      <c r="E345" s="4" t="n"/>
      <c r="F345" s="4" t="n"/>
      <c r="G345" s="4" t="n"/>
      <c r="H345" s="4" t="n"/>
      <c r="I345" s="5">
        <f>IF(E345="","",ROUND(E345*0.21,2))</f>
        <v/>
      </c>
      <c r="J345" s="5">
        <f>IF(F345="","",ROUND(F345*0.1,2))</f>
        <v/>
      </c>
      <c r="K345" s="5">
        <f>IF(G345="","",ROUND(G345*0.04,2))</f>
        <v/>
      </c>
      <c r="L345" s="4" t="n"/>
      <c r="M345" s="4" t="n"/>
      <c r="N345" s="5">
        <f>IF(A345="","",SUM(E345:K345)-N(L345))</f>
        <v/>
      </c>
      <c r="O345">
        <f>IF(OR(A345="",M345=""),"",IF(ABS(M345-N345)&lt;=0.02,"OK","REVISAR"))</f>
        <v/>
      </c>
      <c r="P345">
        <f>IF(D345="","",IF(LEN(TRIM(D345))&lt;&gt;9,"REVISAR",IFERROR(IF(OR(ISNUMBER(VALUE(LEFT(UPPER(TRIM(D345)),1))),LEFT(UPPER(TRIM(D345)),1)="X",LEFT(UPPER(TRIM(D345)),1)="Y",LEFT(UPPER(TRIM(D345)),1)="Z"),IF(MID("TRWAGMYFPDXBNJZSQVHLCKE",MOD(VALUE(SUBSTITUTE(SUBSTITUTE(SUBSTITUTE(LEFT(UPPER(TRIM(D345)),8),"X","0"),"Y","1"),"Z","2")),23)+1,1)=RIGHT(UPPER(TRIM(D345)),1),"OK","REVISAR"),IF(OR(RIGHT(UPPER(TRIM(D345)),1)=TEXT(MOD(10-MOD((VALUE(MID(UPPER(TRIM(D345)),3,1))+VALUE(MID(UPPER(TRIM(D345)),5,1))+VALUE(MID(UPPER(TRIM(D345)),7,1)))+(INT(2*VALUE(MID(UPPER(TRIM(D345)),2,1))/10)+MOD(2*VALUE(MID(UPPER(TRIM(D345)),2,1)),10))+(INT(2*VALUE(MID(UPPER(TRIM(D345)),4,1))/10)+MOD(2*VALUE(MID(UPPER(TRIM(D345)),4,1)),10))+(INT(2*VALUE(MID(UPPER(TRIM(D345)),6,1))/10)+MOD(2*VALUE(MID(UPPER(TRIM(D345)),6,1)),10))+(INT(2*VALUE(MID(UPPER(TRIM(D345)),8,1))/10)+MOD(2*VALUE(MID(UPPER(TRIM(D345)),8,1)),10)),10),10),"0"),RIGHT(UPPER(TRIM(D345)),1)=MID("JABCDEFGHI",MOD(10-MOD((VALUE(MID(UPPER(TRIM(D345)),3,1))+VALUE(MID(UPPER(TRIM(D345)),5,1))+VALUE(MID(UPPER(TRIM(D345)),7,1)))+(INT(2*VALUE(MID(UPPER(TRIM(D345)),2,1))/10)+MOD(2*VALUE(MID(UPPER(TRIM(D345)),2,1)),10))+(INT(2*VALUE(MID(UPPER(TRIM(D345)),4,1))/10)+MOD(2*VALUE(MID(UPPER(TRIM(D345)),4,1)),10))+(INT(2*VALUE(MID(UPPER(TRIM(D345)),6,1))/10)+MOD(2*VALUE(MID(UPPER(TRIM(D345)),6,1)),10))+(INT(2*VALUE(MID(UPPER(TRIM(D345)),8,1))/10)+MOD(2*VALUE(MID(UPPER(TRIM(D345)),8,1)),10)),10),10)+1,1)),"OK","REVISAR")),"REVISAR")))</f>
        <v/>
      </c>
      <c r="Q345">
        <f>IF(B345="","",IF(COUNTIFS($B$2:$B$501,B345,$D$2:$D$501,D345)&gt;1,"DUPLICADA",""))</f>
        <v/>
      </c>
      <c r="R345">
        <f>IF(A345="","",ROUNDUP(MONTH(A345)/3,0))</f>
        <v/>
      </c>
      <c r="S345" s="3" t="n"/>
    </row>
    <row r="346">
      <c r="A346" s="2" t="n"/>
      <c r="B346" s="3" t="n"/>
      <c r="C346" s="3" t="n"/>
      <c r="D346" s="3" t="n"/>
      <c r="E346" s="4" t="n"/>
      <c r="F346" s="4" t="n"/>
      <c r="G346" s="4" t="n"/>
      <c r="H346" s="4" t="n"/>
      <c r="I346" s="5">
        <f>IF(E346="","",ROUND(E346*0.21,2))</f>
        <v/>
      </c>
      <c r="J346" s="5">
        <f>IF(F346="","",ROUND(F346*0.1,2))</f>
        <v/>
      </c>
      <c r="K346" s="5">
        <f>IF(G346="","",ROUND(G346*0.04,2))</f>
        <v/>
      </c>
      <c r="L346" s="4" t="n"/>
      <c r="M346" s="4" t="n"/>
      <c r="N346" s="5">
        <f>IF(A346="","",SUM(E346:K346)-N(L346))</f>
        <v/>
      </c>
      <c r="O346">
        <f>IF(OR(A346="",M346=""),"",IF(ABS(M346-N346)&lt;=0.02,"OK","REVISAR"))</f>
        <v/>
      </c>
      <c r="P346">
        <f>IF(D346="","",IF(LEN(TRIM(D346))&lt;&gt;9,"REVISAR",IFERROR(IF(OR(ISNUMBER(VALUE(LEFT(UPPER(TRIM(D346)),1))),LEFT(UPPER(TRIM(D346)),1)="X",LEFT(UPPER(TRIM(D346)),1)="Y",LEFT(UPPER(TRIM(D346)),1)="Z"),IF(MID("TRWAGMYFPDXBNJZSQVHLCKE",MOD(VALUE(SUBSTITUTE(SUBSTITUTE(SUBSTITUTE(LEFT(UPPER(TRIM(D346)),8),"X","0"),"Y","1"),"Z","2")),23)+1,1)=RIGHT(UPPER(TRIM(D346)),1),"OK","REVISAR"),IF(OR(RIGHT(UPPER(TRIM(D346)),1)=TEXT(MOD(10-MOD((VALUE(MID(UPPER(TRIM(D346)),3,1))+VALUE(MID(UPPER(TRIM(D346)),5,1))+VALUE(MID(UPPER(TRIM(D346)),7,1)))+(INT(2*VALUE(MID(UPPER(TRIM(D346)),2,1))/10)+MOD(2*VALUE(MID(UPPER(TRIM(D346)),2,1)),10))+(INT(2*VALUE(MID(UPPER(TRIM(D346)),4,1))/10)+MOD(2*VALUE(MID(UPPER(TRIM(D346)),4,1)),10))+(INT(2*VALUE(MID(UPPER(TRIM(D346)),6,1))/10)+MOD(2*VALUE(MID(UPPER(TRIM(D346)),6,1)),10))+(INT(2*VALUE(MID(UPPER(TRIM(D346)),8,1))/10)+MOD(2*VALUE(MID(UPPER(TRIM(D346)),8,1)),10)),10),10),"0"),RIGHT(UPPER(TRIM(D346)),1)=MID("JABCDEFGHI",MOD(10-MOD((VALUE(MID(UPPER(TRIM(D346)),3,1))+VALUE(MID(UPPER(TRIM(D346)),5,1))+VALUE(MID(UPPER(TRIM(D346)),7,1)))+(INT(2*VALUE(MID(UPPER(TRIM(D346)),2,1))/10)+MOD(2*VALUE(MID(UPPER(TRIM(D346)),2,1)),10))+(INT(2*VALUE(MID(UPPER(TRIM(D346)),4,1))/10)+MOD(2*VALUE(MID(UPPER(TRIM(D346)),4,1)),10))+(INT(2*VALUE(MID(UPPER(TRIM(D346)),6,1))/10)+MOD(2*VALUE(MID(UPPER(TRIM(D346)),6,1)),10))+(INT(2*VALUE(MID(UPPER(TRIM(D346)),8,1))/10)+MOD(2*VALUE(MID(UPPER(TRIM(D346)),8,1)),10)),10),10)+1,1)),"OK","REVISAR")),"REVISAR")))</f>
        <v/>
      </c>
      <c r="Q346">
        <f>IF(B346="","",IF(COUNTIFS($B$2:$B$501,B346,$D$2:$D$501,D346)&gt;1,"DUPLICADA",""))</f>
        <v/>
      </c>
      <c r="R346">
        <f>IF(A346="","",ROUNDUP(MONTH(A346)/3,0))</f>
        <v/>
      </c>
      <c r="S346" s="3" t="n"/>
    </row>
    <row r="347">
      <c r="A347" s="2" t="n"/>
      <c r="B347" s="3" t="n"/>
      <c r="C347" s="3" t="n"/>
      <c r="D347" s="3" t="n"/>
      <c r="E347" s="4" t="n"/>
      <c r="F347" s="4" t="n"/>
      <c r="G347" s="4" t="n"/>
      <c r="H347" s="4" t="n"/>
      <c r="I347" s="5">
        <f>IF(E347="","",ROUND(E347*0.21,2))</f>
        <v/>
      </c>
      <c r="J347" s="5">
        <f>IF(F347="","",ROUND(F347*0.1,2))</f>
        <v/>
      </c>
      <c r="K347" s="5">
        <f>IF(G347="","",ROUND(G347*0.04,2))</f>
        <v/>
      </c>
      <c r="L347" s="4" t="n"/>
      <c r="M347" s="4" t="n"/>
      <c r="N347" s="5">
        <f>IF(A347="","",SUM(E347:K347)-N(L347))</f>
        <v/>
      </c>
      <c r="O347">
        <f>IF(OR(A347="",M347=""),"",IF(ABS(M347-N347)&lt;=0.02,"OK","REVISAR"))</f>
        <v/>
      </c>
      <c r="P347">
        <f>IF(D347="","",IF(LEN(TRIM(D347))&lt;&gt;9,"REVISAR",IFERROR(IF(OR(ISNUMBER(VALUE(LEFT(UPPER(TRIM(D347)),1))),LEFT(UPPER(TRIM(D347)),1)="X",LEFT(UPPER(TRIM(D347)),1)="Y",LEFT(UPPER(TRIM(D347)),1)="Z"),IF(MID("TRWAGMYFPDXBNJZSQVHLCKE",MOD(VALUE(SUBSTITUTE(SUBSTITUTE(SUBSTITUTE(LEFT(UPPER(TRIM(D347)),8),"X","0"),"Y","1"),"Z","2")),23)+1,1)=RIGHT(UPPER(TRIM(D347)),1),"OK","REVISAR"),IF(OR(RIGHT(UPPER(TRIM(D347)),1)=TEXT(MOD(10-MOD((VALUE(MID(UPPER(TRIM(D347)),3,1))+VALUE(MID(UPPER(TRIM(D347)),5,1))+VALUE(MID(UPPER(TRIM(D347)),7,1)))+(INT(2*VALUE(MID(UPPER(TRIM(D347)),2,1))/10)+MOD(2*VALUE(MID(UPPER(TRIM(D347)),2,1)),10))+(INT(2*VALUE(MID(UPPER(TRIM(D347)),4,1))/10)+MOD(2*VALUE(MID(UPPER(TRIM(D347)),4,1)),10))+(INT(2*VALUE(MID(UPPER(TRIM(D347)),6,1))/10)+MOD(2*VALUE(MID(UPPER(TRIM(D347)),6,1)),10))+(INT(2*VALUE(MID(UPPER(TRIM(D347)),8,1))/10)+MOD(2*VALUE(MID(UPPER(TRIM(D347)),8,1)),10)),10),10),"0"),RIGHT(UPPER(TRIM(D347)),1)=MID("JABCDEFGHI",MOD(10-MOD((VALUE(MID(UPPER(TRIM(D347)),3,1))+VALUE(MID(UPPER(TRIM(D347)),5,1))+VALUE(MID(UPPER(TRIM(D347)),7,1)))+(INT(2*VALUE(MID(UPPER(TRIM(D347)),2,1))/10)+MOD(2*VALUE(MID(UPPER(TRIM(D347)),2,1)),10))+(INT(2*VALUE(MID(UPPER(TRIM(D347)),4,1))/10)+MOD(2*VALUE(MID(UPPER(TRIM(D347)),4,1)),10))+(INT(2*VALUE(MID(UPPER(TRIM(D347)),6,1))/10)+MOD(2*VALUE(MID(UPPER(TRIM(D347)),6,1)),10))+(INT(2*VALUE(MID(UPPER(TRIM(D347)),8,1))/10)+MOD(2*VALUE(MID(UPPER(TRIM(D347)),8,1)),10)),10),10)+1,1)),"OK","REVISAR")),"REVISAR")))</f>
        <v/>
      </c>
      <c r="Q347">
        <f>IF(B347="","",IF(COUNTIFS($B$2:$B$501,B347,$D$2:$D$501,D347)&gt;1,"DUPLICADA",""))</f>
        <v/>
      </c>
      <c r="R347">
        <f>IF(A347="","",ROUNDUP(MONTH(A347)/3,0))</f>
        <v/>
      </c>
      <c r="S347" s="3" t="n"/>
    </row>
    <row r="348">
      <c r="A348" s="2" t="n"/>
      <c r="B348" s="3" t="n"/>
      <c r="C348" s="3" t="n"/>
      <c r="D348" s="3" t="n"/>
      <c r="E348" s="4" t="n"/>
      <c r="F348" s="4" t="n"/>
      <c r="G348" s="4" t="n"/>
      <c r="H348" s="4" t="n"/>
      <c r="I348" s="5">
        <f>IF(E348="","",ROUND(E348*0.21,2))</f>
        <v/>
      </c>
      <c r="J348" s="5">
        <f>IF(F348="","",ROUND(F348*0.1,2))</f>
        <v/>
      </c>
      <c r="K348" s="5">
        <f>IF(G348="","",ROUND(G348*0.04,2))</f>
        <v/>
      </c>
      <c r="L348" s="4" t="n"/>
      <c r="M348" s="4" t="n"/>
      <c r="N348" s="5">
        <f>IF(A348="","",SUM(E348:K348)-N(L348))</f>
        <v/>
      </c>
      <c r="O348">
        <f>IF(OR(A348="",M348=""),"",IF(ABS(M348-N348)&lt;=0.02,"OK","REVISAR"))</f>
        <v/>
      </c>
      <c r="P348">
        <f>IF(D348="","",IF(LEN(TRIM(D348))&lt;&gt;9,"REVISAR",IFERROR(IF(OR(ISNUMBER(VALUE(LEFT(UPPER(TRIM(D348)),1))),LEFT(UPPER(TRIM(D348)),1)="X",LEFT(UPPER(TRIM(D348)),1)="Y",LEFT(UPPER(TRIM(D348)),1)="Z"),IF(MID("TRWAGMYFPDXBNJZSQVHLCKE",MOD(VALUE(SUBSTITUTE(SUBSTITUTE(SUBSTITUTE(LEFT(UPPER(TRIM(D348)),8),"X","0"),"Y","1"),"Z","2")),23)+1,1)=RIGHT(UPPER(TRIM(D348)),1),"OK","REVISAR"),IF(OR(RIGHT(UPPER(TRIM(D348)),1)=TEXT(MOD(10-MOD((VALUE(MID(UPPER(TRIM(D348)),3,1))+VALUE(MID(UPPER(TRIM(D348)),5,1))+VALUE(MID(UPPER(TRIM(D348)),7,1)))+(INT(2*VALUE(MID(UPPER(TRIM(D348)),2,1))/10)+MOD(2*VALUE(MID(UPPER(TRIM(D348)),2,1)),10))+(INT(2*VALUE(MID(UPPER(TRIM(D348)),4,1))/10)+MOD(2*VALUE(MID(UPPER(TRIM(D348)),4,1)),10))+(INT(2*VALUE(MID(UPPER(TRIM(D348)),6,1))/10)+MOD(2*VALUE(MID(UPPER(TRIM(D348)),6,1)),10))+(INT(2*VALUE(MID(UPPER(TRIM(D348)),8,1))/10)+MOD(2*VALUE(MID(UPPER(TRIM(D348)),8,1)),10)),10),10),"0"),RIGHT(UPPER(TRIM(D348)),1)=MID("JABCDEFGHI",MOD(10-MOD((VALUE(MID(UPPER(TRIM(D348)),3,1))+VALUE(MID(UPPER(TRIM(D348)),5,1))+VALUE(MID(UPPER(TRIM(D348)),7,1)))+(INT(2*VALUE(MID(UPPER(TRIM(D348)),2,1))/10)+MOD(2*VALUE(MID(UPPER(TRIM(D348)),2,1)),10))+(INT(2*VALUE(MID(UPPER(TRIM(D348)),4,1))/10)+MOD(2*VALUE(MID(UPPER(TRIM(D348)),4,1)),10))+(INT(2*VALUE(MID(UPPER(TRIM(D348)),6,1))/10)+MOD(2*VALUE(MID(UPPER(TRIM(D348)),6,1)),10))+(INT(2*VALUE(MID(UPPER(TRIM(D348)),8,1))/10)+MOD(2*VALUE(MID(UPPER(TRIM(D348)),8,1)),10)),10),10)+1,1)),"OK","REVISAR")),"REVISAR")))</f>
        <v/>
      </c>
      <c r="Q348">
        <f>IF(B348="","",IF(COUNTIFS($B$2:$B$501,B348,$D$2:$D$501,D348)&gt;1,"DUPLICADA",""))</f>
        <v/>
      </c>
      <c r="R348">
        <f>IF(A348="","",ROUNDUP(MONTH(A348)/3,0))</f>
        <v/>
      </c>
      <c r="S348" s="3" t="n"/>
    </row>
    <row r="349">
      <c r="A349" s="2" t="n"/>
      <c r="B349" s="3" t="n"/>
      <c r="C349" s="3" t="n"/>
      <c r="D349" s="3" t="n"/>
      <c r="E349" s="4" t="n"/>
      <c r="F349" s="4" t="n"/>
      <c r="G349" s="4" t="n"/>
      <c r="H349" s="4" t="n"/>
      <c r="I349" s="5">
        <f>IF(E349="","",ROUND(E349*0.21,2))</f>
        <v/>
      </c>
      <c r="J349" s="5">
        <f>IF(F349="","",ROUND(F349*0.1,2))</f>
        <v/>
      </c>
      <c r="K349" s="5">
        <f>IF(G349="","",ROUND(G349*0.04,2))</f>
        <v/>
      </c>
      <c r="L349" s="4" t="n"/>
      <c r="M349" s="4" t="n"/>
      <c r="N349" s="5">
        <f>IF(A349="","",SUM(E349:K349)-N(L349))</f>
        <v/>
      </c>
      <c r="O349">
        <f>IF(OR(A349="",M349=""),"",IF(ABS(M349-N349)&lt;=0.02,"OK","REVISAR"))</f>
        <v/>
      </c>
      <c r="P349">
        <f>IF(D349="","",IF(LEN(TRIM(D349))&lt;&gt;9,"REVISAR",IFERROR(IF(OR(ISNUMBER(VALUE(LEFT(UPPER(TRIM(D349)),1))),LEFT(UPPER(TRIM(D349)),1)="X",LEFT(UPPER(TRIM(D349)),1)="Y",LEFT(UPPER(TRIM(D349)),1)="Z"),IF(MID("TRWAGMYFPDXBNJZSQVHLCKE",MOD(VALUE(SUBSTITUTE(SUBSTITUTE(SUBSTITUTE(LEFT(UPPER(TRIM(D349)),8),"X","0"),"Y","1"),"Z","2")),23)+1,1)=RIGHT(UPPER(TRIM(D349)),1),"OK","REVISAR"),IF(OR(RIGHT(UPPER(TRIM(D349)),1)=TEXT(MOD(10-MOD((VALUE(MID(UPPER(TRIM(D349)),3,1))+VALUE(MID(UPPER(TRIM(D349)),5,1))+VALUE(MID(UPPER(TRIM(D349)),7,1)))+(INT(2*VALUE(MID(UPPER(TRIM(D349)),2,1))/10)+MOD(2*VALUE(MID(UPPER(TRIM(D349)),2,1)),10))+(INT(2*VALUE(MID(UPPER(TRIM(D349)),4,1))/10)+MOD(2*VALUE(MID(UPPER(TRIM(D349)),4,1)),10))+(INT(2*VALUE(MID(UPPER(TRIM(D349)),6,1))/10)+MOD(2*VALUE(MID(UPPER(TRIM(D349)),6,1)),10))+(INT(2*VALUE(MID(UPPER(TRIM(D349)),8,1))/10)+MOD(2*VALUE(MID(UPPER(TRIM(D349)),8,1)),10)),10),10),"0"),RIGHT(UPPER(TRIM(D349)),1)=MID("JABCDEFGHI",MOD(10-MOD((VALUE(MID(UPPER(TRIM(D349)),3,1))+VALUE(MID(UPPER(TRIM(D349)),5,1))+VALUE(MID(UPPER(TRIM(D349)),7,1)))+(INT(2*VALUE(MID(UPPER(TRIM(D349)),2,1))/10)+MOD(2*VALUE(MID(UPPER(TRIM(D349)),2,1)),10))+(INT(2*VALUE(MID(UPPER(TRIM(D349)),4,1))/10)+MOD(2*VALUE(MID(UPPER(TRIM(D349)),4,1)),10))+(INT(2*VALUE(MID(UPPER(TRIM(D349)),6,1))/10)+MOD(2*VALUE(MID(UPPER(TRIM(D349)),6,1)),10))+(INT(2*VALUE(MID(UPPER(TRIM(D349)),8,1))/10)+MOD(2*VALUE(MID(UPPER(TRIM(D349)),8,1)),10)),10),10)+1,1)),"OK","REVISAR")),"REVISAR")))</f>
        <v/>
      </c>
      <c r="Q349">
        <f>IF(B349="","",IF(COUNTIFS($B$2:$B$501,B349,$D$2:$D$501,D349)&gt;1,"DUPLICADA",""))</f>
        <v/>
      </c>
      <c r="R349">
        <f>IF(A349="","",ROUNDUP(MONTH(A349)/3,0))</f>
        <v/>
      </c>
      <c r="S349" s="3" t="n"/>
    </row>
    <row r="350">
      <c r="A350" s="2" t="n"/>
      <c r="B350" s="3" t="n"/>
      <c r="C350" s="3" t="n"/>
      <c r="D350" s="3" t="n"/>
      <c r="E350" s="4" t="n"/>
      <c r="F350" s="4" t="n"/>
      <c r="G350" s="4" t="n"/>
      <c r="H350" s="4" t="n"/>
      <c r="I350" s="5">
        <f>IF(E350="","",ROUND(E350*0.21,2))</f>
        <v/>
      </c>
      <c r="J350" s="5">
        <f>IF(F350="","",ROUND(F350*0.1,2))</f>
        <v/>
      </c>
      <c r="K350" s="5">
        <f>IF(G350="","",ROUND(G350*0.04,2))</f>
        <v/>
      </c>
      <c r="L350" s="4" t="n"/>
      <c r="M350" s="4" t="n"/>
      <c r="N350" s="5">
        <f>IF(A350="","",SUM(E350:K350)-N(L350))</f>
        <v/>
      </c>
      <c r="O350">
        <f>IF(OR(A350="",M350=""),"",IF(ABS(M350-N350)&lt;=0.02,"OK","REVISAR"))</f>
        <v/>
      </c>
      <c r="P350">
        <f>IF(D350="","",IF(LEN(TRIM(D350))&lt;&gt;9,"REVISAR",IFERROR(IF(OR(ISNUMBER(VALUE(LEFT(UPPER(TRIM(D350)),1))),LEFT(UPPER(TRIM(D350)),1)="X",LEFT(UPPER(TRIM(D350)),1)="Y",LEFT(UPPER(TRIM(D350)),1)="Z"),IF(MID("TRWAGMYFPDXBNJZSQVHLCKE",MOD(VALUE(SUBSTITUTE(SUBSTITUTE(SUBSTITUTE(LEFT(UPPER(TRIM(D350)),8),"X","0"),"Y","1"),"Z","2")),23)+1,1)=RIGHT(UPPER(TRIM(D350)),1),"OK","REVISAR"),IF(OR(RIGHT(UPPER(TRIM(D350)),1)=TEXT(MOD(10-MOD((VALUE(MID(UPPER(TRIM(D350)),3,1))+VALUE(MID(UPPER(TRIM(D350)),5,1))+VALUE(MID(UPPER(TRIM(D350)),7,1)))+(INT(2*VALUE(MID(UPPER(TRIM(D350)),2,1))/10)+MOD(2*VALUE(MID(UPPER(TRIM(D350)),2,1)),10))+(INT(2*VALUE(MID(UPPER(TRIM(D350)),4,1))/10)+MOD(2*VALUE(MID(UPPER(TRIM(D350)),4,1)),10))+(INT(2*VALUE(MID(UPPER(TRIM(D350)),6,1))/10)+MOD(2*VALUE(MID(UPPER(TRIM(D350)),6,1)),10))+(INT(2*VALUE(MID(UPPER(TRIM(D350)),8,1))/10)+MOD(2*VALUE(MID(UPPER(TRIM(D350)),8,1)),10)),10),10),"0"),RIGHT(UPPER(TRIM(D350)),1)=MID("JABCDEFGHI",MOD(10-MOD((VALUE(MID(UPPER(TRIM(D350)),3,1))+VALUE(MID(UPPER(TRIM(D350)),5,1))+VALUE(MID(UPPER(TRIM(D350)),7,1)))+(INT(2*VALUE(MID(UPPER(TRIM(D350)),2,1))/10)+MOD(2*VALUE(MID(UPPER(TRIM(D350)),2,1)),10))+(INT(2*VALUE(MID(UPPER(TRIM(D350)),4,1))/10)+MOD(2*VALUE(MID(UPPER(TRIM(D350)),4,1)),10))+(INT(2*VALUE(MID(UPPER(TRIM(D350)),6,1))/10)+MOD(2*VALUE(MID(UPPER(TRIM(D350)),6,1)),10))+(INT(2*VALUE(MID(UPPER(TRIM(D350)),8,1))/10)+MOD(2*VALUE(MID(UPPER(TRIM(D350)),8,1)),10)),10),10)+1,1)),"OK","REVISAR")),"REVISAR")))</f>
        <v/>
      </c>
      <c r="Q350">
        <f>IF(B350="","",IF(COUNTIFS($B$2:$B$501,B350,$D$2:$D$501,D350)&gt;1,"DUPLICADA",""))</f>
        <v/>
      </c>
      <c r="R350">
        <f>IF(A350="","",ROUNDUP(MONTH(A350)/3,0))</f>
        <v/>
      </c>
      <c r="S350" s="3" t="n"/>
    </row>
    <row r="351">
      <c r="A351" s="2" t="n"/>
      <c r="B351" s="3" t="n"/>
      <c r="C351" s="3" t="n"/>
      <c r="D351" s="3" t="n"/>
      <c r="E351" s="4" t="n"/>
      <c r="F351" s="4" t="n"/>
      <c r="G351" s="4" t="n"/>
      <c r="H351" s="4" t="n"/>
      <c r="I351" s="5">
        <f>IF(E351="","",ROUND(E351*0.21,2))</f>
        <v/>
      </c>
      <c r="J351" s="5">
        <f>IF(F351="","",ROUND(F351*0.1,2))</f>
        <v/>
      </c>
      <c r="K351" s="5">
        <f>IF(G351="","",ROUND(G351*0.04,2))</f>
        <v/>
      </c>
      <c r="L351" s="4" t="n"/>
      <c r="M351" s="4" t="n"/>
      <c r="N351" s="5">
        <f>IF(A351="","",SUM(E351:K351)-N(L351))</f>
        <v/>
      </c>
      <c r="O351">
        <f>IF(OR(A351="",M351=""),"",IF(ABS(M351-N351)&lt;=0.02,"OK","REVISAR"))</f>
        <v/>
      </c>
      <c r="P351">
        <f>IF(D351="","",IF(LEN(TRIM(D351))&lt;&gt;9,"REVISAR",IFERROR(IF(OR(ISNUMBER(VALUE(LEFT(UPPER(TRIM(D351)),1))),LEFT(UPPER(TRIM(D351)),1)="X",LEFT(UPPER(TRIM(D351)),1)="Y",LEFT(UPPER(TRIM(D351)),1)="Z"),IF(MID("TRWAGMYFPDXBNJZSQVHLCKE",MOD(VALUE(SUBSTITUTE(SUBSTITUTE(SUBSTITUTE(LEFT(UPPER(TRIM(D351)),8),"X","0"),"Y","1"),"Z","2")),23)+1,1)=RIGHT(UPPER(TRIM(D351)),1),"OK","REVISAR"),IF(OR(RIGHT(UPPER(TRIM(D351)),1)=TEXT(MOD(10-MOD((VALUE(MID(UPPER(TRIM(D351)),3,1))+VALUE(MID(UPPER(TRIM(D351)),5,1))+VALUE(MID(UPPER(TRIM(D351)),7,1)))+(INT(2*VALUE(MID(UPPER(TRIM(D351)),2,1))/10)+MOD(2*VALUE(MID(UPPER(TRIM(D351)),2,1)),10))+(INT(2*VALUE(MID(UPPER(TRIM(D351)),4,1))/10)+MOD(2*VALUE(MID(UPPER(TRIM(D351)),4,1)),10))+(INT(2*VALUE(MID(UPPER(TRIM(D351)),6,1))/10)+MOD(2*VALUE(MID(UPPER(TRIM(D351)),6,1)),10))+(INT(2*VALUE(MID(UPPER(TRIM(D351)),8,1))/10)+MOD(2*VALUE(MID(UPPER(TRIM(D351)),8,1)),10)),10),10),"0"),RIGHT(UPPER(TRIM(D351)),1)=MID("JABCDEFGHI",MOD(10-MOD((VALUE(MID(UPPER(TRIM(D351)),3,1))+VALUE(MID(UPPER(TRIM(D351)),5,1))+VALUE(MID(UPPER(TRIM(D351)),7,1)))+(INT(2*VALUE(MID(UPPER(TRIM(D351)),2,1))/10)+MOD(2*VALUE(MID(UPPER(TRIM(D351)),2,1)),10))+(INT(2*VALUE(MID(UPPER(TRIM(D351)),4,1))/10)+MOD(2*VALUE(MID(UPPER(TRIM(D351)),4,1)),10))+(INT(2*VALUE(MID(UPPER(TRIM(D351)),6,1))/10)+MOD(2*VALUE(MID(UPPER(TRIM(D351)),6,1)),10))+(INT(2*VALUE(MID(UPPER(TRIM(D351)),8,1))/10)+MOD(2*VALUE(MID(UPPER(TRIM(D351)),8,1)),10)),10),10)+1,1)),"OK","REVISAR")),"REVISAR")))</f>
        <v/>
      </c>
      <c r="Q351">
        <f>IF(B351="","",IF(COUNTIFS($B$2:$B$501,B351,$D$2:$D$501,D351)&gt;1,"DUPLICADA",""))</f>
        <v/>
      </c>
      <c r="R351">
        <f>IF(A351="","",ROUNDUP(MONTH(A351)/3,0))</f>
        <v/>
      </c>
      <c r="S351" s="3" t="n"/>
    </row>
    <row r="352">
      <c r="A352" s="2" t="n"/>
      <c r="B352" s="3" t="n"/>
      <c r="C352" s="3" t="n"/>
      <c r="D352" s="3" t="n"/>
      <c r="E352" s="4" t="n"/>
      <c r="F352" s="4" t="n"/>
      <c r="G352" s="4" t="n"/>
      <c r="H352" s="4" t="n"/>
      <c r="I352" s="5">
        <f>IF(E352="","",ROUND(E352*0.21,2))</f>
        <v/>
      </c>
      <c r="J352" s="5">
        <f>IF(F352="","",ROUND(F352*0.1,2))</f>
        <v/>
      </c>
      <c r="K352" s="5">
        <f>IF(G352="","",ROUND(G352*0.04,2))</f>
        <v/>
      </c>
      <c r="L352" s="4" t="n"/>
      <c r="M352" s="4" t="n"/>
      <c r="N352" s="5">
        <f>IF(A352="","",SUM(E352:K352)-N(L352))</f>
        <v/>
      </c>
      <c r="O352">
        <f>IF(OR(A352="",M352=""),"",IF(ABS(M352-N352)&lt;=0.02,"OK","REVISAR"))</f>
        <v/>
      </c>
      <c r="P352">
        <f>IF(D352="","",IF(LEN(TRIM(D352))&lt;&gt;9,"REVISAR",IFERROR(IF(OR(ISNUMBER(VALUE(LEFT(UPPER(TRIM(D352)),1))),LEFT(UPPER(TRIM(D352)),1)="X",LEFT(UPPER(TRIM(D352)),1)="Y",LEFT(UPPER(TRIM(D352)),1)="Z"),IF(MID("TRWAGMYFPDXBNJZSQVHLCKE",MOD(VALUE(SUBSTITUTE(SUBSTITUTE(SUBSTITUTE(LEFT(UPPER(TRIM(D352)),8),"X","0"),"Y","1"),"Z","2")),23)+1,1)=RIGHT(UPPER(TRIM(D352)),1),"OK","REVISAR"),IF(OR(RIGHT(UPPER(TRIM(D352)),1)=TEXT(MOD(10-MOD((VALUE(MID(UPPER(TRIM(D352)),3,1))+VALUE(MID(UPPER(TRIM(D352)),5,1))+VALUE(MID(UPPER(TRIM(D352)),7,1)))+(INT(2*VALUE(MID(UPPER(TRIM(D352)),2,1))/10)+MOD(2*VALUE(MID(UPPER(TRIM(D352)),2,1)),10))+(INT(2*VALUE(MID(UPPER(TRIM(D352)),4,1))/10)+MOD(2*VALUE(MID(UPPER(TRIM(D352)),4,1)),10))+(INT(2*VALUE(MID(UPPER(TRIM(D352)),6,1))/10)+MOD(2*VALUE(MID(UPPER(TRIM(D352)),6,1)),10))+(INT(2*VALUE(MID(UPPER(TRIM(D352)),8,1))/10)+MOD(2*VALUE(MID(UPPER(TRIM(D352)),8,1)),10)),10),10),"0"),RIGHT(UPPER(TRIM(D352)),1)=MID("JABCDEFGHI",MOD(10-MOD((VALUE(MID(UPPER(TRIM(D352)),3,1))+VALUE(MID(UPPER(TRIM(D352)),5,1))+VALUE(MID(UPPER(TRIM(D352)),7,1)))+(INT(2*VALUE(MID(UPPER(TRIM(D352)),2,1))/10)+MOD(2*VALUE(MID(UPPER(TRIM(D352)),2,1)),10))+(INT(2*VALUE(MID(UPPER(TRIM(D352)),4,1))/10)+MOD(2*VALUE(MID(UPPER(TRIM(D352)),4,1)),10))+(INT(2*VALUE(MID(UPPER(TRIM(D352)),6,1))/10)+MOD(2*VALUE(MID(UPPER(TRIM(D352)),6,1)),10))+(INT(2*VALUE(MID(UPPER(TRIM(D352)),8,1))/10)+MOD(2*VALUE(MID(UPPER(TRIM(D352)),8,1)),10)),10),10)+1,1)),"OK","REVISAR")),"REVISAR")))</f>
        <v/>
      </c>
      <c r="Q352">
        <f>IF(B352="","",IF(COUNTIFS($B$2:$B$501,B352,$D$2:$D$501,D352)&gt;1,"DUPLICADA",""))</f>
        <v/>
      </c>
      <c r="R352">
        <f>IF(A352="","",ROUNDUP(MONTH(A352)/3,0))</f>
        <v/>
      </c>
      <c r="S352" s="3" t="n"/>
    </row>
    <row r="353">
      <c r="A353" s="2" t="n"/>
      <c r="B353" s="3" t="n"/>
      <c r="C353" s="3" t="n"/>
      <c r="D353" s="3" t="n"/>
      <c r="E353" s="4" t="n"/>
      <c r="F353" s="4" t="n"/>
      <c r="G353" s="4" t="n"/>
      <c r="H353" s="4" t="n"/>
      <c r="I353" s="5">
        <f>IF(E353="","",ROUND(E353*0.21,2))</f>
        <v/>
      </c>
      <c r="J353" s="5">
        <f>IF(F353="","",ROUND(F353*0.1,2))</f>
        <v/>
      </c>
      <c r="K353" s="5">
        <f>IF(G353="","",ROUND(G353*0.04,2))</f>
        <v/>
      </c>
      <c r="L353" s="4" t="n"/>
      <c r="M353" s="4" t="n"/>
      <c r="N353" s="5">
        <f>IF(A353="","",SUM(E353:K353)-N(L353))</f>
        <v/>
      </c>
      <c r="O353">
        <f>IF(OR(A353="",M353=""),"",IF(ABS(M353-N353)&lt;=0.02,"OK","REVISAR"))</f>
        <v/>
      </c>
      <c r="P353">
        <f>IF(D353="","",IF(LEN(TRIM(D353))&lt;&gt;9,"REVISAR",IFERROR(IF(OR(ISNUMBER(VALUE(LEFT(UPPER(TRIM(D353)),1))),LEFT(UPPER(TRIM(D353)),1)="X",LEFT(UPPER(TRIM(D353)),1)="Y",LEFT(UPPER(TRIM(D353)),1)="Z"),IF(MID("TRWAGMYFPDXBNJZSQVHLCKE",MOD(VALUE(SUBSTITUTE(SUBSTITUTE(SUBSTITUTE(LEFT(UPPER(TRIM(D353)),8),"X","0"),"Y","1"),"Z","2")),23)+1,1)=RIGHT(UPPER(TRIM(D353)),1),"OK","REVISAR"),IF(OR(RIGHT(UPPER(TRIM(D353)),1)=TEXT(MOD(10-MOD((VALUE(MID(UPPER(TRIM(D353)),3,1))+VALUE(MID(UPPER(TRIM(D353)),5,1))+VALUE(MID(UPPER(TRIM(D353)),7,1)))+(INT(2*VALUE(MID(UPPER(TRIM(D353)),2,1))/10)+MOD(2*VALUE(MID(UPPER(TRIM(D353)),2,1)),10))+(INT(2*VALUE(MID(UPPER(TRIM(D353)),4,1))/10)+MOD(2*VALUE(MID(UPPER(TRIM(D353)),4,1)),10))+(INT(2*VALUE(MID(UPPER(TRIM(D353)),6,1))/10)+MOD(2*VALUE(MID(UPPER(TRIM(D353)),6,1)),10))+(INT(2*VALUE(MID(UPPER(TRIM(D353)),8,1))/10)+MOD(2*VALUE(MID(UPPER(TRIM(D353)),8,1)),10)),10),10),"0"),RIGHT(UPPER(TRIM(D353)),1)=MID("JABCDEFGHI",MOD(10-MOD((VALUE(MID(UPPER(TRIM(D353)),3,1))+VALUE(MID(UPPER(TRIM(D353)),5,1))+VALUE(MID(UPPER(TRIM(D353)),7,1)))+(INT(2*VALUE(MID(UPPER(TRIM(D353)),2,1))/10)+MOD(2*VALUE(MID(UPPER(TRIM(D353)),2,1)),10))+(INT(2*VALUE(MID(UPPER(TRIM(D353)),4,1))/10)+MOD(2*VALUE(MID(UPPER(TRIM(D353)),4,1)),10))+(INT(2*VALUE(MID(UPPER(TRIM(D353)),6,1))/10)+MOD(2*VALUE(MID(UPPER(TRIM(D353)),6,1)),10))+(INT(2*VALUE(MID(UPPER(TRIM(D353)),8,1))/10)+MOD(2*VALUE(MID(UPPER(TRIM(D353)),8,1)),10)),10),10)+1,1)),"OK","REVISAR")),"REVISAR")))</f>
        <v/>
      </c>
      <c r="Q353">
        <f>IF(B353="","",IF(COUNTIFS($B$2:$B$501,B353,$D$2:$D$501,D353)&gt;1,"DUPLICADA",""))</f>
        <v/>
      </c>
      <c r="R353">
        <f>IF(A353="","",ROUNDUP(MONTH(A353)/3,0))</f>
        <v/>
      </c>
      <c r="S353" s="3" t="n"/>
    </row>
    <row r="354">
      <c r="A354" s="2" t="n"/>
      <c r="B354" s="3" t="n"/>
      <c r="C354" s="3" t="n"/>
      <c r="D354" s="3" t="n"/>
      <c r="E354" s="4" t="n"/>
      <c r="F354" s="4" t="n"/>
      <c r="G354" s="4" t="n"/>
      <c r="H354" s="4" t="n"/>
      <c r="I354" s="5">
        <f>IF(E354="","",ROUND(E354*0.21,2))</f>
        <v/>
      </c>
      <c r="J354" s="5">
        <f>IF(F354="","",ROUND(F354*0.1,2))</f>
        <v/>
      </c>
      <c r="K354" s="5">
        <f>IF(G354="","",ROUND(G354*0.04,2))</f>
        <v/>
      </c>
      <c r="L354" s="4" t="n"/>
      <c r="M354" s="4" t="n"/>
      <c r="N354" s="5">
        <f>IF(A354="","",SUM(E354:K354)-N(L354))</f>
        <v/>
      </c>
      <c r="O354">
        <f>IF(OR(A354="",M354=""),"",IF(ABS(M354-N354)&lt;=0.02,"OK","REVISAR"))</f>
        <v/>
      </c>
      <c r="P354">
        <f>IF(D354="","",IF(LEN(TRIM(D354))&lt;&gt;9,"REVISAR",IFERROR(IF(OR(ISNUMBER(VALUE(LEFT(UPPER(TRIM(D354)),1))),LEFT(UPPER(TRIM(D354)),1)="X",LEFT(UPPER(TRIM(D354)),1)="Y",LEFT(UPPER(TRIM(D354)),1)="Z"),IF(MID("TRWAGMYFPDXBNJZSQVHLCKE",MOD(VALUE(SUBSTITUTE(SUBSTITUTE(SUBSTITUTE(LEFT(UPPER(TRIM(D354)),8),"X","0"),"Y","1"),"Z","2")),23)+1,1)=RIGHT(UPPER(TRIM(D354)),1),"OK","REVISAR"),IF(OR(RIGHT(UPPER(TRIM(D354)),1)=TEXT(MOD(10-MOD((VALUE(MID(UPPER(TRIM(D354)),3,1))+VALUE(MID(UPPER(TRIM(D354)),5,1))+VALUE(MID(UPPER(TRIM(D354)),7,1)))+(INT(2*VALUE(MID(UPPER(TRIM(D354)),2,1))/10)+MOD(2*VALUE(MID(UPPER(TRIM(D354)),2,1)),10))+(INT(2*VALUE(MID(UPPER(TRIM(D354)),4,1))/10)+MOD(2*VALUE(MID(UPPER(TRIM(D354)),4,1)),10))+(INT(2*VALUE(MID(UPPER(TRIM(D354)),6,1))/10)+MOD(2*VALUE(MID(UPPER(TRIM(D354)),6,1)),10))+(INT(2*VALUE(MID(UPPER(TRIM(D354)),8,1))/10)+MOD(2*VALUE(MID(UPPER(TRIM(D354)),8,1)),10)),10),10),"0"),RIGHT(UPPER(TRIM(D354)),1)=MID("JABCDEFGHI",MOD(10-MOD((VALUE(MID(UPPER(TRIM(D354)),3,1))+VALUE(MID(UPPER(TRIM(D354)),5,1))+VALUE(MID(UPPER(TRIM(D354)),7,1)))+(INT(2*VALUE(MID(UPPER(TRIM(D354)),2,1))/10)+MOD(2*VALUE(MID(UPPER(TRIM(D354)),2,1)),10))+(INT(2*VALUE(MID(UPPER(TRIM(D354)),4,1))/10)+MOD(2*VALUE(MID(UPPER(TRIM(D354)),4,1)),10))+(INT(2*VALUE(MID(UPPER(TRIM(D354)),6,1))/10)+MOD(2*VALUE(MID(UPPER(TRIM(D354)),6,1)),10))+(INT(2*VALUE(MID(UPPER(TRIM(D354)),8,1))/10)+MOD(2*VALUE(MID(UPPER(TRIM(D354)),8,1)),10)),10),10)+1,1)),"OK","REVISAR")),"REVISAR")))</f>
        <v/>
      </c>
      <c r="Q354">
        <f>IF(B354="","",IF(COUNTIFS($B$2:$B$501,B354,$D$2:$D$501,D354)&gt;1,"DUPLICADA",""))</f>
        <v/>
      </c>
      <c r="R354">
        <f>IF(A354="","",ROUNDUP(MONTH(A354)/3,0))</f>
        <v/>
      </c>
      <c r="S354" s="3" t="n"/>
    </row>
    <row r="355">
      <c r="A355" s="2" t="n"/>
      <c r="B355" s="3" t="n"/>
      <c r="C355" s="3" t="n"/>
      <c r="D355" s="3" t="n"/>
      <c r="E355" s="4" t="n"/>
      <c r="F355" s="4" t="n"/>
      <c r="G355" s="4" t="n"/>
      <c r="H355" s="4" t="n"/>
      <c r="I355" s="5">
        <f>IF(E355="","",ROUND(E355*0.21,2))</f>
        <v/>
      </c>
      <c r="J355" s="5">
        <f>IF(F355="","",ROUND(F355*0.1,2))</f>
        <v/>
      </c>
      <c r="K355" s="5">
        <f>IF(G355="","",ROUND(G355*0.04,2))</f>
        <v/>
      </c>
      <c r="L355" s="4" t="n"/>
      <c r="M355" s="4" t="n"/>
      <c r="N355" s="5">
        <f>IF(A355="","",SUM(E355:K355)-N(L355))</f>
        <v/>
      </c>
      <c r="O355">
        <f>IF(OR(A355="",M355=""),"",IF(ABS(M355-N355)&lt;=0.02,"OK","REVISAR"))</f>
        <v/>
      </c>
      <c r="P355">
        <f>IF(D355="","",IF(LEN(TRIM(D355))&lt;&gt;9,"REVISAR",IFERROR(IF(OR(ISNUMBER(VALUE(LEFT(UPPER(TRIM(D355)),1))),LEFT(UPPER(TRIM(D355)),1)="X",LEFT(UPPER(TRIM(D355)),1)="Y",LEFT(UPPER(TRIM(D355)),1)="Z"),IF(MID("TRWAGMYFPDXBNJZSQVHLCKE",MOD(VALUE(SUBSTITUTE(SUBSTITUTE(SUBSTITUTE(LEFT(UPPER(TRIM(D355)),8),"X","0"),"Y","1"),"Z","2")),23)+1,1)=RIGHT(UPPER(TRIM(D355)),1),"OK","REVISAR"),IF(OR(RIGHT(UPPER(TRIM(D355)),1)=TEXT(MOD(10-MOD((VALUE(MID(UPPER(TRIM(D355)),3,1))+VALUE(MID(UPPER(TRIM(D355)),5,1))+VALUE(MID(UPPER(TRIM(D355)),7,1)))+(INT(2*VALUE(MID(UPPER(TRIM(D355)),2,1))/10)+MOD(2*VALUE(MID(UPPER(TRIM(D355)),2,1)),10))+(INT(2*VALUE(MID(UPPER(TRIM(D355)),4,1))/10)+MOD(2*VALUE(MID(UPPER(TRIM(D355)),4,1)),10))+(INT(2*VALUE(MID(UPPER(TRIM(D355)),6,1))/10)+MOD(2*VALUE(MID(UPPER(TRIM(D355)),6,1)),10))+(INT(2*VALUE(MID(UPPER(TRIM(D355)),8,1))/10)+MOD(2*VALUE(MID(UPPER(TRIM(D355)),8,1)),10)),10),10),"0"),RIGHT(UPPER(TRIM(D355)),1)=MID("JABCDEFGHI",MOD(10-MOD((VALUE(MID(UPPER(TRIM(D355)),3,1))+VALUE(MID(UPPER(TRIM(D355)),5,1))+VALUE(MID(UPPER(TRIM(D355)),7,1)))+(INT(2*VALUE(MID(UPPER(TRIM(D355)),2,1))/10)+MOD(2*VALUE(MID(UPPER(TRIM(D355)),2,1)),10))+(INT(2*VALUE(MID(UPPER(TRIM(D355)),4,1))/10)+MOD(2*VALUE(MID(UPPER(TRIM(D355)),4,1)),10))+(INT(2*VALUE(MID(UPPER(TRIM(D355)),6,1))/10)+MOD(2*VALUE(MID(UPPER(TRIM(D355)),6,1)),10))+(INT(2*VALUE(MID(UPPER(TRIM(D355)),8,1))/10)+MOD(2*VALUE(MID(UPPER(TRIM(D355)),8,1)),10)),10),10)+1,1)),"OK","REVISAR")),"REVISAR")))</f>
        <v/>
      </c>
      <c r="Q355">
        <f>IF(B355="","",IF(COUNTIFS($B$2:$B$501,B355,$D$2:$D$501,D355)&gt;1,"DUPLICADA",""))</f>
        <v/>
      </c>
      <c r="R355">
        <f>IF(A355="","",ROUNDUP(MONTH(A355)/3,0))</f>
        <v/>
      </c>
      <c r="S355" s="3" t="n"/>
    </row>
    <row r="356">
      <c r="A356" s="2" t="n"/>
      <c r="B356" s="3" t="n"/>
      <c r="C356" s="3" t="n"/>
      <c r="D356" s="3" t="n"/>
      <c r="E356" s="4" t="n"/>
      <c r="F356" s="4" t="n"/>
      <c r="G356" s="4" t="n"/>
      <c r="H356" s="4" t="n"/>
      <c r="I356" s="5">
        <f>IF(E356="","",ROUND(E356*0.21,2))</f>
        <v/>
      </c>
      <c r="J356" s="5">
        <f>IF(F356="","",ROUND(F356*0.1,2))</f>
        <v/>
      </c>
      <c r="K356" s="5">
        <f>IF(G356="","",ROUND(G356*0.04,2))</f>
        <v/>
      </c>
      <c r="L356" s="4" t="n"/>
      <c r="M356" s="4" t="n"/>
      <c r="N356" s="5">
        <f>IF(A356="","",SUM(E356:K356)-N(L356))</f>
        <v/>
      </c>
      <c r="O356">
        <f>IF(OR(A356="",M356=""),"",IF(ABS(M356-N356)&lt;=0.02,"OK","REVISAR"))</f>
        <v/>
      </c>
      <c r="P356">
        <f>IF(D356="","",IF(LEN(TRIM(D356))&lt;&gt;9,"REVISAR",IFERROR(IF(OR(ISNUMBER(VALUE(LEFT(UPPER(TRIM(D356)),1))),LEFT(UPPER(TRIM(D356)),1)="X",LEFT(UPPER(TRIM(D356)),1)="Y",LEFT(UPPER(TRIM(D356)),1)="Z"),IF(MID("TRWAGMYFPDXBNJZSQVHLCKE",MOD(VALUE(SUBSTITUTE(SUBSTITUTE(SUBSTITUTE(LEFT(UPPER(TRIM(D356)),8),"X","0"),"Y","1"),"Z","2")),23)+1,1)=RIGHT(UPPER(TRIM(D356)),1),"OK","REVISAR"),IF(OR(RIGHT(UPPER(TRIM(D356)),1)=TEXT(MOD(10-MOD((VALUE(MID(UPPER(TRIM(D356)),3,1))+VALUE(MID(UPPER(TRIM(D356)),5,1))+VALUE(MID(UPPER(TRIM(D356)),7,1)))+(INT(2*VALUE(MID(UPPER(TRIM(D356)),2,1))/10)+MOD(2*VALUE(MID(UPPER(TRIM(D356)),2,1)),10))+(INT(2*VALUE(MID(UPPER(TRIM(D356)),4,1))/10)+MOD(2*VALUE(MID(UPPER(TRIM(D356)),4,1)),10))+(INT(2*VALUE(MID(UPPER(TRIM(D356)),6,1))/10)+MOD(2*VALUE(MID(UPPER(TRIM(D356)),6,1)),10))+(INT(2*VALUE(MID(UPPER(TRIM(D356)),8,1))/10)+MOD(2*VALUE(MID(UPPER(TRIM(D356)),8,1)),10)),10),10),"0"),RIGHT(UPPER(TRIM(D356)),1)=MID("JABCDEFGHI",MOD(10-MOD((VALUE(MID(UPPER(TRIM(D356)),3,1))+VALUE(MID(UPPER(TRIM(D356)),5,1))+VALUE(MID(UPPER(TRIM(D356)),7,1)))+(INT(2*VALUE(MID(UPPER(TRIM(D356)),2,1))/10)+MOD(2*VALUE(MID(UPPER(TRIM(D356)),2,1)),10))+(INT(2*VALUE(MID(UPPER(TRIM(D356)),4,1))/10)+MOD(2*VALUE(MID(UPPER(TRIM(D356)),4,1)),10))+(INT(2*VALUE(MID(UPPER(TRIM(D356)),6,1))/10)+MOD(2*VALUE(MID(UPPER(TRIM(D356)),6,1)),10))+(INT(2*VALUE(MID(UPPER(TRIM(D356)),8,1))/10)+MOD(2*VALUE(MID(UPPER(TRIM(D356)),8,1)),10)),10),10)+1,1)),"OK","REVISAR")),"REVISAR")))</f>
        <v/>
      </c>
      <c r="Q356">
        <f>IF(B356="","",IF(COUNTIFS($B$2:$B$501,B356,$D$2:$D$501,D356)&gt;1,"DUPLICADA",""))</f>
        <v/>
      </c>
      <c r="R356">
        <f>IF(A356="","",ROUNDUP(MONTH(A356)/3,0))</f>
        <v/>
      </c>
      <c r="S356" s="3" t="n"/>
    </row>
    <row r="357">
      <c r="A357" s="2" t="n"/>
      <c r="B357" s="3" t="n"/>
      <c r="C357" s="3" t="n"/>
      <c r="D357" s="3" t="n"/>
      <c r="E357" s="4" t="n"/>
      <c r="F357" s="4" t="n"/>
      <c r="G357" s="4" t="n"/>
      <c r="H357" s="4" t="n"/>
      <c r="I357" s="5">
        <f>IF(E357="","",ROUND(E357*0.21,2))</f>
        <v/>
      </c>
      <c r="J357" s="5">
        <f>IF(F357="","",ROUND(F357*0.1,2))</f>
        <v/>
      </c>
      <c r="K357" s="5">
        <f>IF(G357="","",ROUND(G357*0.04,2))</f>
        <v/>
      </c>
      <c r="L357" s="4" t="n"/>
      <c r="M357" s="4" t="n"/>
      <c r="N357" s="5">
        <f>IF(A357="","",SUM(E357:K357)-N(L357))</f>
        <v/>
      </c>
      <c r="O357">
        <f>IF(OR(A357="",M357=""),"",IF(ABS(M357-N357)&lt;=0.02,"OK","REVISAR"))</f>
        <v/>
      </c>
      <c r="P357">
        <f>IF(D357="","",IF(LEN(TRIM(D357))&lt;&gt;9,"REVISAR",IFERROR(IF(OR(ISNUMBER(VALUE(LEFT(UPPER(TRIM(D357)),1))),LEFT(UPPER(TRIM(D357)),1)="X",LEFT(UPPER(TRIM(D357)),1)="Y",LEFT(UPPER(TRIM(D357)),1)="Z"),IF(MID("TRWAGMYFPDXBNJZSQVHLCKE",MOD(VALUE(SUBSTITUTE(SUBSTITUTE(SUBSTITUTE(LEFT(UPPER(TRIM(D357)),8),"X","0"),"Y","1"),"Z","2")),23)+1,1)=RIGHT(UPPER(TRIM(D357)),1),"OK","REVISAR"),IF(OR(RIGHT(UPPER(TRIM(D357)),1)=TEXT(MOD(10-MOD((VALUE(MID(UPPER(TRIM(D357)),3,1))+VALUE(MID(UPPER(TRIM(D357)),5,1))+VALUE(MID(UPPER(TRIM(D357)),7,1)))+(INT(2*VALUE(MID(UPPER(TRIM(D357)),2,1))/10)+MOD(2*VALUE(MID(UPPER(TRIM(D357)),2,1)),10))+(INT(2*VALUE(MID(UPPER(TRIM(D357)),4,1))/10)+MOD(2*VALUE(MID(UPPER(TRIM(D357)),4,1)),10))+(INT(2*VALUE(MID(UPPER(TRIM(D357)),6,1))/10)+MOD(2*VALUE(MID(UPPER(TRIM(D357)),6,1)),10))+(INT(2*VALUE(MID(UPPER(TRIM(D357)),8,1))/10)+MOD(2*VALUE(MID(UPPER(TRIM(D357)),8,1)),10)),10),10),"0"),RIGHT(UPPER(TRIM(D357)),1)=MID("JABCDEFGHI",MOD(10-MOD((VALUE(MID(UPPER(TRIM(D357)),3,1))+VALUE(MID(UPPER(TRIM(D357)),5,1))+VALUE(MID(UPPER(TRIM(D357)),7,1)))+(INT(2*VALUE(MID(UPPER(TRIM(D357)),2,1))/10)+MOD(2*VALUE(MID(UPPER(TRIM(D357)),2,1)),10))+(INT(2*VALUE(MID(UPPER(TRIM(D357)),4,1))/10)+MOD(2*VALUE(MID(UPPER(TRIM(D357)),4,1)),10))+(INT(2*VALUE(MID(UPPER(TRIM(D357)),6,1))/10)+MOD(2*VALUE(MID(UPPER(TRIM(D357)),6,1)),10))+(INT(2*VALUE(MID(UPPER(TRIM(D357)),8,1))/10)+MOD(2*VALUE(MID(UPPER(TRIM(D357)),8,1)),10)),10),10)+1,1)),"OK","REVISAR")),"REVISAR")))</f>
        <v/>
      </c>
      <c r="Q357">
        <f>IF(B357="","",IF(COUNTIFS($B$2:$B$501,B357,$D$2:$D$501,D357)&gt;1,"DUPLICADA",""))</f>
        <v/>
      </c>
      <c r="R357">
        <f>IF(A357="","",ROUNDUP(MONTH(A357)/3,0))</f>
        <v/>
      </c>
      <c r="S357" s="3" t="n"/>
    </row>
    <row r="358">
      <c r="A358" s="2" t="n"/>
      <c r="B358" s="3" t="n"/>
      <c r="C358" s="3" t="n"/>
      <c r="D358" s="3" t="n"/>
      <c r="E358" s="4" t="n"/>
      <c r="F358" s="4" t="n"/>
      <c r="G358" s="4" t="n"/>
      <c r="H358" s="4" t="n"/>
      <c r="I358" s="5">
        <f>IF(E358="","",ROUND(E358*0.21,2))</f>
        <v/>
      </c>
      <c r="J358" s="5">
        <f>IF(F358="","",ROUND(F358*0.1,2))</f>
        <v/>
      </c>
      <c r="K358" s="5">
        <f>IF(G358="","",ROUND(G358*0.04,2))</f>
        <v/>
      </c>
      <c r="L358" s="4" t="n"/>
      <c r="M358" s="4" t="n"/>
      <c r="N358" s="5">
        <f>IF(A358="","",SUM(E358:K358)-N(L358))</f>
        <v/>
      </c>
      <c r="O358">
        <f>IF(OR(A358="",M358=""),"",IF(ABS(M358-N358)&lt;=0.02,"OK","REVISAR"))</f>
        <v/>
      </c>
      <c r="P358">
        <f>IF(D358="","",IF(LEN(TRIM(D358))&lt;&gt;9,"REVISAR",IFERROR(IF(OR(ISNUMBER(VALUE(LEFT(UPPER(TRIM(D358)),1))),LEFT(UPPER(TRIM(D358)),1)="X",LEFT(UPPER(TRIM(D358)),1)="Y",LEFT(UPPER(TRIM(D358)),1)="Z"),IF(MID("TRWAGMYFPDXBNJZSQVHLCKE",MOD(VALUE(SUBSTITUTE(SUBSTITUTE(SUBSTITUTE(LEFT(UPPER(TRIM(D358)),8),"X","0"),"Y","1"),"Z","2")),23)+1,1)=RIGHT(UPPER(TRIM(D358)),1),"OK","REVISAR"),IF(OR(RIGHT(UPPER(TRIM(D358)),1)=TEXT(MOD(10-MOD((VALUE(MID(UPPER(TRIM(D358)),3,1))+VALUE(MID(UPPER(TRIM(D358)),5,1))+VALUE(MID(UPPER(TRIM(D358)),7,1)))+(INT(2*VALUE(MID(UPPER(TRIM(D358)),2,1))/10)+MOD(2*VALUE(MID(UPPER(TRIM(D358)),2,1)),10))+(INT(2*VALUE(MID(UPPER(TRIM(D358)),4,1))/10)+MOD(2*VALUE(MID(UPPER(TRIM(D358)),4,1)),10))+(INT(2*VALUE(MID(UPPER(TRIM(D358)),6,1))/10)+MOD(2*VALUE(MID(UPPER(TRIM(D358)),6,1)),10))+(INT(2*VALUE(MID(UPPER(TRIM(D358)),8,1))/10)+MOD(2*VALUE(MID(UPPER(TRIM(D358)),8,1)),10)),10),10),"0"),RIGHT(UPPER(TRIM(D358)),1)=MID("JABCDEFGHI",MOD(10-MOD((VALUE(MID(UPPER(TRIM(D358)),3,1))+VALUE(MID(UPPER(TRIM(D358)),5,1))+VALUE(MID(UPPER(TRIM(D358)),7,1)))+(INT(2*VALUE(MID(UPPER(TRIM(D358)),2,1))/10)+MOD(2*VALUE(MID(UPPER(TRIM(D358)),2,1)),10))+(INT(2*VALUE(MID(UPPER(TRIM(D358)),4,1))/10)+MOD(2*VALUE(MID(UPPER(TRIM(D358)),4,1)),10))+(INT(2*VALUE(MID(UPPER(TRIM(D358)),6,1))/10)+MOD(2*VALUE(MID(UPPER(TRIM(D358)),6,1)),10))+(INT(2*VALUE(MID(UPPER(TRIM(D358)),8,1))/10)+MOD(2*VALUE(MID(UPPER(TRIM(D358)),8,1)),10)),10),10)+1,1)),"OK","REVISAR")),"REVISAR")))</f>
        <v/>
      </c>
      <c r="Q358">
        <f>IF(B358="","",IF(COUNTIFS($B$2:$B$501,B358,$D$2:$D$501,D358)&gt;1,"DUPLICADA",""))</f>
        <v/>
      </c>
      <c r="R358">
        <f>IF(A358="","",ROUNDUP(MONTH(A358)/3,0))</f>
        <v/>
      </c>
      <c r="S358" s="3" t="n"/>
    </row>
    <row r="359">
      <c r="A359" s="2" t="n"/>
      <c r="B359" s="3" t="n"/>
      <c r="C359" s="3" t="n"/>
      <c r="D359" s="3" t="n"/>
      <c r="E359" s="4" t="n"/>
      <c r="F359" s="4" t="n"/>
      <c r="G359" s="4" t="n"/>
      <c r="H359" s="4" t="n"/>
      <c r="I359" s="5">
        <f>IF(E359="","",ROUND(E359*0.21,2))</f>
        <v/>
      </c>
      <c r="J359" s="5">
        <f>IF(F359="","",ROUND(F359*0.1,2))</f>
        <v/>
      </c>
      <c r="K359" s="5">
        <f>IF(G359="","",ROUND(G359*0.04,2))</f>
        <v/>
      </c>
      <c r="L359" s="4" t="n"/>
      <c r="M359" s="4" t="n"/>
      <c r="N359" s="5">
        <f>IF(A359="","",SUM(E359:K359)-N(L359))</f>
        <v/>
      </c>
      <c r="O359">
        <f>IF(OR(A359="",M359=""),"",IF(ABS(M359-N359)&lt;=0.02,"OK","REVISAR"))</f>
        <v/>
      </c>
      <c r="P359">
        <f>IF(D359="","",IF(LEN(TRIM(D359))&lt;&gt;9,"REVISAR",IFERROR(IF(OR(ISNUMBER(VALUE(LEFT(UPPER(TRIM(D359)),1))),LEFT(UPPER(TRIM(D359)),1)="X",LEFT(UPPER(TRIM(D359)),1)="Y",LEFT(UPPER(TRIM(D359)),1)="Z"),IF(MID("TRWAGMYFPDXBNJZSQVHLCKE",MOD(VALUE(SUBSTITUTE(SUBSTITUTE(SUBSTITUTE(LEFT(UPPER(TRIM(D359)),8),"X","0"),"Y","1"),"Z","2")),23)+1,1)=RIGHT(UPPER(TRIM(D359)),1),"OK","REVISAR"),IF(OR(RIGHT(UPPER(TRIM(D359)),1)=TEXT(MOD(10-MOD((VALUE(MID(UPPER(TRIM(D359)),3,1))+VALUE(MID(UPPER(TRIM(D359)),5,1))+VALUE(MID(UPPER(TRIM(D359)),7,1)))+(INT(2*VALUE(MID(UPPER(TRIM(D359)),2,1))/10)+MOD(2*VALUE(MID(UPPER(TRIM(D359)),2,1)),10))+(INT(2*VALUE(MID(UPPER(TRIM(D359)),4,1))/10)+MOD(2*VALUE(MID(UPPER(TRIM(D359)),4,1)),10))+(INT(2*VALUE(MID(UPPER(TRIM(D359)),6,1))/10)+MOD(2*VALUE(MID(UPPER(TRIM(D359)),6,1)),10))+(INT(2*VALUE(MID(UPPER(TRIM(D359)),8,1))/10)+MOD(2*VALUE(MID(UPPER(TRIM(D359)),8,1)),10)),10),10),"0"),RIGHT(UPPER(TRIM(D359)),1)=MID("JABCDEFGHI",MOD(10-MOD((VALUE(MID(UPPER(TRIM(D359)),3,1))+VALUE(MID(UPPER(TRIM(D359)),5,1))+VALUE(MID(UPPER(TRIM(D359)),7,1)))+(INT(2*VALUE(MID(UPPER(TRIM(D359)),2,1))/10)+MOD(2*VALUE(MID(UPPER(TRIM(D359)),2,1)),10))+(INT(2*VALUE(MID(UPPER(TRIM(D359)),4,1))/10)+MOD(2*VALUE(MID(UPPER(TRIM(D359)),4,1)),10))+(INT(2*VALUE(MID(UPPER(TRIM(D359)),6,1))/10)+MOD(2*VALUE(MID(UPPER(TRIM(D359)),6,1)),10))+(INT(2*VALUE(MID(UPPER(TRIM(D359)),8,1))/10)+MOD(2*VALUE(MID(UPPER(TRIM(D359)),8,1)),10)),10),10)+1,1)),"OK","REVISAR")),"REVISAR")))</f>
        <v/>
      </c>
      <c r="Q359">
        <f>IF(B359="","",IF(COUNTIFS($B$2:$B$501,B359,$D$2:$D$501,D359)&gt;1,"DUPLICADA",""))</f>
        <v/>
      </c>
      <c r="R359">
        <f>IF(A359="","",ROUNDUP(MONTH(A359)/3,0))</f>
        <v/>
      </c>
      <c r="S359" s="3" t="n"/>
    </row>
    <row r="360">
      <c r="A360" s="2" t="n"/>
      <c r="B360" s="3" t="n"/>
      <c r="C360" s="3" t="n"/>
      <c r="D360" s="3" t="n"/>
      <c r="E360" s="4" t="n"/>
      <c r="F360" s="4" t="n"/>
      <c r="G360" s="4" t="n"/>
      <c r="H360" s="4" t="n"/>
      <c r="I360" s="5">
        <f>IF(E360="","",ROUND(E360*0.21,2))</f>
        <v/>
      </c>
      <c r="J360" s="5">
        <f>IF(F360="","",ROUND(F360*0.1,2))</f>
        <v/>
      </c>
      <c r="K360" s="5">
        <f>IF(G360="","",ROUND(G360*0.04,2))</f>
        <v/>
      </c>
      <c r="L360" s="4" t="n"/>
      <c r="M360" s="4" t="n"/>
      <c r="N360" s="5">
        <f>IF(A360="","",SUM(E360:K360)-N(L360))</f>
        <v/>
      </c>
      <c r="O360">
        <f>IF(OR(A360="",M360=""),"",IF(ABS(M360-N360)&lt;=0.02,"OK","REVISAR"))</f>
        <v/>
      </c>
      <c r="P360">
        <f>IF(D360="","",IF(LEN(TRIM(D360))&lt;&gt;9,"REVISAR",IFERROR(IF(OR(ISNUMBER(VALUE(LEFT(UPPER(TRIM(D360)),1))),LEFT(UPPER(TRIM(D360)),1)="X",LEFT(UPPER(TRIM(D360)),1)="Y",LEFT(UPPER(TRIM(D360)),1)="Z"),IF(MID("TRWAGMYFPDXBNJZSQVHLCKE",MOD(VALUE(SUBSTITUTE(SUBSTITUTE(SUBSTITUTE(LEFT(UPPER(TRIM(D360)),8),"X","0"),"Y","1"),"Z","2")),23)+1,1)=RIGHT(UPPER(TRIM(D360)),1),"OK","REVISAR"),IF(OR(RIGHT(UPPER(TRIM(D360)),1)=TEXT(MOD(10-MOD((VALUE(MID(UPPER(TRIM(D360)),3,1))+VALUE(MID(UPPER(TRIM(D360)),5,1))+VALUE(MID(UPPER(TRIM(D360)),7,1)))+(INT(2*VALUE(MID(UPPER(TRIM(D360)),2,1))/10)+MOD(2*VALUE(MID(UPPER(TRIM(D360)),2,1)),10))+(INT(2*VALUE(MID(UPPER(TRIM(D360)),4,1))/10)+MOD(2*VALUE(MID(UPPER(TRIM(D360)),4,1)),10))+(INT(2*VALUE(MID(UPPER(TRIM(D360)),6,1))/10)+MOD(2*VALUE(MID(UPPER(TRIM(D360)),6,1)),10))+(INT(2*VALUE(MID(UPPER(TRIM(D360)),8,1))/10)+MOD(2*VALUE(MID(UPPER(TRIM(D360)),8,1)),10)),10),10),"0"),RIGHT(UPPER(TRIM(D360)),1)=MID("JABCDEFGHI",MOD(10-MOD((VALUE(MID(UPPER(TRIM(D360)),3,1))+VALUE(MID(UPPER(TRIM(D360)),5,1))+VALUE(MID(UPPER(TRIM(D360)),7,1)))+(INT(2*VALUE(MID(UPPER(TRIM(D360)),2,1))/10)+MOD(2*VALUE(MID(UPPER(TRIM(D360)),2,1)),10))+(INT(2*VALUE(MID(UPPER(TRIM(D360)),4,1))/10)+MOD(2*VALUE(MID(UPPER(TRIM(D360)),4,1)),10))+(INT(2*VALUE(MID(UPPER(TRIM(D360)),6,1))/10)+MOD(2*VALUE(MID(UPPER(TRIM(D360)),6,1)),10))+(INT(2*VALUE(MID(UPPER(TRIM(D360)),8,1))/10)+MOD(2*VALUE(MID(UPPER(TRIM(D360)),8,1)),10)),10),10)+1,1)),"OK","REVISAR")),"REVISAR")))</f>
        <v/>
      </c>
      <c r="Q360">
        <f>IF(B360="","",IF(COUNTIFS($B$2:$B$501,B360,$D$2:$D$501,D360)&gt;1,"DUPLICADA",""))</f>
        <v/>
      </c>
      <c r="R360">
        <f>IF(A360="","",ROUNDUP(MONTH(A360)/3,0))</f>
        <v/>
      </c>
      <c r="S360" s="3" t="n"/>
    </row>
    <row r="361">
      <c r="A361" s="2" t="n"/>
      <c r="B361" s="3" t="n"/>
      <c r="C361" s="3" t="n"/>
      <c r="D361" s="3" t="n"/>
      <c r="E361" s="4" t="n"/>
      <c r="F361" s="4" t="n"/>
      <c r="G361" s="4" t="n"/>
      <c r="H361" s="4" t="n"/>
      <c r="I361" s="5">
        <f>IF(E361="","",ROUND(E361*0.21,2))</f>
        <v/>
      </c>
      <c r="J361" s="5">
        <f>IF(F361="","",ROUND(F361*0.1,2))</f>
        <v/>
      </c>
      <c r="K361" s="5">
        <f>IF(G361="","",ROUND(G361*0.04,2))</f>
        <v/>
      </c>
      <c r="L361" s="4" t="n"/>
      <c r="M361" s="4" t="n"/>
      <c r="N361" s="5">
        <f>IF(A361="","",SUM(E361:K361)-N(L361))</f>
        <v/>
      </c>
      <c r="O361">
        <f>IF(OR(A361="",M361=""),"",IF(ABS(M361-N361)&lt;=0.02,"OK","REVISAR"))</f>
        <v/>
      </c>
      <c r="P361">
        <f>IF(D361="","",IF(LEN(TRIM(D361))&lt;&gt;9,"REVISAR",IFERROR(IF(OR(ISNUMBER(VALUE(LEFT(UPPER(TRIM(D361)),1))),LEFT(UPPER(TRIM(D361)),1)="X",LEFT(UPPER(TRIM(D361)),1)="Y",LEFT(UPPER(TRIM(D361)),1)="Z"),IF(MID("TRWAGMYFPDXBNJZSQVHLCKE",MOD(VALUE(SUBSTITUTE(SUBSTITUTE(SUBSTITUTE(LEFT(UPPER(TRIM(D361)),8),"X","0"),"Y","1"),"Z","2")),23)+1,1)=RIGHT(UPPER(TRIM(D361)),1),"OK","REVISAR"),IF(OR(RIGHT(UPPER(TRIM(D361)),1)=TEXT(MOD(10-MOD((VALUE(MID(UPPER(TRIM(D361)),3,1))+VALUE(MID(UPPER(TRIM(D361)),5,1))+VALUE(MID(UPPER(TRIM(D361)),7,1)))+(INT(2*VALUE(MID(UPPER(TRIM(D361)),2,1))/10)+MOD(2*VALUE(MID(UPPER(TRIM(D361)),2,1)),10))+(INT(2*VALUE(MID(UPPER(TRIM(D361)),4,1))/10)+MOD(2*VALUE(MID(UPPER(TRIM(D361)),4,1)),10))+(INT(2*VALUE(MID(UPPER(TRIM(D361)),6,1))/10)+MOD(2*VALUE(MID(UPPER(TRIM(D361)),6,1)),10))+(INT(2*VALUE(MID(UPPER(TRIM(D361)),8,1))/10)+MOD(2*VALUE(MID(UPPER(TRIM(D361)),8,1)),10)),10),10),"0"),RIGHT(UPPER(TRIM(D361)),1)=MID("JABCDEFGHI",MOD(10-MOD((VALUE(MID(UPPER(TRIM(D361)),3,1))+VALUE(MID(UPPER(TRIM(D361)),5,1))+VALUE(MID(UPPER(TRIM(D361)),7,1)))+(INT(2*VALUE(MID(UPPER(TRIM(D361)),2,1))/10)+MOD(2*VALUE(MID(UPPER(TRIM(D361)),2,1)),10))+(INT(2*VALUE(MID(UPPER(TRIM(D361)),4,1))/10)+MOD(2*VALUE(MID(UPPER(TRIM(D361)),4,1)),10))+(INT(2*VALUE(MID(UPPER(TRIM(D361)),6,1))/10)+MOD(2*VALUE(MID(UPPER(TRIM(D361)),6,1)),10))+(INT(2*VALUE(MID(UPPER(TRIM(D361)),8,1))/10)+MOD(2*VALUE(MID(UPPER(TRIM(D361)),8,1)),10)),10),10)+1,1)),"OK","REVISAR")),"REVISAR")))</f>
        <v/>
      </c>
      <c r="Q361">
        <f>IF(B361="","",IF(COUNTIFS($B$2:$B$501,B361,$D$2:$D$501,D361)&gt;1,"DUPLICADA",""))</f>
        <v/>
      </c>
      <c r="R361">
        <f>IF(A361="","",ROUNDUP(MONTH(A361)/3,0))</f>
        <v/>
      </c>
      <c r="S361" s="3" t="n"/>
    </row>
    <row r="362">
      <c r="A362" s="2" t="n"/>
      <c r="B362" s="3" t="n"/>
      <c r="C362" s="3" t="n"/>
      <c r="D362" s="3" t="n"/>
      <c r="E362" s="4" t="n"/>
      <c r="F362" s="4" t="n"/>
      <c r="G362" s="4" t="n"/>
      <c r="H362" s="4" t="n"/>
      <c r="I362" s="5">
        <f>IF(E362="","",ROUND(E362*0.21,2))</f>
        <v/>
      </c>
      <c r="J362" s="5">
        <f>IF(F362="","",ROUND(F362*0.1,2))</f>
        <v/>
      </c>
      <c r="K362" s="5">
        <f>IF(G362="","",ROUND(G362*0.04,2))</f>
        <v/>
      </c>
      <c r="L362" s="4" t="n"/>
      <c r="M362" s="4" t="n"/>
      <c r="N362" s="5">
        <f>IF(A362="","",SUM(E362:K362)-N(L362))</f>
        <v/>
      </c>
      <c r="O362">
        <f>IF(OR(A362="",M362=""),"",IF(ABS(M362-N362)&lt;=0.02,"OK","REVISAR"))</f>
        <v/>
      </c>
      <c r="P362">
        <f>IF(D362="","",IF(LEN(TRIM(D362))&lt;&gt;9,"REVISAR",IFERROR(IF(OR(ISNUMBER(VALUE(LEFT(UPPER(TRIM(D362)),1))),LEFT(UPPER(TRIM(D362)),1)="X",LEFT(UPPER(TRIM(D362)),1)="Y",LEFT(UPPER(TRIM(D362)),1)="Z"),IF(MID("TRWAGMYFPDXBNJZSQVHLCKE",MOD(VALUE(SUBSTITUTE(SUBSTITUTE(SUBSTITUTE(LEFT(UPPER(TRIM(D362)),8),"X","0"),"Y","1"),"Z","2")),23)+1,1)=RIGHT(UPPER(TRIM(D362)),1),"OK","REVISAR"),IF(OR(RIGHT(UPPER(TRIM(D362)),1)=TEXT(MOD(10-MOD((VALUE(MID(UPPER(TRIM(D362)),3,1))+VALUE(MID(UPPER(TRIM(D362)),5,1))+VALUE(MID(UPPER(TRIM(D362)),7,1)))+(INT(2*VALUE(MID(UPPER(TRIM(D362)),2,1))/10)+MOD(2*VALUE(MID(UPPER(TRIM(D362)),2,1)),10))+(INT(2*VALUE(MID(UPPER(TRIM(D362)),4,1))/10)+MOD(2*VALUE(MID(UPPER(TRIM(D362)),4,1)),10))+(INT(2*VALUE(MID(UPPER(TRIM(D362)),6,1))/10)+MOD(2*VALUE(MID(UPPER(TRIM(D362)),6,1)),10))+(INT(2*VALUE(MID(UPPER(TRIM(D362)),8,1))/10)+MOD(2*VALUE(MID(UPPER(TRIM(D362)),8,1)),10)),10),10),"0"),RIGHT(UPPER(TRIM(D362)),1)=MID("JABCDEFGHI",MOD(10-MOD((VALUE(MID(UPPER(TRIM(D362)),3,1))+VALUE(MID(UPPER(TRIM(D362)),5,1))+VALUE(MID(UPPER(TRIM(D362)),7,1)))+(INT(2*VALUE(MID(UPPER(TRIM(D362)),2,1))/10)+MOD(2*VALUE(MID(UPPER(TRIM(D362)),2,1)),10))+(INT(2*VALUE(MID(UPPER(TRIM(D362)),4,1))/10)+MOD(2*VALUE(MID(UPPER(TRIM(D362)),4,1)),10))+(INT(2*VALUE(MID(UPPER(TRIM(D362)),6,1))/10)+MOD(2*VALUE(MID(UPPER(TRIM(D362)),6,1)),10))+(INT(2*VALUE(MID(UPPER(TRIM(D362)),8,1))/10)+MOD(2*VALUE(MID(UPPER(TRIM(D362)),8,1)),10)),10),10)+1,1)),"OK","REVISAR")),"REVISAR")))</f>
        <v/>
      </c>
      <c r="Q362">
        <f>IF(B362="","",IF(COUNTIFS($B$2:$B$501,B362,$D$2:$D$501,D362)&gt;1,"DUPLICADA",""))</f>
        <v/>
      </c>
      <c r="R362">
        <f>IF(A362="","",ROUNDUP(MONTH(A362)/3,0))</f>
        <v/>
      </c>
      <c r="S362" s="3" t="n"/>
    </row>
    <row r="363">
      <c r="A363" s="2" t="n"/>
      <c r="B363" s="3" t="n"/>
      <c r="C363" s="3" t="n"/>
      <c r="D363" s="3" t="n"/>
      <c r="E363" s="4" t="n"/>
      <c r="F363" s="4" t="n"/>
      <c r="G363" s="4" t="n"/>
      <c r="H363" s="4" t="n"/>
      <c r="I363" s="5">
        <f>IF(E363="","",ROUND(E363*0.21,2))</f>
        <v/>
      </c>
      <c r="J363" s="5">
        <f>IF(F363="","",ROUND(F363*0.1,2))</f>
        <v/>
      </c>
      <c r="K363" s="5">
        <f>IF(G363="","",ROUND(G363*0.04,2))</f>
        <v/>
      </c>
      <c r="L363" s="4" t="n"/>
      <c r="M363" s="4" t="n"/>
      <c r="N363" s="5">
        <f>IF(A363="","",SUM(E363:K363)-N(L363))</f>
        <v/>
      </c>
      <c r="O363">
        <f>IF(OR(A363="",M363=""),"",IF(ABS(M363-N363)&lt;=0.02,"OK","REVISAR"))</f>
        <v/>
      </c>
      <c r="P363">
        <f>IF(D363="","",IF(LEN(TRIM(D363))&lt;&gt;9,"REVISAR",IFERROR(IF(OR(ISNUMBER(VALUE(LEFT(UPPER(TRIM(D363)),1))),LEFT(UPPER(TRIM(D363)),1)="X",LEFT(UPPER(TRIM(D363)),1)="Y",LEFT(UPPER(TRIM(D363)),1)="Z"),IF(MID("TRWAGMYFPDXBNJZSQVHLCKE",MOD(VALUE(SUBSTITUTE(SUBSTITUTE(SUBSTITUTE(LEFT(UPPER(TRIM(D363)),8),"X","0"),"Y","1"),"Z","2")),23)+1,1)=RIGHT(UPPER(TRIM(D363)),1),"OK","REVISAR"),IF(OR(RIGHT(UPPER(TRIM(D363)),1)=TEXT(MOD(10-MOD((VALUE(MID(UPPER(TRIM(D363)),3,1))+VALUE(MID(UPPER(TRIM(D363)),5,1))+VALUE(MID(UPPER(TRIM(D363)),7,1)))+(INT(2*VALUE(MID(UPPER(TRIM(D363)),2,1))/10)+MOD(2*VALUE(MID(UPPER(TRIM(D363)),2,1)),10))+(INT(2*VALUE(MID(UPPER(TRIM(D363)),4,1))/10)+MOD(2*VALUE(MID(UPPER(TRIM(D363)),4,1)),10))+(INT(2*VALUE(MID(UPPER(TRIM(D363)),6,1))/10)+MOD(2*VALUE(MID(UPPER(TRIM(D363)),6,1)),10))+(INT(2*VALUE(MID(UPPER(TRIM(D363)),8,1))/10)+MOD(2*VALUE(MID(UPPER(TRIM(D363)),8,1)),10)),10),10),"0"),RIGHT(UPPER(TRIM(D363)),1)=MID("JABCDEFGHI",MOD(10-MOD((VALUE(MID(UPPER(TRIM(D363)),3,1))+VALUE(MID(UPPER(TRIM(D363)),5,1))+VALUE(MID(UPPER(TRIM(D363)),7,1)))+(INT(2*VALUE(MID(UPPER(TRIM(D363)),2,1))/10)+MOD(2*VALUE(MID(UPPER(TRIM(D363)),2,1)),10))+(INT(2*VALUE(MID(UPPER(TRIM(D363)),4,1))/10)+MOD(2*VALUE(MID(UPPER(TRIM(D363)),4,1)),10))+(INT(2*VALUE(MID(UPPER(TRIM(D363)),6,1))/10)+MOD(2*VALUE(MID(UPPER(TRIM(D363)),6,1)),10))+(INT(2*VALUE(MID(UPPER(TRIM(D363)),8,1))/10)+MOD(2*VALUE(MID(UPPER(TRIM(D363)),8,1)),10)),10),10)+1,1)),"OK","REVISAR")),"REVISAR")))</f>
        <v/>
      </c>
      <c r="Q363">
        <f>IF(B363="","",IF(COUNTIFS($B$2:$B$501,B363,$D$2:$D$501,D363)&gt;1,"DUPLICADA",""))</f>
        <v/>
      </c>
      <c r="R363">
        <f>IF(A363="","",ROUNDUP(MONTH(A363)/3,0))</f>
        <v/>
      </c>
      <c r="S363" s="3" t="n"/>
    </row>
    <row r="364">
      <c r="A364" s="2" t="n"/>
      <c r="B364" s="3" t="n"/>
      <c r="C364" s="3" t="n"/>
      <c r="D364" s="3" t="n"/>
      <c r="E364" s="4" t="n"/>
      <c r="F364" s="4" t="n"/>
      <c r="G364" s="4" t="n"/>
      <c r="H364" s="4" t="n"/>
      <c r="I364" s="5">
        <f>IF(E364="","",ROUND(E364*0.21,2))</f>
        <v/>
      </c>
      <c r="J364" s="5">
        <f>IF(F364="","",ROUND(F364*0.1,2))</f>
        <v/>
      </c>
      <c r="K364" s="5">
        <f>IF(G364="","",ROUND(G364*0.04,2))</f>
        <v/>
      </c>
      <c r="L364" s="4" t="n"/>
      <c r="M364" s="4" t="n"/>
      <c r="N364" s="5">
        <f>IF(A364="","",SUM(E364:K364)-N(L364))</f>
        <v/>
      </c>
      <c r="O364">
        <f>IF(OR(A364="",M364=""),"",IF(ABS(M364-N364)&lt;=0.02,"OK","REVISAR"))</f>
        <v/>
      </c>
      <c r="P364">
        <f>IF(D364="","",IF(LEN(TRIM(D364))&lt;&gt;9,"REVISAR",IFERROR(IF(OR(ISNUMBER(VALUE(LEFT(UPPER(TRIM(D364)),1))),LEFT(UPPER(TRIM(D364)),1)="X",LEFT(UPPER(TRIM(D364)),1)="Y",LEFT(UPPER(TRIM(D364)),1)="Z"),IF(MID("TRWAGMYFPDXBNJZSQVHLCKE",MOD(VALUE(SUBSTITUTE(SUBSTITUTE(SUBSTITUTE(LEFT(UPPER(TRIM(D364)),8),"X","0"),"Y","1"),"Z","2")),23)+1,1)=RIGHT(UPPER(TRIM(D364)),1),"OK","REVISAR"),IF(OR(RIGHT(UPPER(TRIM(D364)),1)=TEXT(MOD(10-MOD((VALUE(MID(UPPER(TRIM(D364)),3,1))+VALUE(MID(UPPER(TRIM(D364)),5,1))+VALUE(MID(UPPER(TRIM(D364)),7,1)))+(INT(2*VALUE(MID(UPPER(TRIM(D364)),2,1))/10)+MOD(2*VALUE(MID(UPPER(TRIM(D364)),2,1)),10))+(INT(2*VALUE(MID(UPPER(TRIM(D364)),4,1))/10)+MOD(2*VALUE(MID(UPPER(TRIM(D364)),4,1)),10))+(INT(2*VALUE(MID(UPPER(TRIM(D364)),6,1))/10)+MOD(2*VALUE(MID(UPPER(TRIM(D364)),6,1)),10))+(INT(2*VALUE(MID(UPPER(TRIM(D364)),8,1))/10)+MOD(2*VALUE(MID(UPPER(TRIM(D364)),8,1)),10)),10),10),"0"),RIGHT(UPPER(TRIM(D364)),1)=MID("JABCDEFGHI",MOD(10-MOD((VALUE(MID(UPPER(TRIM(D364)),3,1))+VALUE(MID(UPPER(TRIM(D364)),5,1))+VALUE(MID(UPPER(TRIM(D364)),7,1)))+(INT(2*VALUE(MID(UPPER(TRIM(D364)),2,1))/10)+MOD(2*VALUE(MID(UPPER(TRIM(D364)),2,1)),10))+(INT(2*VALUE(MID(UPPER(TRIM(D364)),4,1))/10)+MOD(2*VALUE(MID(UPPER(TRIM(D364)),4,1)),10))+(INT(2*VALUE(MID(UPPER(TRIM(D364)),6,1))/10)+MOD(2*VALUE(MID(UPPER(TRIM(D364)),6,1)),10))+(INT(2*VALUE(MID(UPPER(TRIM(D364)),8,1))/10)+MOD(2*VALUE(MID(UPPER(TRIM(D364)),8,1)),10)),10),10)+1,1)),"OK","REVISAR")),"REVISAR")))</f>
        <v/>
      </c>
      <c r="Q364">
        <f>IF(B364="","",IF(COUNTIFS($B$2:$B$501,B364,$D$2:$D$501,D364)&gt;1,"DUPLICADA",""))</f>
        <v/>
      </c>
      <c r="R364">
        <f>IF(A364="","",ROUNDUP(MONTH(A364)/3,0))</f>
        <v/>
      </c>
      <c r="S364" s="3" t="n"/>
    </row>
    <row r="365">
      <c r="A365" s="2" t="n"/>
      <c r="B365" s="3" t="n"/>
      <c r="C365" s="3" t="n"/>
      <c r="D365" s="3" t="n"/>
      <c r="E365" s="4" t="n"/>
      <c r="F365" s="4" t="n"/>
      <c r="G365" s="4" t="n"/>
      <c r="H365" s="4" t="n"/>
      <c r="I365" s="5">
        <f>IF(E365="","",ROUND(E365*0.21,2))</f>
        <v/>
      </c>
      <c r="J365" s="5">
        <f>IF(F365="","",ROUND(F365*0.1,2))</f>
        <v/>
      </c>
      <c r="K365" s="5">
        <f>IF(G365="","",ROUND(G365*0.04,2))</f>
        <v/>
      </c>
      <c r="L365" s="4" t="n"/>
      <c r="M365" s="4" t="n"/>
      <c r="N365" s="5">
        <f>IF(A365="","",SUM(E365:K365)-N(L365))</f>
        <v/>
      </c>
      <c r="O365">
        <f>IF(OR(A365="",M365=""),"",IF(ABS(M365-N365)&lt;=0.02,"OK","REVISAR"))</f>
        <v/>
      </c>
      <c r="P365">
        <f>IF(D365="","",IF(LEN(TRIM(D365))&lt;&gt;9,"REVISAR",IFERROR(IF(OR(ISNUMBER(VALUE(LEFT(UPPER(TRIM(D365)),1))),LEFT(UPPER(TRIM(D365)),1)="X",LEFT(UPPER(TRIM(D365)),1)="Y",LEFT(UPPER(TRIM(D365)),1)="Z"),IF(MID("TRWAGMYFPDXBNJZSQVHLCKE",MOD(VALUE(SUBSTITUTE(SUBSTITUTE(SUBSTITUTE(LEFT(UPPER(TRIM(D365)),8),"X","0"),"Y","1"),"Z","2")),23)+1,1)=RIGHT(UPPER(TRIM(D365)),1),"OK","REVISAR"),IF(OR(RIGHT(UPPER(TRIM(D365)),1)=TEXT(MOD(10-MOD((VALUE(MID(UPPER(TRIM(D365)),3,1))+VALUE(MID(UPPER(TRIM(D365)),5,1))+VALUE(MID(UPPER(TRIM(D365)),7,1)))+(INT(2*VALUE(MID(UPPER(TRIM(D365)),2,1))/10)+MOD(2*VALUE(MID(UPPER(TRIM(D365)),2,1)),10))+(INT(2*VALUE(MID(UPPER(TRIM(D365)),4,1))/10)+MOD(2*VALUE(MID(UPPER(TRIM(D365)),4,1)),10))+(INT(2*VALUE(MID(UPPER(TRIM(D365)),6,1))/10)+MOD(2*VALUE(MID(UPPER(TRIM(D365)),6,1)),10))+(INT(2*VALUE(MID(UPPER(TRIM(D365)),8,1))/10)+MOD(2*VALUE(MID(UPPER(TRIM(D365)),8,1)),10)),10),10),"0"),RIGHT(UPPER(TRIM(D365)),1)=MID("JABCDEFGHI",MOD(10-MOD((VALUE(MID(UPPER(TRIM(D365)),3,1))+VALUE(MID(UPPER(TRIM(D365)),5,1))+VALUE(MID(UPPER(TRIM(D365)),7,1)))+(INT(2*VALUE(MID(UPPER(TRIM(D365)),2,1))/10)+MOD(2*VALUE(MID(UPPER(TRIM(D365)),2,1)),10))+(INT(2*VALUE(MID(UPPER(TRIM(D365)),4,1))/10)+MOD(2*VALUE(MID(UPPER(TRIM(D365)),4,1)),10))+(INT(2*VALUE(MID(UPPER(TRIM(D365)),6,1))/10)+MOD(2*VALUE(MID(UPPER(TRIM(D365)),6,1)),10))+(INT(2*VALUE(MID(UPPER(TRIM(D365)),8,1))/10)+MOD(2*VALUE(MID(UPPER(TRIM(D365)),8,1)),10)),10),10)+1,1)),"OK","REVISAR")),"REVISAR")))</f>
        <v/>
      </c>
      <c r="Q365">
        <f>IF(B365="","",IF(COUNTIFS($B$2:$B$501,B365,$D$2:$D$501,D365)&gt;1,"DUPLICADA",""))</f>
        <v/>
      </c>
      <c r="R365">
        <f>IF(A365="","",ROUNDUP(MONTH(A365)/3,0))</f>
        <v/>
      </c>
      <c r="S365" s="3" t="n"/>
    </row>
    <row r="366">
      <c r="A366" s="2" t="n"/>
      <c r="B366" s="3" t="n"/>
      <c r="C366" s="3" t="n"/>
      <c r="D366" s="3" t="n"/>
      <c r="E366" s="4" t="n"/>
      <c r="F366" s="4" t="n"/>
      <c r="G366" s="4" t="n"/>
      <c r="H366" s="4" t="n"/>
      <c r="I366" s="5">
        <f>IF(E366="","",ROUND(E366*0.21,2))</f>
        <v/>
      </c>
      <c r="J366" s="5">
        <f>IF(F366="","",ROUND(F366*0.1,2))</f>
        <v/>
      </c>
      <c r="K366" s="5">
        <f>IF(G366="","",ROUND(G366*0.04,2))</f>
        <v/>
      </c>
      <c r="L366" s="4" t="n"/>
      <c r="M366" s="4" t="n"/>
      <c r="N366" s="5">
        <f>IF(A366="","",SUM(E366:K366)-N(L366))</f>
        <v/>
      </c>
      <c r="O366">
        <f>IF(OR(A366="",M366=""),"",IF(ABS(M366-N366)&lt;=0.02,"OK","REVISAR"))</f>
        <v/>
      </c>
      <c r="P366">
        <f>IF(D366="","",IF(LEN(TRIM(D366))&lt;&gt;9,"REVISAR",IFERROR(IF(OR(ISNUMBER(VALUE(LEFT(UPPER(TRIM(D366)),1))),LEFT(UPPER(TRIM(D366)),1)="X",LEFT(UPPER(TRIM(D366)),1)="Y",LEFT(UPPER(TRIM(D366)),1)="Z"),IF(MID("TRWAGMYFPDXBNJZSQVHLCKE",MOD(VALUE(SUBSTITUTE(SUBSTITUTE(SUBSTITUTE(LEFT(UPPER(TRIM(D366)),8),"X","0"),"Y","1"),"Z","2")),23)+1,1)=RIGHT(UPPER(TRIM(D366)),1),"OK","REVISAR"),IF(OR(RIGHT(UPPER(TRIM(D366)),1)=TEXT(MOD(10-MOD((VALUE(MID(UPPER(TRIM(D366)),3,1))+VALUE(MID(UPPER(TRIM(D366)),5,1))+VALUE(MID(UPPER(TRIM(D366)),7,1)))+(INT(2*VALUE(MID(UPPER(TRIM(D366)),2,1))/10)+MOD(2*VALUE(MID(UPPER(TRIM(D366)),2,1)),10))+(INT(2*VALUE(MID(UPPER(TRIM(D366)),4,1))/10)+MOD(2*VALUE(MID(UPPER(TRIM(D366)),4,1)),10))+(INT(2*VALUE(MID(UPPER(TRIM(D366)),6,1))/10)+MOD(2*VALUE(MID(UPPER(TRIM(D366)),6,1)),10))+(INT(2*VALUE(MID(UPPER(TRIM(D366)),8,1))/10)+MOD(2*VALUE(MID(UPPER(TRIM(D366)),8,1)),10)),10),10),"0"),RIGHT(UPPER(TRIM(D366)),1)=MID("JABCDEFGHI",MOD(10-MOD((VALUE(MID(UPPER(TRIM(D366)),3,1))+VALUE(MID(UPPER(TRIM(D366)),5,1))+VALUE(MID(UPPER(TRIM(D366)),7,1)))+(INT(2*VALUE(MID(UPPER(TRIM(D366)),2,1))/10)+MOD(2*VALUE(MID(UPPER(TRIM(D366)),2,1)),10))+(INT(2*VALUE(MID(UPPER(TRIM(D366)),4,1))/10)+MOD(2*VALUE(MID(UPPER(TRIM(D366)),4,1)),10))+(INT(2*VALUE(MID(UPPER(TRIM(D366)),6,1))/10)+MOD(2*VALUE(MID(UPPER(TRIM(D366)),6,1)),10))+(INT(2*VALUE(MID(UPPER(TRIM(D366)),8,1))/10)+MOD(2*VALUE(MID(UPPER(TRIM(D366)),8,1)),10)),10),10)+1,1)),"OK","REVISAR")),"REVISAR")))</f>
        <v/>
      </c>
      <c r="Q366">
        <f>IF(B366="","",IF(COUNTIFS($B$2:$B$501,B366,$D$2:$D$501,D366)&gt;1,"DUPLICADA",""))</f>
        <v/>
      </c>
      <c r="R366">
        <f>IF(A366="","",ROUNDUP(MONTH(A366)/3,0))</f>
        <v/>
      </c>
      <c r="S366" s="3" t="n"/>
    </row>
    <row r="367">
      <c r="A367" s="2" t="n"/>
      <c r="B367" s="3" t="n"/>
      <c r="C367" s="3" t="n"/>
      <c r="D367" s="3" t="n"/>
      <c r="E367" s="4" t="n"/>
      <c r="F367" s="4" t="n"/>
      <c r="G367" s="4" t="n"/>
      <c r="H367" s="4" t="n"/>
      <c r="I367" s="5">
        <f>IF(E367="","",ROUND(E367*0.21,2))</f>
        <v/>
      </c>
      <c r="J367" s="5">
        <f>IF(F367="","",ROUND(F367*0.1,2))</f>
        <v/>
      </c>
      <c r="K367" s="5">
        <f>IF(G367="","",ROUND(G367*0.04,2))</f>
        <v/>
      </c>
      <c r="L367" s="4" t="n"/>
      <c r="M367" s="4" t="n"/>
      <c r="N367" s="5">
        <f>IF(A367="","",SUM(E367:K367)-N(L367))</f>
        <v/>
      </c>
      <c r="O367">
        <f>IF(OR(A367="",M367=""),"",IF(ABS(M367-N367)&lt;=0.02,"OK","REVISAR"))</f>
        <v/>
      </c>
      <c r="P367">
        <f>IF(D367="","",IF(LEN(TRIM(D367))&lt;&gt;9,"REVISAR",IFERROR(IF(OR(ISNUMBER(VALUE(LEFT(UPPER(TRIM(D367)),1))),LEFT(UPPER(TRIM(D367)),1)="X",LEFT(UPPER(TRIM(D367)),1)="Y",LEFT(UPPER(TRIM(D367)),1)="Z"),IF(MID("TRWAGMYFPDXBNJZSQVHLCKE",MOD(VALUE(SUBSTITUTE(SUBSTITUTE(SUBSTITUTE(LEFT(UPPER(TRIM(D367)),8),"X","0"),"Y","1"),"Z","2")),23)+1,1)=RIGHT(UPPER(TRIM(D367)),1),"OK","REVISAR"),IF(OR(RIGHT(UPPER(TRIM(D367)),1)=TEXT(MOD(10-MOD((VALUE(MID(UPPER(TRIM(D367)),3,1))+VALUE(MID(UPPER(TRIM(D367)),5,1))+VALUE(MID(UPPER(TRIM(D367)),7,1)))+(INT(2*VALUE(MID(UPPER(TRIM(D367)),2,1))/10)+MOD(2*VALUE(MID(UPPER(TRIM(D367)),2,1)),10))+(INT(2*VALUE(MID(UPPER(TRIM(D367)),4,1))/10)+MOD(2*VALUE(MID(UPPER(TRIM(D367)),4,1)),10))+(INT(2*VALUE(MID(UPPER(TRIM(D367)),6,1))/10)+MOD(2*VALUE(MID(UPPER(TRIM(D367)),6,1)),10))+(INT(2*VALUE(MID(UPPER(TRIM(D367)),8,1))/10)+MOD(2*VALUE(MID(UPPER(TRIM(D367)),8,1)),10)),10),10),"0"),RIGHT(UPPER(TRIM(D367)),1)=MID("JABCDEFGHI",MOD(10-MOD((VALUE(MID(UPPER(TRIM(D367)),3,1))+VALUE(MID(UPPER(TRIM(D367)),5,1))+VALUE(MID(UPPER(TRIM(D367)),7,1)))+(INT(2*VALUE(MID(UPPER(TRIM(D367)),2,1))/10)+MOD(2*VALUE(MID(UPPER(TRIM(D367)),2,1)),10))+(INT(2*VALUE(MID(UPPER(TRIM(D367)),4,1))/10)+MOD(2*VALUE(MID(UPPER(TRIM(D367)),4,1)),10))+(INT(2*VALUE(MID(UPPER(TRIM(D367)),6,1))/10)+MOD(2*VALUE(MID(UPPER(TRIM(D367)),6,1)),10))+(INT(2*VALUE(MID(UPPER(TRIM(D367)),8,1))/10)+MOD(2*VALUE(MID(UPPER(TRIM(D367)),8,1)),10)),10),10)+1,1)),"OK","REVISAR")),"REVISAR")))</f>
        <v/>
      </c>
      <c r="Q367">
        <f>IF(B367="","",IF(COUNTIFS($B$2:$B$501,B367,$D$2:$D$501,D367)&gt;1,"DUPLICADA",""))</f>
        <v/>
      </c>
      <c r="R367">
        <f>IF(A367="","",ROUNDUP(MONTH(A367)/3,0))</f>
        <v/>
      </c>
      <c r="S367" s="3" t="n"/>
    </row>
    <row r="368">
      <c r="A368" s="2" t="n"/>
      <c r="B368" s="3" t="n"/>
      <c r="C368" s="3" t="n"/>
      <c r="D368" s="3" t="n"/>
      <c r="E368" s="4" t="n"/>
      <c r="F368" s="4" t="n"/>
      <c r="G368" s="4" t="n"/>
      <c r="H368" s="4" t="n"/>
      <c r="I368" s="5">
        <f>IF(E368="","",ROUND(E368*0.21,2))</f>
        <v/>
      </c>
      <c r="J368" s="5">
        <f>IF(F368="","",ROUND(F368*0.1,2))</f>
        <v/>
      </c>
      <c r="K368" s="5">
        <f>IF(G368="","",ROUND(G368*0.04,2))</f>
        <v/>
      </c>
      <c r="L368" s="4" t="n"/>
      <c r="M368" s="4" t="n"/>
      <c r="N368" s="5">
        <f>IF(A368="","",SUM(E368:K368)-N(L368))</f>
        <v/>
      </c>
      <c r="O368">
        <f>IF(OR(A368="",M368=""),"",IF(ABS(M368-N368)&lt;=0.02,"OK","REVISAR"))</f>
        <v/>
      </c>
      <c r="P368">
        <f>IF(D368="","",IF(LEN(TRIM(D368))&lt;&gt;9,"REVISAR",IFERROR(IF(OR(ISNUMBER(VALUE(LEFT(UPPER(TRIM(D368)),1))),LEFT(UPPER(TRIM(D368)),1)="X",LEFT(UPPER(TRIM(D368)),1)="Y",LEFT(UPPER(TRIM(D368)),1)="Z"),IF(MID("TRWAGMYFPDXBNJZSQVHLCKE",MOD(VALUE(SUBSTITUTE(SUBSTITUTE(SUBSTITUTE(LEFT(UPPER(TRIM(D368)),8),"X","0"),"Y","1"),"Z","2")),23)+1,1)=RIGHT(UPPER(TRIM(D368)),1),"OK","REVISAR"),IF(OR(RIGHT(UPPER(TRIM(D368)),1)=TEXT(MOD(10-MOD((VALUE(MID(UPPER(TRIM(D368)),3,1))+VALUE(MID(UPPER(TRIM(D368)),5,1))+VALUE(MID(UPPER(TRIM(D368)),7,1)))+(INT(2*VALUE(MID(UPPER(TRIM(D368)),2,1))/10)+MOD(2*VALUE(MID(UPPER(TRIM(D368)),2,1)),10))+(INT(2*VALUE(MID(UPPER(TRIM(D368)),4,1))/10)+MOD(2*VALUE(MID(UPPER(TRIM(D368)),4,1)),10))+(INT(2*VALUE(MID(UPPER(TRIM(D368)),6,1))/10)+MOD(2*VALUE(MID(UPPER(TRIM(D368)),6,1)),10))+(INT(2*VALUE(MID(UPPER(TRIM(D368)),8,1))/10)+MOD(2*VALUE(MID(UPPER(TRIM(D368)),8,1)),10)),10),10),"0"),RIGHT(UPPER(TRIM(D368)),1)=MID("JABCDEFGHI",MOD(10-MOD((VALUE(MID(UPPER(TRIM(D368)),3,1))+VALUE(MID(UPPER(TRIM(D368)),5,1))+VALUE(MID(UPPER(TRIM(D368)),7,1)))+(INT(2*VALUE(MID(UPPER(TRIM(D368)),2,1))/10)+MOD(2*VALUE(MID(UPPER(TRIM(D368)),2,1)),10))+(INT(2*VALUE(MID(UPPER(TRIM(D368)),4,1))/10)+MOD(2*VALUE(MID(UPPER(TRIM(D368)),4,1)),10))+(INT(2*VALUE(MID(UPPER(TRIM(D368)),6,1))/10)+MOD(2*VALUE(MID(UPPER(TRIM(D368)),6,1)),10))+(INT(2*VALUE(MID(UPPER(TRIM(D368)),8,1))/10)+MOD(2*VALUE(MID(UPPER(TRIM(D368)),8,1)),10)),10),10)+1,1)),"OK","REVISAR")),"REVISAR")))</f>
        <v/>
      </c>
      <c r="Q368">
        <f>IF(B368="","",IF(COUNTIFS($B$2:$B$501,B368,$D$2:$D$501,D368)&gt;1,"DUPLICADA",""))</f>
        <v/>
      </c>
      <c r="R368">
        <f>IF(A368="","",ROUNDUP(MONTH(A368)/3,0))</f>
        <v/>
      </c>
      <c r="S368" s="3" t="n"/>
    </row>
    <row r="369">
      <c r="A369" s="2" t="n"/>
      <c r="B369" s="3" t="n"/>
      <c r="C369" s="3" t="n"/>
      <c r="D369" s="3" t="n"/>
      <c r="E369" s="4" t="n"/>
      <c r="F369" s="4" t="n"/>
      <c r="G369" s="4" t="n"/>
      <c r="H369" s="4" t="n"/>
      <c r="I369" s="5">
        <f>IF(E369="","",ROUND(E369*0.21,2))</f>
        <v/>
      </c>
      <c r="J369" s="5">
        <f>IF(F369="","",ROUND(F369*0.1,2))</f>
        <v/>
      </c>
      <c r="K369" s="5">
        <f>IF(G369="","",ROUND(G369*0.04,2))</f>
        <v/>
      </c>
      <c r="L369" s="4" t="n"/>
      <c r="M369" s="4" t="n"/>
      <c r="N369" s="5">
        <f>IF(A369="","",SUM(E369:K369)-N(L369))</f>
        <v/>
      </c>
      <c r="O369">
        <f>IF(OR(A369="",M369=""),"",IF(ABS(M369-N369)&lt;=0.02,"OK","REVISAR"))</f>
        <v/>
      </c>
      <c r="P369">
        <f>IF(D369="","",IF(LEN(TRIM(D369))&lt;&gt;9,"REVISAR",IFERROR(IF(OR(ISNUMBER(VALUE(LEFT(UPPER(TRIM(D369)),1))),LEFT(UPPER(TRIM(D369)),1)="X",LEFT(UPPER(TRIM(D369)),1)="Y",LEFT(UPPER(TRIM(D369)),1)="Z"),IF(MID("TRWAGMYFPDXBNJZSQVHLCKE",MOD(VALUE(SUBSTITUTE(SUBSTITUTE(SUBSTITUTE(LEFT(UPPER(TRIM(D369)),8),"X","0"),"Y","1"),"Z","2")),23)+1,1)=RIGHT(UPPER(TRIM(D369)),1),"OK","REVISAR"),IF(OR(RIGHT(UPPER(TRIM(D369)),1)=TEXT(MOD(10-MOD((VALUE(MID(UPPER(TRIM(D369)),3,1))+VALUE(MID(UPPER(TRIM(D369)),5,1))+VALUE(MID(UPPER(TRIM(D369)),7,1)))+(INT(2*VALUE(MID(UPPER(TRIM(D369)),2,1))/10)+MOD(2*VALUE(MID(UPPER(TRIM(D369)),2,1)),10))+(INT(2*VALUE(MID(UPPER(TRIM(D369)),4,1))/10)+MOD(2*VALUE(MID(UPPER(TRIM(D369)),4,1)),10))+(INT(2*VALUE(MID(UPPER(TRIM(D369)),6,1))/10)+MOD(2*VALUE(MID(UPPER(TRIM(D369)),6,1)),10))+(INT(2*VALUE(MID(UPPER(TRIM(D369)),8,1))/10)+MOD(2*VALUE(MID(UPPER(TRIM(D369)),8,1)),10)),10),10),"0"),RIGHT(UPPER(TRIM(D369)),1)=MID("JABCDEFGHI",MOD(10-MOD((VALUE(MID(UPPER(TRIM(D369)),3,1))+VALUE(MID(UPPER(TRIM(D369)),5,1))+VALUE(MID(UPPER(TRIM(D369)),7,1)))+(INT(2*VALUE(MID(UPPER(TRIM(D369)),2,1))/10)+MOD(2*VALUE(MID(UPPER(TRIM(D369)),2,1)),10))+(INT(2*VALUE(MID(UPPER(TRIM(D369)),4,1))/10)+MOD(2*VALUE(MID(UPPER(TRIM(D369)),4,1)),10))+(INT(2*VALUE(MID(UPPER(TRIM(D369)),6,1))/10)+MOD(2*VALUE(MID(UPPER(TRIM(D369)),6,1)),10))+(INT(2*VALUE(MID(UPPER(TRIM(D369)),8,1))/10)+MOD(2*VALUE(MID(UPPER(TRIM(D369)),8,1)),10)),10),10)+1,1)),"OK","REVISAR")),"REVISAR")))</f>
        <v/>
      </c>
      <c r="Q369">
        <f>IF(B369="","",IF(COUNTIFS($B$2:$B$501,B369,$D$2:$D$501,D369)&gt;1,"DUPLICADA",""))</f>
        <v/>
      </c>
      <c r="R369">
        <f>IF(A369="","",ROUNDUP(MONTH(A369)/3,0))</f>
        <v/>
      </c>
      <c r="S369" s="3" t="n"/>
    </row>
    <row r="370">
      <c r="A370" s="2" t="n"/>
      <c r="B370" s="3" t="n"/>
      <c r="C370" s="3" t="n"/>
      <c r="D370" s="3" t="n"/>
      <c r="E370" s="4" t="n"/>
      <c r="F370" s="4" t="n"/>
      <c r="G370" s="4" t="n"/>
      <c r="H370" s="4" t="n"/>
      <c r="I370" s="5">
        <f>IF(E370="","",ROUND(E370*0.21,2))</f>
        <v/>
      </c>
      <c r="J370" s="5">
        <f>IF(F370="","",ROUND(F370*0.1,2))</f>
        <v/>
      </c>
      <c r="K370" s="5">
        <f>IF(G370="","",ROUND(G370*0.04,2))</f>
        <v/>
      </c>
      <c r="L370" s="4" t="n"/>
      <c r="M370" s="4" t="n"/>
      <c r="N370" s="5">
        <f>IF(A370="","",SUM(E370:K370)-N(L370))</f>
        <v/>
      </c>
      <c r="O370">
        <f>IF(OR(A370="",M370=""),"",IF(ABS(M370-N370)&lt;=0.02,"OK","REVISAR"))</f>
        <v/>
      </c>
      <c r="P370">
        <f>IF(D370="","",IF(LEN(TRIM(D370))&lt;&gt;9,"REVISAR",IFERROR(IF(OR(ISNUMBER(VALUE(LEFT(UPPER(TRIM(D370)),1))),LEFT(UPPER(TRIM(D370)),1)="X",LEFT(UPPER(TRIM(D370)),1)="Y",LEFT(UPPER(TRIM(D370)),1)="Z"),IF(MID("TRWAGMYFPDXBNJZSQVHLCKE",MOD(VALUE(SUBSTITUTE(SUBSTITUTE(SUBSTITUTE(LEFT(UPPER(TRIM(D370)),8),"X","0"),"Y","1"),"Z","2")),23)+1,1)=RIGHT(UPPER(TRIM(D370)),1),"OK","REVISAR"),IF(OR(RIGHT(UPPER(TRIM(D370)),1)=TEXT(MOD(10-MOD((VALUE(MID(UPPER(TRIM(D370)),3,1))+VALUE(MID(UPPER(TRIM(D370)),5,1))+VALUE(MID(UPPER(TRIM(D370)),7,1)))+(INT(2*VALUE(MID(UPPER(TRIM(D370)),2,1))/10)+MOD(2*VALUE(MID(UPPER(TRIM(D370)),2,1)),10))+(INT(2*VALUE(MID(UPPER(TRIM(D370)),4,1))/10)+MOD(2*VALUE(MID(UPPER(TRIM(D370)),4,1)),10))+(INT(2*VALUE(MID(UPPER(TRIM(D370)),6,1))/10)+MOD(2*VALUE(MID(UPPER(TRIM(D370)),6,1)),10))+(INT(2*VALUE(MID(UPPER(TRIM(D370)),8,1))/10)+MOD(2*VALUE(MID(UPPER(TRIM(D370)),8,1)),10)),10),10),"0"),RIGHT(UPPER(TRIM(D370)),1)=MID("JABCDEFGHI",MOD(10-MOD((VALUE(MID(UPPER(TRIM(D370)),3,1))+VALUE(MID(UPPER(TRIM(D370)),5,1))+VALUE(MID(UPPER(TRIM(D370)),7,1)))+(INT(2*VALUE(MID(UPPER(TRIM(D370)),2,1))/10)+MOD(2*VALUE(MID(UPPER(TRIM(D370)),2,1)),10))+(INT(2*VALUE(MID(UPPER(TRIM(D370)),4,1))/10)+MOD(2*VALUE(MID(UPPER(TRIM(D370)),4,1)),10))+(INT(2*VALUE(MID(UPPER(TRIM(D370)),6,1))/10)+MOD(2*VALUE(MID(UPPER(TRIM(D370)),6,1)),10))+(INT(2*VALUE(MID(UPPER(TRIM(D370)),8,1))/10)+MOD(2*VALUE(MID(UPPER(TRIM(D370)),8,1)),10)),10),10)+1,1)),"OK","REVISAR")),"REVISAR")))</f>
        <v/>
      </c>
      <c r="Q370">
        <f>IF(B370="","",IF(COUNTIFS($B$2:$B$501,B370,$D$2:$D$501,D370)&gt;1,"DUPLICADA",""))</f>
        <v/>
      </c>
      <c r="R370">
        <f>IF(A370="","",ROUNDUP(MONTH(A370)/3,0))</f>
        <v/>
      </c>
      <c r="S370" s="3" t="n"/>
    </row>
    <row r="371">
      <c r="A371" s="2" t="n"/>
      <c r="B371" s="3" t="n"/>
      <c r="C371" s="3" t="n"/>
      <c r="D371" s="3" t="n"/>
      <c r="E371" s="4" t="n"/>
      <c r="F371" s="4" t="n"/>
      <c r="G371" s="4" t="n"/>
      <c r="H371" s="4" t="n"/>
      <c r="I371" s="5">
        <f>IF(E371="","",ROUND(E371*0.21,2))</f>
        <v/>
      </c>
      <c r="J371" s="5">
        <f>IF(F371="","",ROUND(F371*0.1,2))</f>
        <v/>
      </c>
      <c r="K371" s="5">
        <f>IF(G371="","",ROUND(G371*0.04,2))</f>
        <v/>
      </c>
      <c r="L371" s="4" t="n"/>
      <c r="M371" s="4" t="n"/>
      <c r="N371" s="5">
        <f>IF(A371="","",SUM(E371:K371)-N(L371))</f>
        <v/>
      </c>
      <c r="O371">
        <f>IF(OR(A371="",M371=""),"",IF(ABS(M371-N371)&lt;=0.02,"OK","REVISAR"))</f>
        <v/>
      </c>
      <c r="P371">
        <f>IF(D371="","",IF(LEN(TRIM(D371))&lt;&gt;9,"REVISAR",IFERROR(IF(OR(ISNUMBER(VALUE(LEFT(UPPER(TRIM(D371)),1))),LEFT(UPPER(TRIM(D371)),1)="X",LEFT(UPPER(TRIM(D371)),1)="Y",LEFT(UPPER(TRIM(D371)),1)="Z"),IF(MID("TRWAGMYFPDXBNJZSQVHLCKE",MOD(VALUE(SUBSTITUTE(SUBSTITUTE(SUBSTITUTE(LEFT(UPPER(TRIM(D371)),8),"X","0"),"Y","1"),"Z","2")),23)+1,1)=RIGHT(UPPER(TRIM(D371)),1),"OK","REVISAR"),IF(OR(RIGHT(UPPER(TRIM(D371)),1)=TEXT(MOD(10-MOD((VALUE(MID(UPPER(TRIM(D371)),3,1))+VALUE(MID(UPPER(TRIM(D371)),5,1))+VALUE(MID(UPPER(TRIM(D371)),7,1)))+(INT(2*VALUE(MID(UPPER(TRIM(D371)),2,1))/10)+MOD(2*VALUE(MID(UPPER(TRIM(D371)),2,1)),10))+(INT(2*VALUE(MID(UPPER(TRIM(D371)),4,1))/10)+MOD(2*VALUE(MID(UPPER(TRIM(D371)),4,1)),10))+(INT(2*VALUE(MID(UPPER(TRIM(D371)),6,1))/10)+MOD(2*VALUE(MID(UPPER(TRIM(D371)),6,1)),10))+(INT(2*VALUE(MID(UPPER(TRIM(D371)),8,1))/10)+MOD(2*VALUE(MID(UPPER(TRIM(D371)),8,1)),10)),10),10),"0"),RIGHT(UPPER(TRIM(D371)),1)=MID("JABCDEFGHI",MOD(10-MOD((VALUE(MID(UPPER(TRIM(D371)),3,1))+VALUE(MID(UPPER(TRIM(D371)),5,1))+VALUE(MID(UPPER(TRIM(D371)),7,1)))+(INT(2*VALUE(MID(UPPER(TRIM(D371)),2,1))/10)+MOD(2*VALUE(MID(UPPER(TRIM(D371)),2,1)),10))+(INT(2*VALUE(MID(UPPER(TRIM(D371)),4,1))/10)+MOD(2*VALUE(MID(UPPER(TRIM(D371)),4,1)),10))+(INT(2*VALUE(MID(UPPER(TRIM(D371)),6,1))/10)+MOD(2*VALUE(MID(UPPER(TRIM(D371)),6,1)),10))+(INT(2*VALUE(MID(UPPER(TRIM(D371)),8,1))/10)+MOD(2*VALUE(MID(UPPER(TRIM(D371)),8,1)),10)),10),10)+1,1)),"OK","REVISAR")),"REVISAR")))</f>
        <v/>
      </c>
      <c r="Q371">
        <f>IF(B371="","",IF(COUNTIFS($B$2:$B$501,B371,$D$2:$D$501,D371)&gt;1,"DUPLICADA",""))</f>
        <v/>
      </c>
      <c r="R371">
        <f>IF(A371="","",ROUNDUP(MONTH(A371)/3,0))</f>
        <v/>
      </c>
      <c r="S371" s="3" t="n"/>
    </row>
    <row r="372">
      <c r="A372" s="2" t="n"/>
      <c r="B372" s="3" t="n"/>
      <c r="C372" s="3" t="n"/>
      <c r="D372" s="3" t="n"/>
      <c r="E372" s="4" t="n"/>
      <c r="F372" s="4" t="n"/>
      <c r="G372" s="4" t="n"/>
      <c r="H372" s="4" t="n"/>
      <c r="I372" s="5">
        <f>IF(E372="","",ROUND(E372*0.21,2))</f>
        <v/>
      </c>
      <c r="J372" s="5">
        <f>IF(F372="","",ROUND(F372*0.1,2))</f>
        <v/>
      </c>
      <c r="K372" s="5">
        <f>IF(G372="","",ROUND(G372*0.04,2))</f>
        <v/>
      </c>
      <c r="L372" s="4" t="n"/>
      <c r="M372" s="4" t="n"/>
      <c r="N372" s="5">
        <f>IF(A372="","",SUM(E372:K372)-N(L372))</f>
        <v/>
      </c>
      <c r="O372">
        <f>IF(OR(A372="",M372=""),"",IF(ABS(M372-N372)&lt;=0.02,"OK","REVISAR"))</f>
        <v/>
      </c>
      <c r="P372">
        <f>IF(D372="","",IF(LEN(TRIM(D372))&lt;&gt;9,"REVISAR",IFERROR(IF(OR(ISNUMBER(VALUE(LEFT(UPPER(TRIM(D372)),1))),LEFT(UPPER(TRIM(D372)),1)="X",LEFT(UPPER(TRIM(D372)),1)="Y",LEFT(UPPER(TRIM(D372)),1)="Z"),IF(MID("TRWAGMYFPDXBNJZSQVHLCKE",MOD(VALUE(SUBSTITUTE(SUBSTITUTE(SUBSTITUTE(LEFT(UPPER(TRIM(D372)),8),"X","0"),"Y","1"),"Z","2")),23)+1,1)=RIGHT(UPPER(TRIM(D372)),1),"OK","REVISAR"),IF(OR(RIGHT(UPPER(TRIM(D372)),1)=TEXT(MOD(10-MOD((VALUE(MID(UPPER(TRIM(D372)),3,1))+VALUE(MID(UPPER(TRIM(D372)),5,1))+VALUE(MID(UPPER(TRIM(D372)),7,1)))+(INT(2*VALUE(MID(UPPER(TRIM(D372)),2,1))/10)+MOD(2*VALUE(MID(UPPER(TRIM(D372)),2,1)),10))+(INT(2*VALUE(MID(UPPER(TRIM(D372)),4,1))/10)+MOD(2*VALUE(MID(UPPER(TRIM(D372)),4,1)),10))+(INT(2*VALUE(MID(UPPER(TRIM(D372)),6,1))/10)+MOD(2*VALUE(MID(UPPER(TRIM(D372)),6,1)),10))+(INT(2*VALUE(MID(UPPER(TRIM(D372)),8,1))/10)+MOD(2*VALUE(MID(UPPER(TRIM(D372)),8,1)),10)),10),10),"0"),RIGHT(UPPER(TRIM(D372)),1)=MID("JABCDEFGHI",MOD(10-MOD((VALUE(MID(UPPER(TRIM(D372)),3,1))+VALUE(MID(UPPER(TRIM(D372)),5,1))+VALUE(MID(UPPER(TRIM(D372)),7,1)))+(INT(2*VALUE(MID(UPPER(TRIM(D372)),2,1))/10)+MOD(2*VALUE(MID(UPPER(TRIM(D372)),2,1)),10))+(INT(2*VALUE(MID(UPPER(TRIM(D372)),4,1))/10)+MOD(2*VALUE(MID(UPPER(TRIM(D372)),4,1)),10))+(INT(2*VALUE(MID(UPPER(TRIM(D372)),6,1))/10)+MOD(2*VALUE(MID(UPPER(TRIM(D372)),6,1)),10))+(INT(2*VALUE(MID(UPPER(TRIM(D372)),8,1))/10)+MOD(2*VALUE(MID(UPPER(TRIM(D372)),8,1)),10)),10),10)+1,1)),"OK","REVISAR")),"REVISAR")))</f>
        <v/>
      </c>
      <c r="Q372">
        <f>IF(B372="","",IF(COUNTIFS($B$2:$B$501,B372,$D$2:$D$501,D372)&gt;1,"DUPLICADA",""))</f>
        <v/>
      </c>
      <c r="R372">
        <f>IF(A372="","",ROUNDUP(MONTH(A372)/3,0))</f>
        <v/>
      </c>
      <c r="S372" s="3" t="n"/>
    </row>
    <row r="373">
      <c r="A373" s="2" t="n"/>
      <c r="B373" s="3" t="n"/>
      <c r="C373" s="3" t="n"/>
      <c r="D373" s="3" t="n"/>
      <c r="E373" s="4" t="n"/>
      <c r="F373" s="4" t="n"/>
      <c r="G373" s="4" t="n"/>
      <c r="H373" s="4" t="n"/>
      <c r="I373" s="5">
        <f>IF(E373="","",ROUND(E373*0.21,2))</f>
        <v/>
      </c>
      <c r="J373" s="5">
        <f>IF(F373="","",ROUND(F373*0.1,2))</f>
        <v/>
      </c>
      <c r="K373" s="5">
        <f>IF(G373="","",ROUND(G373*0.04,2))</f>
        <v/>
      </c>
      <c r="L373" s="4" t="n"/>
      <c r="M373" s="4" t="n"/>
      <c r="N373" s="5">
        <f>IF(A373="","",SUM(E373:K373)-N(L373))</f>
        <v/>
      </c>
      <c r="O373">
        <f>IF(OR(A373="",M373=""),"",IF(ABS(M373-N373)&lt;=0.02,"OK","REVISAR"))</f>
        <v/>
      </c>
      <c r="P373">
        <f>IF(D373="","",IF(LEN(TRIM(D373))&lt;&gt;9,"REVISAR",IFERROR(IF(OR(ISNUMBER(VALUE(LEFT(UPPER(TRIM(D373)),1))),LEFT(UPPER(TRIM(D373)),1)="X",LEFT(UPPER(TRIM(D373)),1)="Y",LEFT(UPPER(TRIM(D373)),1)="Z"),IF(MID("TRWAGMYFPDXBNJZSQVHLCKE",MOD(VALUE(SUBSTITUTE(SUBSTITUTE(SUBSTITUTE(LEFT(UPPER(TRIM(D373)),8),"X","0"),"Y","1"),"Z","2")),23)+1,1)=RIGHT(UPPER(TRIM(D373)),1),"OK","REVISAR"),IF(OR(RIGHT(UPPER(TRIM(D373)),1)=TEXT(MOD(10-MOD((VALUE(MID(UPPER(TRIM(D373)),3,1))+VALUE(MID(UPPER(TRIM(D373)),5,1))+VALUE(MID(UPPER(TRIM(D373)),7,1)))+(INT(2*VALUE(MID(UPPER(TRIM(D373)),2,1))/10)+MOD(2*VALUE(MID(UPPER(TRIM(D373)),2,1)),10))+(INT(2*VALUE(MID(UPPER(TRIM(D373)),4,1))/10)+MOD(2*VALUE(MID(UPPER(TRIM(D373)),4,1)),10))+(INT(2*VALUE(MID(UPPER(TRIM(D373)),6,1))/10)+MOD(2*VALUE(MID(UPPER(TRIM(D373)),6,1)),10))+(INT(2*VALUE(MID(UPPER(TRIM(D373)),8,1))/10)+MOD(2*VALUE(MID(UPPER(TRIM(D373)),8,1)),10)),10),10),"0"),RIGHT(UPPER(TRIM(D373)),1)=MID("JABCDEFGHI",MOD(10-MOD((VALUE(MID(UPPER(TRIM(D373)),3,1))+VALUE(MID(UPPER(TRIM(D373)),5,1))+VALUE(MID(UPPER(TRIM(D373)),7,1)))+(INT(2*VALUE(MID(UPPER(TRIM(D373)),2,1))/10)+MOD(2*VALUE(MID(UPPER(TRIM(D373)),2,1)),10))+(INT(2*VALUE(MID(UPPER(TRIM(D373)),4,1))/10)+MOD(2*VALUE(MID(UPPER(TRIM(D373)),4,1)),10))+(INT(2*VALUE(MID(UPPER(TRIM(D373)),6,1))/10)+MOD(2*VALUE(MID(UPPER(TRIM(D373)),6,1)),10))+(INT(2*VALUE(MID(UPPER(TRIM(D373)),8,1))/10)+MOD(2*VALUE(MID(UPPER(TRIM(D373)),8,1)),10)),10),10)+1,1)),"OK","REVISAR")),"REVISAR")))</f>
        <v/>
      </c>
      <c r="Q373">
        <f>IF(B373="","",IF(COUNTIFS($B$2:$B$501,B373,$D$2:$D$501,D373)&gt;1,"DUPLICADA",""))</f>
        <v/>
      </c>
      <c r="R373">
        <f>IF(A373="","",ROUNDUP(MONTH(A373)/3,0))</f>
        <v/>
      </c>
      <c r="S373" s="3" t="n"/>
    </row>
    <row r="374">
      <c r="A374" s="2" t="n"/>
      <c r="B374" s="3" t="n"/>
      <c r="C374" s="3" t="n"/>
      <c r="D374" s="3" t="n"/>
      <c r="E374" s="4" t="n"/>
      <c r="F374" s="4" t="n"/>
      <c r="G374" s="4" t="n"/>
      <c r="H374" s="4" t="n"/>
      <c r="I374" s="5">
        <f>IF(E374="","",ROUND(E374*0.21,2))</f>
        <v/>
      </c>
      <c r="J374" s="5">
        <f>IF(F374="","",ROUND(F374*0.1,2))</f>
        <v/>
      </c>
      <c r="K374" s="5">
        <f>IF(G374="","",ROUND(G374*0.04,2))</f>
        <v/>
      </c>
      <c r="L374" s="4" t="n"/>
      <c r="M374" s="4" t="n"/>
      <c r="N374" s="5">
        <f>IF(A374="","",SUM(E374:K374)-N(L374))</f>
        <v/>
      </c>
      <c r="O374">
        <f>IF(OR(A374="",M374=""),"",IF(ABS(M374-N374)&lt;=0.02,"OK","REVISAR"))</f>
        <v/>
      </c>
      <c r="P374">
        <f>IF(D374="","",IF(LEN(TRIM(D374))&lt;&gt;9,"REVISAR",IFERROR(IF(OR(ISNUMBER(VALUE(LEFT(UPPER(TRIM(D374)),1))),LEFT(UPPER(TRIM(D374)),1)="X",LEFT(UPPER(TRIM(D374)),1)="Y",LEFT(UPPER(TRIM(D374)),1)="Z"),IF(MID("TRWAGMYFPDXBNJZSQVHLCKE",MOD(VALUE(SUBSTITUTE(SUBSTITUTE(SUBSTITUTE(LEFT(UPPER(TRIM(D374)),8),"X","0"),"Y","1"),"Z","2")),23)+1,1)=RIGHT(UPPER(TRIM(D374)),1),"OK","REVISAR"),IF(OR(RIGHT(UPPER(TRIM(D374)),1)=TEXT(MOD(10-MOD((VALUE(MID(UPPER(TRIM(D374)),3,1))+VALUE(MID(UPPER(TRIM(D374)),5,1))+VALUE(MID(UPPER(TRIM(D374)),7,1)))+(INT(2*VALUE(MID(UPPER(TRIM(D374)),2,1))/10)+MOD(2*VALUE(MID(UPPER(TRIM(D374)),2,1)),10))+(INT(2*VALUE(MID(UPPER(TRIM(D374)),4,1))/10)+MOD(2*VALUE(MID(UPPER(TRIM(D374)),4,1)),10))+(INT(2*VALUE(MID(UPPER(TRIM(D374)),6,1))/10)+MOD(2*VALUE(MID(UPPER(TRIM(D374)),6,1)),10))+(INT(2*VALUE(MID(UPPER(TRIM(D374)),8,1))/10)+MOD(2*VALUE(MID(UPPER(TRIM(D374)),8,1)),10)),10),10),"0"),RIGHT(UPPER(TRIM(D374)),1)=MID("JABCDEFGHI",MOD(10-MOD((VALUE(MID(UPPER(TRIM(D374)),3,1))+VALUE(MID(UPPER(TRIM(D374)),5,1))+VALUE(MID(UPPER(TRIM(D374)),7,1)))+(INT(2*VALUE(MID(UPPER(TRIM(D374)),2,1))/10)+MOD(2*VALUE(MID(UPPER(TRIM(D374)),2,1)),10))+(INT(2*VALUE(MID(UPPER(TRIM(D374)),4,1))/10)+MOD(2*VALUE(MID(UPPER(TRIM(D374)),4,1)),10))+(INT(2*VALUE(MID(UPPER(TRIM(D374)),6,1))/10)+MOD(2*VALUE(MID(UPPER(TRIM(D374)),6,1)),10))+(INT(2*VALUE(MID(UPPER(TRIM(D374)),8,1))/10)+MOD(2*VALUE(MID(UPPER(TRIM(D374)),8,1)),10)),10),10)+1,1)),"OK","REVISAR")),"REVISAR")))</f>
        <v/>
      </c>
      <c r="Q374">
        <f>IF(B374="","",IF(COUNTIFS($B$2:$B$501,B374,$D$2:$D$501,D374)&gt;1,"DUPLICADA",""))</f>
        <v/>
      </c>
      <c r="R374">
        <f>IF(A374="","",ROUNDUP(MONTH(A374)/3,0))</f>
        <v/>
      </c>
      <c r="S374" s="3" t="n"/>
    </row>
    <row r="375">
      <c r="A375" s="2" t="n"/>
      <c r="B375" s="3" t="n"/>
      <c r="C375" s="3" t="n"/>
      <c r="D375" s="3" t="n"/>
      <c r="E375" s="4" t="n"/>
      <c r="F375" s="4" t="n"/>
      <c r="G375" s="4" t="n"/>
      <c r="H375" s="4" t="n"/>
      <c r="I375" s="5">
        <f>IF(E375="","",ROUND(E375*0.21,2))</f>
        <v/>
      </c>
      <c r="J375" s="5">
        <f>IF(F375="","",ROUND(F375*0.1,2))</f>
        <v/>
      </c>
      <c r="K375" s="5">
        <f>IF(G375="","",ROUND(G375*0.04,2))</f>
        <v/>
      </c>
      <c r="L375" s="4" t="n"/>
      <c r="M375" s="4" t="n"/>
      <c r="N375" s="5">
        <f>IF(A375="","",SUM(E375:K375)-N(L375))</f>
        <v/>
      </c>
      <c r="O375">
        <f>IF(OR(A375="",M375=""),"",IF(ABS(M375-N375)&lt;=0.02,"OK","REVISAR"))</f>
        <v/>
      </c>
      <c r="P375">
        <f>IF(D375="","",IF(LEN(TRIM(D375))&lt;&gt;9,"REVISAR",IFERROR(IF(OR(ISNUMBER(VALUE(LEFT(UPPER(TRIM(D375)),1))),LEFT(UPPER(TRIM(D375)),1)="X",LEFT(UPPER(TRIM(D375)),1)="Y",LEFT(UPPER(TRIM(D375)),1)="Z"),IF(MID("TRWAGMYFPDXBNJZSQVHLCKE",MOD(VALUE(SUBSTITUTE(SUBSTITUTE(SUBSTITUTE(LEFT(UPPER(TRIM(D375)),8),"X","0"),"Y","1"),"Z","2")),23)+1,1)=RIGHT(UPPER(TRIM(D375)),1),"OK","REVISAR"),IF(OR(RIGHT(UPPER(TRIM(D375)),1)=TEXT(MOD(10-MOD((VALUE(MID(UPPER(TRIM(D375)),3,1))+VALUE(MID(UPPER(TRIM(D375)),5,1))+VALUE(MID(UPPER(TRIM(D375)),7,1)))+(INT(2*VALUE(MID(UPPER(TRIM(D375)),2,1))/10)+MOD(2*VALUE(MID(UPPER(TRIM(D375)),2,1)),10))+(INT(2*VALUE(MID(UPPER(TRIM(D375)),4,1))/10)+MOD(2*VALUE(MID(UPPER(TRIM(D375)),4,1)),10))+(INT(2*VALUE(MID(UPPER(TRIM(D375)),6,1))/10)+MOD(2*VALUE(MID(UPPER(TRIM(D375)),6,1)),10))+(INT(2*VALUE(MID(UPPER(TRIM(D375)),8,1))/10)+MOD(2*VALUE(MID(UPPER(TRIM(D375)),8,1)),10)),10),10),"0"),RIGHT(UPPER(TRIM(D375)),1)=MID("JABCDEFGHI",MOD(10-MOD((VALUE(MID(UPPER(TRIM(D375)),3,1))+VALUE(MID(UPPER(TRIM(D375)),5,1))+VALUE(MID(UPPER(TRIM(D375)),7,1)))+(INT(2*VALUE(MID(UPPER(TRIM(D375)),2,1))/10)+MOD(2*VALUE(MID(UPPER(TRIM(D375)),2,1)),10))+(INT(2*VALUE(MID(UPPER(TRIM(D375)),4,1))/10)+MOD(2*VALUE(MID(UPPER(TRIM(D375)),4,1)),10))+(INT(2*VALUE(MID(UPPER(TRIM(D375)),6,1))/10)+MOD(2*VALUE(MID(UPPER(TRIM(D375)),6,1)),10))+(INT(2*VALUE(MID(UPPER(TRIM(D375)),8,1))/10)+MOD(2*VALUE(MID(UPPER(TRIM(D375)),8,1)),10)),10),10)+1,1)),"OK","REVISAR")),"REVISAR")))</f>
        <v/>
      </c>
      <c r="Q375">
        <f>IF(B375="","",IF(COUNTIFS($B$2:$B$501,B375,$D$2:$D$501,D375)&gt;1,"DUPLICADA",""))</f>
        <v/>
      </c>
      <c r="R375">
        <f>IF(A375="","",ROUNDUP(MONTH(A375)/3,0))</f>
        <v/>
      </c>
      <c r="S375" s="3" t="n"/>
    </row>
    <row r="376">
      <c r="A376" s="2" t="n"/>
      <c r="B376" s="3" t="n"/>
      <c r="C376" s="3" t="n"/>
      <c r="D376" s="3" t="n"/>
      <c r="E376" s="4" t="n"/>
      <c r="F376" s="4" t="n"/>
      <c r="G376" s="4" t="n"/>
      <c r="H376" s="4" t="n"/>
      <c r="I376" s="5">
        <f>IF(E376="","",ROUND(E376*0.21,2))</f>
        <v/>
      </c>
      <c r="J376" s="5">
        <f>IF(F376="","",ROUND(F376*0.1,2))</f>
        <v/>
      </c>
      <c r="K376" s="5">
        <f>IF(G376="","",ROUND(G376*0.04,2))</f>
        <v/>
      </c>
      <c r="L376" s="4" t="n"/>
      <c r="M376" s="4" t="n"/>
      <c r="N376" s="5">
        <f>IF(A376="","",SUM(E376:K376)-N(L376))</f>
        <v/>
      </c>
      <c r="O376">
        <f>IF(OR(A376="",M376=""),"",IF(ABS(M376-N376)&lt;=0.02,"OK","REVISAR"))</f>
        <v/>
      </c>
      <c r="P376">
        <f>IF(D376="","",IF(LEN(TRIM(D376))&lt;&gt;9,"REVISAR",IFERROR(IF(OR(ISNUMBER(VALUE(LEFT(UPPER(TRIM(D376)),1))),LEFT(UPPER(TRIM(D376)),1)="X",LEFT(UPPER(TRIM(D376)),1)="Y",LEFT(UPPER(TRIM(D376)),1)="Z"),IF(MID("TRWAGMYFPDXBNJZSQVHLCKE",MOD(VALUE(SUBSTITUTE(SUBSTITUTE(SUBSTITUTE(LEFT(UPPER(TRIM(D376)),8),"X","0"),"Y","1"),"Z","2")),23)+1,1)=RIGHT(UPPER(TRIM(D376)),1),"OK","REVISAR"),IF(OR(RIGHT(UPPER(TRIM(D376)),1)=TEXT(MOD(10-MOD((VALUE(MID(UPPER(TRIM(D376)),3,1))+VALUE(MID(UPPER(TRIM(D376)),5,1))+VALUE(MID(UPPER(TRIM(D376)),7,1)))+(INT(2*VALUE(MID(UPPER(TRIM(D376)),2,1))/10)+MOD(2*VALUE(MID(UPPER(TRIM(D376)),2,1)),10))+(INT(2*VALUE(MID(UPPER(TRIM(D376)),4,1))/10)+MOD(2*VALUE(MID(UPPER(TRIM(D376)),4,1)),10))+(INT(2*VALUE(MID(UPPER(TRIM(D376)),6,1))/10)+MOD(2*VALUE(MID(UPPER(TRIM(D376)),6,1)),10))+(INT(2*VALUE(MID(UPPER(TRIM(D376)),8,1))/10)+MOD(2*VALUE(MID(UPPER(TRIM(D376)),8,1)),10)),10),10),"0"),RIGHT(UPPER(TRIM(D376)),1)=MID("JABCDEFGHI",MOD(10-MOD((VALUE(MID(UPPER(TRIM(D376)),3,1))+VALUE(MID(UPPER(TRIM(D376)),5,1))+VALUE(MID(UPPER(TRIM(D376)),7,1)))+(INT(2*VALUE(MID(UPPER(TRIM(D376)),2,1))/10)+MOD(2*VALUE(MID(UPPER(TRIM(D376)),2,1)),10))+(INT(2*VALUE(MID(UPPER(TRIM(D376)),4,1))/10)+MOD(2*VALUE(MID(UPPER(TRIM(D376)),4,1)),10))+(INT(2*VALUE(MID(UPPER(TRIM(D376)),6,1))/10)+MOD(2*VALUE(MID(UPPER(TRIM(D376)),6,1)),10))+(INT(2*VALUE(MID(UPPER(TRIM(D376)),8,1))/10)+MOD(2*VALUE(MID(UPPER(TRIM(D376)),8,1)),10)),10),10)+1,1)),"OK","REVISAR")),"REVISAR")))</f>
        <v/>
      </c>
      <c r="Q376">
        <f>IF(B376="","",IF(COUNTIFS($B$2:$B$501,B376,$D$2:$D$501,D376)&gt;1,"DUPLICADA",""))</f>
        <v/>
      </c>
      <c r="R376">
        <f>IF(A376="","",ROUNDUP(MONTH(A376)/3,0))</f>
        <v/>
      </c>
      <c r="S376" s="3" t="n"/>
    </row>
    <row r="377">
      <c r="A377" s="2" t="n"/>
      <c r="B377" s="3" t="n"/>
      <c r="C377" s="3" t="n"/>
      <c r="D377" s="3" t="n"/>
      <c r="E377" s="4" t="n"/>
      <c r="F377" s="4" t="n"/>
      <c r="G377" s="4" t="n"/>
      <c r="H377" s="4" t="n"/>
      <c r="I377" s="5">
        <f>IF(E377="","",ROUND(E377*0.21,2))</f>
        <v/>
      </c>
      <c r="J377" s="5">
        <f>IF(F377="","",ROUND(F377*0.1,2))</f>
        <v/>
      </c>
      <c r="K377" s="5">
        <f>IF(G377="","",ROUND(G377*0.04,2))</f>
        <v/>
      </c>
      <c r="L377" s="4" t="n"/>
      <c r="M377" s="4" t="n"/>
      <c r="N377" s="5">
        <f>IF(A377="","",SUM(E377:K377)-N(L377))</f>
        <v/>
      </c>
      <c r="O377">
        <f>IF(OR(A377="",M377=""),"",IF(ABS(M377-N377)&lt;=0.02,"OK","REVISAR"))</f>
        <v/>
      </c>
      <c r="P377">
        <f>IF(D377="","",IF(LEN(TRIM(D377))&lt;&gt;9,"REVISAR",IFERROR(IF(OR(ISNUMBER(VALUE(LEFT(UPPER(TRIM(D377)),1))),LEFT(UPPER(TRIM(D377)),1)="X",LEFT(UPPER(TRIM(D377)),1)="Y",LEFT(UPPER(TRIM(D377)),1)="Z"),IF(MID("TRWAGMYFPDXBNJZSQVHLCKE",MOD(VALUE(SUBSTITUTE(SUBSTITUTE(SUBSTITUTE(LEFT(UPPER(TRIM(D377)),8),"X","0"),"Y","1"),"Z","2")),23)+1,1)=RIGHT(UPPER(TRIM(D377)),1),"OK","REVISAR"),IF(OR(RIGHT(UPPER(TRIM(D377)),1)=TEXT(MOD(10-MOD((VALUE(MID(UPPER(TRIM(D377)),3,1))+VALUE(MID(UPPER(TRIM(D377)),5,1))+VALUE(MID(UPPER(TRIM(D377)),7,1)))+(INT(2*VALUE(MID(UPPER(TRIM(D377)),2,1))/10)+MOD(2*VALUE(MID(UPPER(TRIM(D377)),2,1)),10))+(INT(2*VALUE(MID(UPPER(TRIM(D377)),4,1))/10)+MOD(2*VALUE(MID(UPPER(TRIM(D377)),4,1)),10))+(INT(2*VALUE(MID(UPPER(TRIM(D377)),6,1))/10)+MOD(2*VALUE(MID(UPPER(TRIM(D377)),6,1)),10))+(INT(2*VALUE(MID(UPPER(TRIM(D377)),8,1))/10)+MOD(2*VALUE(MID(UPPER(TRIM(D377)),8,1)),10)),10),10),"0"),RIGHT(UPPER(TRIM(D377)),1)=MID("JABCDEFGHI",MOD(10-MOD((VALUE(MID(UPPER(TRIM(D377)),3,1))+VALUE(MID(UPPER(TRIM(D377)),5,1))+VALUE(MID(UPPER(TRIM(D377)),7,1)))+(INT(2*VALUE(MID(UPPER(TRIM(D377)),2,1))/10)+MOD(2*VALUE(MID(UPPER(TRIM(D377)),2,1)),10))+(INT(2*VALUE(MID(UPPER(TRIM(D377)),4,1))/10)+MOD(2*VALUE(MID(UPPER(TRIM(D377)),4,1)),10))+(INT(2*VALUE(MID(UPPER(TRIM(D377)),6,1))/10)+MOD(2*VALUE(MID(UPPER(TRIM(D377)),6,1)),10))+(INT(2*VALUE(MID(UPPER(TRIM(D377)),8,1))/10)+MOD(2*VALUE(MID(UPPER(TRIM(D377)),8,1)),10)),10),10)+1,1)),"OK","REVISAR")),"REVISAR")))</f>
        <v/>
      </c>
      <c r="Q377">
        <f>IF(B377="","",IF(COUNTIFS($B$2:$B$501,B377,$D$2:$D$501,D377)&gt;1,"DUPLICADA",""))</f>
        <v/>
      </c>
      <c r="R377">
        <f>IF(A377="","",ROUNDUP(MONTH(A377)/3,0))</f>
        <v/>
      </c>
      <c r="S377" s="3" t="n"/>
    </row>
    <row r="378">
      <c r="A378" s="2" t="n"/>
      <c r="B378" s="3" t="n"/>
      <c r="C378" s="3" t="n"/>
      <c r="D378" s="3" t="n"/>
      <c r="E378" s="4" t="n"/>
      <c r="F378" s="4" t="n"/>
      <c r="G378" s="4" t="n"/>
      <c r="H378" s="4" t="n"/>
      <c r="I378" s="5">
        <f>IF(E378="","",ROUND(E378*0.21,2))</f>
        <v/>
      </c>
      <c r="J378" s="5">
        <f>IF(F378="","",ROUND(F378*0.1,2))</f>
        <v/>
      </c>
      <c r="K378" s="5">
        <f>IF(G378="","",ROUND(G378*0.04,2))</f>
        <v/>
      </c>
      <c r="L378" s="4" t="n"/>
      <c r="M378" s="4" t="n"/>
      <c r="N378" s="5">
        <f>IF(A378="","",SUM(E378:K378)-N(L378))</f>
        <v/>
      </c>
      <c r="O378">
        <f>IF(OR(A378="",M378=""),"",IF(ABS(M378-N378)&lt;=0.02,"OK","REVISAR"))</f>
        <v/>
      </c>
      <c r="P378">
        <f>IF(D378="","",IF(LEN(TRIM(D378))&lt;&gt;9,"REVISAR",IFERROR(IF(OR(ISNUMBER(VALUE(LEFT(UPPER(TRIM(D378)),1))),LEFT(UPPER(TRIM(D378)),1)="X",LEFT(UPPER(TRIM(D378)),1)="Y",LEFT(UPPER(TRIM(D378)),1)="Z"),IF(MID("TRWAGMYFPDXBNJZSQVHLCKE",MOD(VALUE(SUBSTITUTE(SUBSTITUTE(SUBSTITUTE(LEFT(UPPER(TRIM(D378)),8),"X","0"),"Y","1"),"Z","2")),23)+1,1)=RIGHT(UPPER(TRIM(D378)),1),"OK","REVISAR"),IF(OR(RIGHT(UPPER(TRIM(D378)),1)=TEXT(MOD(10-MOD((VALUE(MID(UPPER(TRIM(D378)),3,1))+VALUE(MID(UPPER(TRIM(D378)),5,1))+VALUE(MID(UPPER(TRIM(D378)),7,1)))+(INT(2*VALUE(MID(UPPER(TRIM(D378)),2,1))/10)+MOD(2*VALUE(MID(UPPER(TRIM(D378)),2,1)),10))+(INT(2*VALUE(MID(UPPER(TRIM(D378)),4,1))/10)+MOD(2*VALUE(MID(UPPER(TRIM(D378)),4,1)),10))+(INT(2*VALUE(MID(UPPER(TRIM(D378)),6,1))/10)+MOD(2*VALUE(MID(UPPER(TRIM(D378)),6,1)),10))+(INT(2*VALUE(MID(UPPER(TRIM(D378)),8,1))/10)+MOD(2*VALUE(MID(UPPER(TRIM(D378)),8,1)),10)),10),10),"0"),RIGHT(UPPER(TRIM(D378)),1)=MID("JABCDEFGHI",MOD(10-MOD((VALUE(MID(UPPER(TRIM(D378)),3,1))+VALUE(MID(UPPER(TRIM(D378)),5,1))+VALUE(MID(UPPER(TRIM(D378)),7,1)))+(INT(2*VALUE(MID(UPPER(TRIM(D378)),2,1))/10)+MOD(2*VALUE(MID(UPPER(TRIM(D378)),2,1)),10))+(INT(2*VALUE(MID(UPPER(TRIM(D378)),4,1))/10)+MOD(2*VALUE(MID(UPPER(TRIM(D378)),4,1)),10))+(INT(2*VALUE(MID(UPPER(TRIM(D378)),6,1))/10)+MOD(2*VALUE(MID(UPPER(TRIM(D378)),6,1)),10))+(INT(2*VALUE(MID(UPPER(TRIM(D378)),8,1))/10)+MOD(2*VALUE(MID(UPPER(TRIM(D378)),8,1)),10)),10),10)+1,1)),"OK","REVISAR")),"REVISAR")))</f>
        <v/>
      </c>
      <c r="Q378">
        <f>IF(B378="","",IF(COUNTIFS($B$2:$B$501,B378,$D$2:$D$501,D378)&gt;1,"DUPLICADA",""))</f>
        <v/>
      </c>
      <c r="R378">
        <f>IF(A378="","",ROUNDUP(MONTH(A378)/3,0))</f>
        <v/>
      </c>
      <c r="S378" s="3" t="n"/>
    </row>
    <row r="379">
      <c r="A379" s="2" t="n"/>
      <c r="B379" s="3" t="n"/>
      <c r="C379" s="3" t="n"/>
      <c r="D379" s="3" t="n"/>
      <c r="E379" s="4" t="n"/>
      <c r="F379" s="4" t="n"/>
      <c r="G379" s="4" t="n"/>
      <c r="H379" s="4" t="n"/>
      <c r="I379" s="5">
        <f>IF(E379="","",ROUND(E379*0.21,2))</f>
        <v/>
      </c>
      <c r="J379" s="5">
        <f>IF(F379="","",ROUND(F379*0.1,2))</f>
        <v/>
      </c>
      <c r="K379" s="5">
        <f>IF(G379="","",ROUND(G379*0.04,2))</f>
        <v/>
      </c>
      <c r="L379" s="4" t="n"/>
      <c r="M379" s="4" t="n"/>
      <c r="N379" s="5">
        <f>IF(A379="","",SUM(E379:K379)-N(L379))</f>
        <v/>
      </c>
      <c r="O379">
        <f>IF(OR(A379="",M379=""),"",IF(ABS(M379-N379)&lt;=0.02,"OK","REVISAR"))</f>
        <v/>
      </c>
      <c r="P379">
        <f>IF(D379="","",IF(LEN(TRIM(D379))&lt;&gt;9,"REVISAR",IFERROR(IF(OR(ISNUMBER(VALUE(LEFT(UPPER(TRIM(D379)),1))),LEFT(UPPER(TRIM(D379)),1)="X",LEFT(UPPER(TRIM(D379)),1)="Y",LEFT(UPPER(TRIM(D379)),1)="Z"),IF(MID("TRWAGMYFPDXBNJZSQVHLCKE",MOD(VALUE(SUBSTITUTE(SUBSTITUTE(SUBSTITUTE(LEFT(UPPER(TRIM(D379)),8),"X","0"),"Y","1"),"Z","2")),23)+1,1)=RIGHT(UPPER(TRIM(D379)),1),"OK","REVISAR"),IF(OR(RIGHT(UPPER(TRIM(D379)),1)=TEXT(MOD(10-MOD((VALUE(MID(UPPER(TRIM(D379)),3,1))+VALUE(MID(UPPER(TRIM(D379)),5,1))+VALUE(MID(UPPER(TRIM(D379)),7,1)))+(INT(2*VALUE(MID(UPPER(TRIM(D379)),2,1))/10)+MOD(2*VALUE(MID(UPPER(TRIM(D379)),2,1)),10))+(INT(2*VALUE(MID(UPPER(TRIM(D379)),4,1))/10)+MOD(2*VALUE(MID(UPPER(TRIM(D379)),4,1)),10))+(INT(2*VALUE(MID(UPPER(TRIM(D379)),6,1))/10)+MOD(2*VALUE(MID(UPPER(TRIM(D379)),6,1)),10))+(INT(2*VALUE(MID(UPPER(TRIM(D379)),8,1))/10)+MOD(2*VALUE(MID(UPPER(TRIM(D379)),8,1)),10)),10),10),"0"),RIGHT(UPPER(TRIM(D379)),1)=MID("JABCDEFGHI",MOD(10-MOD((VALUE(MID(UPPER(TRIM(D379)),3,1))+VALUE(MID(UPPER(TRIM(D379)),5,1))+VALUE(MID(UPPER(TRIM(D379)),7,1)))+(INT(2*VALUE(MID(UPPER(TRIM(D379)),2,1))/10)+MOD(2*VALUE(MID(UPPER(TRIM(D379)),2,1)),10))+(INT(2*VALUE(MID(UPPER(TRIM(D379)),4,1))/10)+MOD(2*VALUE(MID(UPPER(TRIM(D379)),4,1)),10))+(INT(2*VALUE(MID(UPPER(TRIM(D379)),6,1))/10)+MOD(2*VALUE(MID(UPPER(TRIM(D379)),6,1)),10))+(INT(2*VALUE(MID(UPPER(TRIM(D379)),8,1))/10)+MOD(2*VALUE(MID(UPPER(TRIM(D379)),8,1)),10)),10),10)+1,1)),"OK","REVISAR")),"REVISAR")))</f>
        <v/>
      </c>
      <c r="Q379">
        <f>IF(B379="","",IF(COUNTIFS($B$2:$B$501,B379,$D$2:$D$501,D379)&gt;1,"DUPLICADA",""))</f>
        <v/>
      </c>
      <c r="R379">
        <f>IF(A379="","",ROUNDUP(MONTH(A379)/3,0))</f>
        <v/>
      </c>
      <c r="S379" s="3" t="n"/>
    </row>
    <row r="380">
      <c r="A380" s="2" t="n"/>
      <c r="B380" s="3" t="n"/>
      <c r="C380" s="3" t="n"/>
      <c r="D380" s="3" t="n"/>
      <c r="E380" s="4" t="n"/>
      <c r="F380" s="4" t="n"/>
      <c r="G380" s="4" t="n"/>
      <c r="H380" s="4" t="n"/>
      <c r="I380" s="5">
        <f>IF(E380="","",ROUND(E380*0.21,2))</f>
        <v/>
      </c>
      <c r="J380" s="5">
        <f>IF(F380="","",ROUND(F380*0.1,2))</f>
        <v/>
      </c>
      <c r="K380" s="5">
        <f>IF(G380="","",ROUND(G380*0.04,2))</f>
        <v/>
      </c>
      <c r="L380" s="4" t="n"/>
      <c r="M380" s="4" t="n"/>
      <c r="N380" s="5">
        <f>IF(A380="","",SUM(E380:K380)-N(L380))</f>
        <v/>
      </c>
      <c r="O380">
        <f>IF(OR(A380="",M380=""),"",IF(ABS(M380-N380)&lt;=0.02,"OK","REVISAR"))</f>
        <v/>
      </c>
      <c r="P380">
        <f>IF(D380="","",IF(LEN(TRIM(D380))&lt;&gt;9,"REVISAR",IFERROR(IF(OR(ISNUMBER(VALUE(LEFT(UPPER(TRIM(D380)),1))),LEFT(UPPER(TRIM(D380)),1)="X",LEFT(UPPER(TRIM(D380)),1)="Y",LEFT(UPPER(TRIM(D380)),1)="Z"),IF(MID("TRWAGMYFPDXBNJZSQVHLCKE",MOD(VALUE(SUBSTITUTE(SUBSTITUTE(SUBSTITUTE(LEFT(UPPER(TRIM(D380)),8),"X","0"),"Y","1"),"Z","2")),23)+1,1)=RIGHT(UPPER(TRIM(D380)),1),"OK","REVISAR"),IF(OR(RIGHT(UPPER(TRIM(D380)),1)=TEXT(MOD(10-MOD((VALUE(MID(UPPER(TRIM(D380)),3,1))+VALUE(MID(UPPER(TRIM(D380)),5,1))+VALUE(MID(UPPER(TRIM(D380)),7,1)))+(INT(2*VALUE(MID(UPPER(TRIM(D380)),2,1))/10)+MOD(2*VALUE(MID(UPPER(TRIM(D380)),2,1)),10))+(INT(2*VALUE(MID(UPPER(TRIM(D380)),4,1))/10)+MOD(2*VALUE(MID(UPPER(TRIM(D380)),4,1)),10))+(INT(2*VALUE(MID(UPPER(TRIM(D380)),6,1))/10)+MOD(2*VALUE(MID(UPPER(TRIM(D380)),6,1)),10))+(INT(2*VALUE(MID(UPPER(TRIM(D380)),8,1))/10)+MOD(2*VALUE(MID(UPPER(TRIM(D380)),8,1)),10)),10),10),"0"),RIGHT(UPPER(TRIM(D380)),1)=MID("JABCDEFGHI",MOD(10-MOD((VALUE(MID(UPPER(TRIM(D380)),3,1))+VALUE(MID(UPPER(TRIM(D380)),5,1))+VALUE(MID(UPPER(TRIM(D380)),7,1)))+(INT(2*VALUE(MID(UPPER(TRIM(D380)),2,1))/10)+MOD(2*VALUE(MID(UPPER(TRIM(D380)),2,1)),10))+(INT(2*VALUE(MID(UPPER(TRIM(D380)),4,1))/10)+MOD(2*VALUE(MID(UPPER(TRIM(D380)),4,1)),10))+(INT(2*VALUE(MID(UPPER(TRIM(D380)),6,1))/10)+MOD(2*VALUE(MID(UPPER(TRIM(D380)),6,1)),10))+(INT(2*VALUE(MID(UPPER(TRIM(D380)),8,1))/10)+MOD(2*VALUE(MID(UPPER(TRIM(D380)),8,1)),10)),10),10)+1,1)),"OK","REVISAR")),"REVISAR")))</f>
        <v/>
      </c>
      <c r="Q380">
        <f>IF(B380="","",IF(COUNTIFS($B$2:$B$501,B380,$D$2:$D$501,D380)&gt;1,"DUPLICADA",""))</f>
        <v/>
      </c>
      <c r="R380">
        <f>IF(A380="","",ROUNDUP(MONTH(A380)/3,0))</f>
        <v/>
      </c>
      <c r="S380" s="3" t="n"/>
    </row>
    <row r="381">
      <c r="A381" s="2" t="n"/>
      <c r="B381" s="3" t="n"/>
      <c r="C381" s="3" t="n"/>
      <c r="D381" s="3" t="n"/>
      <c r="E381" s="4" t="n"/>
      <c r="F381" s="4" t="n"/>
      <c r="G381" s="4" t="n"/>
      <c r="H381" s="4" t="n"/>
      <c r="I381" s="5">
        <f>IF(E381="","",ROUND(E381*0.21,2))</f>
        <v/>
      </c>
      <c r="J381" s="5">
        <f>IF(F381="","",ROUND(F381*0.1,2))</f>
        <v/>
      </c>
      <c r="K381" s="5">
        <f>IF(G381="","",ROUND(G381*0.04,2))</f>
        <v/>
      </c>
      <c r="L381" s="4" t="n"/>
      <c r="M381" s="4" t="n"/>
      <c r="N381" s="5">
        <f>IF(A381="","",SUM(E381:K381)-N(L381))</f>
        <v/>
      </c>
      <c r="O381">
        <f>IF(OR(A381="",M381=""),"",IF(ABS(M381-N381)&lt;=0.02,"OK","REVISAR"))</f>
        <v/>
      </c>
      <c r="P381">
        <f>IF(D381="","",IF(LEN(TRIM(D381))&lt;&gt;9,"REVISAR",IFERROR(IF(OR(ISNUMBER(VALUE(LEFT(UPPER(TRIM(D381)),1))),LEFT(UPPER(TRIM(D381)),1)="X",LEFT(UPPER(TRIM(D381)),1)="Y",LEFT(UPPER(TRIM(D381)),1)="Z"),IF(MID("TRWAGMYFPDXBNJZSQVHLCKE",MOD(VALUE(SUBSTITUTE(SUBSTITUTE(SUBSTITUTE(LEFT(UPPER(TRIM(D381)),8),"X","0"),"Y","1"),"Z","2")),23)+1,1)=RIGHT(UPPER(TRIM(D381)),1),"OK","REVISAR"),IF(OR(RIGHT(UPPER(TRIM(D381)),1)=TEXT(MOD(10-MOD((VALUE(MID(UPPER(TRIM(D381)),3,1))+VALUE(MID(UPPER(TRIM(D381)),5,1))+VALUE(MID(UPPER(TRIM(D381)),7,1)))+(INT(2*VALUE(MID(UPPER(TRIM(D381)),2,1))/10)+MOD(2*VALUE(MID(UPPER(TRIM(D381)),2,1)),10))+(INT(2*VALUE(MID(UPPER(TRIM(D381)),4,1))/10)+MOD(2*VALUE(MID(UPPER(TRIM(D381)),4,1)),10))+(INT(2*VALUE(MID(UPPER(TRIM(D381)),6,1))/10)+MOD(2*VALUE(MID(UPPER(TRIM(D381)),6,1)),10))+(INT(2*VALUE(MID(UPPER(TRIM(D381)),8,1))/10)+MOD(2*VALUE(MID(UPPER(TRIM(D381)),8,1)),10)),10),10),"0"),RIGHT(UPPER(TRIM(D381)),1)=MID("JABCDEFGHI",MOD(10-MOD((VALUE(MID(UPPER(TRIM(D381)),3,1))+VALUE(MID(UPPER(TRIM(D381)),5,1))+VALUE(MID(UPPER(TRIM(D381)),7,1)))+(INT(2*VALUE(MID(UPPER(TRIM(D381)),2,1))/10)+MOD(2*VALUE(MID(UPPER(TRIM(D381)),2,1)),10))+(INT(2*VALUE(MID(UPPER(TRIM(D381)),4,1))/10)+MOD(2*VALUE(MID(UPPER(TRIM(D381)),4,1)),10))+(INT(2*VALUE(MID(UPPER(TRIM(D381)),6,1))/10)+MOD(2*VALUE(MID(UPPER(TRIM(D381)),6,1)),10))+(INT(2*VALUE(MID(UPPER(TRIM(D381)),8,1))/10)+MOD(2*VALUE(MID(UPPER(TRIM(D381)),8,1)),10)),10),10)+1,1)),"OK","REVISAR")),"REVISAR")))</f>
        <v/>
      </c>
      <c r="Q381">
        <f>IF(B381="","",IF(COUNTIFS($B$2:$B$501,B381,$D$2:$D$501,D381)&gt;1,"DUPLICADA",""))</f>
        <v/>
      </c>
      <c r="R381">
        <f>IF(A381="","",ROUNDUP(MONTH(A381)/3,0))</f>
        <v/>
      </c>
      <c r="S381" s="3" t="n"/>
    </row>
    <row r="382">
      <c r="A382" s="2" t="n"/>
      <c r="B382" s="3" t="n"/>
      <c r="C382" s="3" t="n"/>
      <c r="D382" s="3" t="n"/>
      <c r="E382" s="4" t="n"/>
      <c r="F382" s="4" t="n"/>
      <c r="G382" s="4" t="n"/>
      <c r="H382" s="4" t="n"/>
      <c r="I382" s="5">
        <f>IF(E382="","",ROUND(E382*0.21,2))</f>
        <v/>
      </c>
      <c r="J382" s="5">
        <f>IF(F382="","",ROUND(F382*0.1,2))</f>
        <v/>
      </c>
      <c r="K382" s="5">
        <f>IF(G382="","",ROUND(G382*0.04,2))</f>
        <v/>
      </c>
      <c r="L382" s="4" t="n"/>
      <c r="M382" s="4" t="n"/>
      <c r="N382" s="5">
        <f>IF(A382="","",SUM(E382:K382)-N(L382))</f>
        <v/>
      </c>
      <c r="O382">
        <f>IF(OR(A382="",M382=""),"",IF(ABS(M382-N382)&lt;=0.02,"OK","REVISAR"))</f>
        <v/>
      </c>
      <c r="P382">
        <f>IF(D382="","",IF(LEN(TRIM(D382))&lt;&gt;9,"REVISAR",IFERROR(IF(OR(ISNUMBER(VALUE(LEFT(UPPER(TRIM(D382)),1))),LEFT(UPPER(TRIM(D382)),1)="X",LEFT(UPPER(TRIM(D382)),1)="Y",LEFT(UPPER(TRIM(D382)),1)="Z"),IF(MID("TRWAGMYFPDXBNJZSQVHLCKE",MOD(VALUE(SUBSTITUTE(SUBSTITUTE(SUBSTITUTE(LEFT(UPPER(TRIM(D382)),8),"X","0"),"Y","1"),"Z","2")),23)+1,1)=RIGHT(UPPER(TRIM(D382)),1),"OK","REVISAR"),IF(OR(RIGHT(UPPER(TRIM(D382)),1)=TEXT(MOD(10-MOD((VALUE(MID(UPPER(TRIM(D382)),3,1))+VALUE(MID(UPPER(TRIM(D382)),5,1))+VALUE(MID(UPPER(TRIM(D382)),7,1)))+(INT(2*VALUE(MID(UPPER(TRIM(D382)),2,1))/10)+MOD(2*VALUE(MID(UPPER(TRIM(D382)),2,1)),10))+(INT(2*VALUE(MID(UPPER(TRIM(D382)),4,1))/10)+MOD(2*VALUE(MID(UPPER(TRIM(D382)),4,1)),10))+(INT(2*VALUE(MID(UPPER(TRIM(D382)),6,1))/10)+MOD(2*VALUE(MID(UPPER(TRIM(D382)),6,1)),10))+(INT(2*VALUE(MID(UPPER(TRIM(D382)),8,1))/10)+MOD(2*VALUE(MID(UPPER(TRIM(D382)),8,1)),10)),10),10),"0"),RIGHT(UPPER(TRIM(D382)),1)=MID("JABCDEFGHI",MOD(10-MOD((VALUE(MID(UPPER(TRIM(D382)),3,1))+VALUE(MID(UPPER(TRIM(D382)),5,1))+VALUE(MID(UPPER(TRIM(D382)),7,1)))+(INT(2*VALUE(MID(UPPER(TRIM(D382)),2,1))/10)+MOD(2*VALUE(MID(UPPER(TRIM(D382)),2,1)),10))+(INT(2*VALUE(MID(UPPER(TRIM(D382)),4,1))/10)+MOD(2*VALUE(MID(UPPER(TRIM(D382)),4,1)),10))+(INT(2*VALUE(MID(UPPER(TRIM(D382)),6,1))/10)+MOD(2*VALUE(MID(UPPER(TRIM(D382)),6,1)),10))+(INT(2*VALUE(MID(UPPER(TRIM(D382)),8,1))/10)+MOD(2*VALUE(MID(UPPER(TRIM(D382)),8,1)),10)),10),10)+1,1)),"OK","REVISAR")),"REVISAR")))</f>
        <v/>
      </c>
      <c r="Q382">
        <f>IF(B382="","",IF(COUNTIFS($B$2:$B$501,B382,$D$2:$D$501,D382)&gt;1,"DUPLICADA",""))</f>
        <v/>
      </c>
      <c r="R382">
        <f>IF(A382="","",ROUNDUP(MONTH(A382)/3,0))</f>
        <v/>
      </c>
      <c r="S382" s="3" t="n"/>
    </row>
    <row r="383">
      <c r="A383" s="2" t="n"/>
      <c r="B383" s="3" t="n"/>
      <c r="C383" s="3" t="n"/>
      <c r="D383" s="3" t="n"/>
      <c r="E383" s="4" t="n"/>
      <c r="F383" s="4" t="n"/>
      <c r="G383" s="4" t="n"/>
      <c r="H383" s="4" t="n"/>
      <c r="I383" s="5">
        <f>IF(E383="","",ROUND(E383*0.21,2))</f>
        <v/>
      </c>
      <c r="J383" s="5">
        <f>IF(F383="","",ROUND(F383*0.1,2))</f>
        <v/>
      </c>
      <c r="K383" s="5">
        <f>IF(G383="","",ROUND(G383*0.04,2))</f>
        <v/>
      </c>
      <c r="L383" s="4" t="n"/>
      <c r="M383" s="4" t="n"/>
      <c r="N383" s="5">
        <f>IF(A383="","",SUM(E383:K383)-N(L383))</f>
        <v/>
      </c>
      <c r="O383">
        <f>IF(OR(A383="",M383=""),"",IF(ABS(M383-N383)&lt;=0.02,"OK","REVISAR"))</f>
        <v/>
      </c>
      <c r="P383">
        <f>IF(D383="","",IF(LEN(TRIM(D383))&lt;&gt;9,"REVISAR",IFERROR(IF(OR(ISNUMBER(VALUE(LEFT(UPPER(TRIM(D383)),1))),LEFT(UPPER(TRIM(D383)),1)="X",LEFT(UPPER(TRIM(D383)),1)="Y",LEFT(UPPER(TRIM(D383)),1)="Z"),IF(MID("TRWAGMYFPDXBNJZSQVHLCKE",MOD(VALUE(SUBSTITUTE(SUBSTITUTE(SUBSTITUTE(LEFT(UPPER(TRIM(D383)),8),"X","0"),"Y","1"),"Z","2")),23)+1,1)=RIGHT(UPPER(TRIM(D383)),1),"OK","REVISAR"),IF(OR(RIGHT(UPPER(TRIM(D383)),1)=TEXT(MOD(10-MOD((VALUE(MID(UPPER(TRIM(D383)),3,1))+VALUE(MID(UPPER(TRIM(D383)),5,1))+VALUE(MID(UPPER(TRIM(D383)),7,1)))+(INT(2*VALUE(MID(UPPER(TRIM(D383)),2,1))/10)+MOD(2*VALUE(MID(UPPER(TRIM(D383)),2,1)),10))+(INT(2*VALUE(MID(UPPER(TRIM(D383)),4,1))/10)+MOD(2*VALUE(MID(UPPER(TRIM(D383)),4,1)),10))+(INT(2*VALUE(MID(UPPER(TRIM(D383)),6,1))/10)+MOD(2*VALUE(MID(UPPER(TRIM(D383)),6,1)),10))+(INT(2*VALUE(MID(UPPER(TRIM(D383)),8,1))/10)+MOD(2*VALUE(MID(UPPER(TRIM(D383)),8,1)),10)),10),10),"0"),RIGHT(UPPER(TRIM(D383)),1)=MID("JABCDEFGHI",MOD(10-MOD((VALUE(MID(UPPER(TRIM(D383)),3,1))+VALUE(MID(UPPER(TRIM(D383)),5,1))+VALUE(MID(UPPER(TRIM(D383)),7,1)))+(INT(2*VALUE(MID(UPPER(TRIM(D383)),2,1))/10)+MOD(2*VALUE(MID(UPPER(TRIM(D383)),2,1)),10))+(INT(2*VALUE(MID(UPPER(TRIM(D383)),4,1))/10)+MOD(2*VALUE(MID(UPPER(TRIM(D383)),4,1)),10))+(INT(2*VALUE(MID(UPPER(TRIM(D383)),6,1))/10)+MOD(2*VALUE(MID(UPPER(TRIM(D383)),6,1)),10))+(INT(2*VALUE(MID(UPPER(TRIM(D383)),8,1))/10)+MOD(2*VALUE(MID(UPPER(TRIM(D383)),8,1)),10)),10),10)+1,1)),"OK","REVISAR")),"REVISAR")))</f>
        <v/>
      </c>
      <c r="Q383">
        <f>IF(B383="","",IF(COUNTIFS($B$2:$B$501,B383,$D$2:$D$501,D383)&gt;1,"DUPLICADA",""))</f>
        <v/>
      </c>
      <c r="R383">
        <f>IF(A383="","",ROUNDUP(MONTH(A383)/3,0))</f>
        <v/>
      </c>
      <c r="S383" s="3" t="n"/>
    </row>
    <row r="384">
      <c r="A384" s="2" t="n"/>
      <c r="B384" s="3" t="n"/>
      <c r="C384" s="3" t="n"/>
      <c r="D384" s="3" t="n"/>
      <c r="E384" s="4" t="n"/>
      <c r="F384" s="4" t="n"/>
      <c r="G384" s="4" t="n"/>
      <c r="H384" s="4" t="n"/>
      <c r="I384" s="5">
        <f>IF(E384="","",ROUND(E384*0.21,2))</f>
        <v/>
      </c>
      <c r="J384" s="5">
        <f>IF(F384="","",ROUND(F384*0.1,2))</f>
        <v/>
      </c>
      <c r="K384" s="5">
        <f>IF(G384="","",ROUND(G384*0.04,2))</f>
        <v/>
      </c>
      <c r="L384" s="4" t="n"/>
      <c r="M384" s="4" t="n"/>
      <c r="N384" s="5">
        <f>IF(A384="","",SUM(E384:K384)-N(L384))</f>
        <v/>
      </c>
      <c r="O384">
        <f>IF(OR(A384="",M384=""),"",IF(ABS(M384-N384)&lt;=0.02,"OK","REVISAR"))</f>
        <v/>
      </c>
      <c r="P384">
        <f>IF(D384="","",IF(LEN(TRIM(D384))&lt;&gt;9,"REVISAR",IFERROR(IF(OR(ISNUMBER(VALUE(LEFT(UPPER(TRIM(D384)),1))),LEFT(UPPER(TRIM(D384)),1)="X",LEFT(UPPER(TRIM(D384)),1)="Y",LEFT(UPPER(TRIM(D384)),1)="Z"),IF(MID("TRWAGMYFPDXBNJZSQVHLCKE",MOD(VALUE(SUBSTITUTE(SUBSTITUTE(SUBSTITUTE(LEFT(UPPER(TRIM(D384)),8),"X","0"),"Y","1"),"Z","2")),23)+1,1)=RIGHT(UPPER(TRIM(D384)),1),"OK","REVISAR"),IF(OR(RIGHT(UPPER(TRIM(D384)),1)=TEXT(MOD(10-MOD((VALUE(MID(UPPER(TRIM(D384)),3,1))+VALUE(MID(UPPER(TRIM(D384)),5,1))+VALUE(MID(UPPER(TRIM(D384)),7,1)))+(INT(2*VALUE(MID(UPPER(TRIM(D384)),2,1))/10)+MOD(2*VALUE(MID(UPPER(TRIM(D384)),2,1)),10))+(INT(2*VALUE(MID(UPPER(TRIM(D384)),4,1))/10)+MOD(2*VALUE(MID(UPPER(TRIM(D384)),4,1)),10))+(INT(2*VALUE(MID(UPPER(TRIM(D384)),6,1))/10)+MOD(2*VALUE(MID(UPPER(TRIM(D384)),6,1)),10))+(INT(2*VALUE(MID(UPPER(TRIM(D384)),8,1))/10)+MOD(2*VALUE(MID(UPPER(TRIM(D384)),8,1)),10)),10),10),"0"),RIGHT(UPPER(TRIM(D384)),1)=MID("JABCDEFGHI",MOD(10-MOD((VALUE(MID(UPPER(TRIM(D384)),3,1))+VALUE(MID(UPPER(TRIM(D384)),5,1))+VALUE(MID(UPPER(TRIM(D384)),7,1)))+(INT(2*VALUE(MID(UPPER(TRIM(D384)),2,1))/10)+MOD(2*VALUE(MID(UPPER(TRIM(D384)),2,1)),10))+(INT(2*VALUE(MID(UPPER(TRIM(D384)),4,1))/10)+MOD(2*VALUE(MID(UPPER(TRIM(D384)),4,1)),10))+(INT(2*VALUE(MID(UPPER(TRIM(D384)),6,1))/10)+MOD(2*VALUE(MID(UPPER(TRIM(D384)),6,1)),10))+(INT(2*VALUE(MID(UPPER(TRIM(D384)),8,1))/10)+MOD(2*VALUE(MID(UPPER(TRIM(D384)),8,1)),10)),10),10)+1,1)),"OK","REVISAR")),"REVISAR")))</f>
        <v/>
      </c>
      <c r="Q384">
        <f>IF(B384="","",IF(COUNTIFS($B$2:$B$501,B384,$D$2:$D$501,D384)&gt;1,"DUPLICADA",""))</f>
        <v/>
      </c>
      <c r="R384">
        <f>IF(A384="","",ROUNDUP(MONTH(A384)/3,0))</f>
        <v/>
      </c>
      <c r="S384" s="3" t="n"/>
    </row>
    <row r="385">
      <c r="A385" s="2" t="n"/>
      <c r="B385" s="3" t="n"/>
      <c r="C385" s="3" t="n"/>
      <c r="D385" s="3" t="n"/>
      <c r="E385" s="4" t="n"/>
      <c r="F385" s="4" t="n"/>
      <c r="G385" s="4" t="n"/>
      <c r="H385" s="4" t="n"/>
      <c r="I385" s="5">
        <f>IF(E385="","",ROUND(E385*0.21,2))</f>
        <v/>
      </c>
      <c r="J385" s="5">
        <f>IF(F385="","",ROUND(F385*0.1,2))</f>
        <v/>
      </c>
      <c r="K385" s="5">
        <f>IF(G385="","",ROUND(G385*0.04,2))</f>
        <v/>
      </c>
      <c r="L385" s="4" t="n"/>
      <c r="M385" s="4" t="n"/>
      <c r="N385" s="5">
        <f>IF(A385="","",SUM(E385:K385)-N(L385))</f>
        <v/>
      </c>
      <c r="O385">
        <f>IF(OR(A385="",M385=""),"",IF(ABS(M385-N385)&lt;=0.02,"OK","REVISAR"))</f>
        <v/>
      </c>
      <c r="P385">
        <f>IF(D385="","",IF(LEN(TRIM(D385))&lt;&gt;9,"REVISAR",IFERROR(IF(OR(ISNUMBER(VALUE(LEFT(UPPER(TRIM(D385)),1))),LEFT(UPPER(TRIM(D385)),1)="X",LEFT(UPPER(TRIM(D385)),1)="Y",LEFT(UPPER(TRIM(D385)),1)="Z"),IF(MID("TRWAGMYFPDXBNJZSQVHLCKE",MOD(VALUE(SUBSTITUTE(SUBSTITUTE(SUBSTITUTE(LEFT(UPPER(TRIM(D385)),8),"X","0"),"Y","1"),"Z","2")),23)+1,1)=RIGHT(UPPER(TRIM(D385)),1),"OK","REVISAR"),IF(OR(RIGHT(UPPER(TRIM(D385)),1)=TEXT(MOD(10-MOD((VALUE(MID(UPPER(TRIM(D385)),3,1))+VALUE(MID(UPPER(TRIM(D385)),5,1))+VALUE(MID(UPPER(TRIM(D385)),7,1)))+(INT(2*VALUE(MID(UPPER(TRIM(D385)),2,1))/10)+MOD(2*VALUE(MID(UPPER(TRIM(D385)),2,1)),10))+(INT(2*VALUE(MID(UPPER(TRIM(D385)),4,1))/10)+MOD(2*VALUE(MID(UPPER(TRIM(D385)),4,1)),10))+(INT(2*VALUE(MID(UPPER(TRIM(D385)),6,1))/10)+MOD(2*VALUE(MID(UPPER(TRIM(D385)),6,1)),10))+(INT(2*VALUE(MID(UPPER(TRIM(D385)),8,1))/10)+MOD(2*VALUE(MID(UPPER(TRIM(D385)),8,1)),10)),10),10),"0"),RIGHT(UPPER(TRIM(D385)),1)=MID("JABCDEFGHI",MOD(10-MOD((VALUE(MID(UPPER(TRIM(D385)),3,1))+VALUE(MID(UPPER(TRIM(D385)),5,1))+VALUE(MID(UPPER(TRIM(D385)),7,1)))+(INT(2*VALUE(MID(UPPER(TRIM(D385)),2,1))/10)+MOD(2*VALUE(MID(UPPER(TRIM(D385)),2,1)),10))+(INT(2*VALUE(MID(UPPER(TRIM(D385)),4,1))/10)+MOD(2*VALUE(MID(UPPER(TRIM(D385)),4,1)),10))+(INT(2*VALUE(MID(UPPER(TRIM(D385)),6,1))/10)+MOD(2*VALUE(MID(UPPER(TRIM(D385)),6,1)),10))+(INT(2*VALUE(MID(UPPER(TRIM(D385)),8,1))/10)+MOD(2*VALUE(MID(UPPER(TRIM(D385)),8,1)),10)),10),10)+1,1)),"OK","REVISAR")),"REVISAR")))</f>
        <v/>
      </c>
      <c r="Q385">
        <f>IF(B385="","",IF(COUNTIFS($B$2:$B$501,B385,$D$2:$D$501,D385)&gt;1,"DUPLICADA",""))</f>
        <v/>
      </c>
      <c r="R385">
        <f>IF(A385="","",ROUNDUP(MONTH(A385)/3,0))</f>
        <v/>
      </c>
      <c r="S385" s="3" t="n"/>
    </row>
    <row r="386">
      <c r="A386" s="2" t="n"/>
      <c r="B386" s="3" t="n"/>
      <c r="C386" s="3" t="n"/>
      <c r="D386" s="3" t="n"/>
      <c r="E386" s="4" t="n"/>
      <c r="F386" s="4" t="n"/>
      <c r="G386" s="4" t="n"/>
      <c r="H386" s="4" t="n"/>
      <c r="I386" s="5">
        <f>IF(E386="","",ROUND(E386*0.21,2))</f>
        <v/>
      </c>
      <c r="J386" s="5">
        <f>IF(F386="","",ROUND(F386*0.1,2))</f>
        <v/>
      </c>
      <c r="K386" s="5">
        <f>IF(G386="","",ROUND(G386*0.04,2))</f>
        <v/>
      </c>
      <c r="L386" s="4" t="n"/>
      <c r="M386" s="4" t="n"/>
      <c r="N386" s="5">
        <f>IF(A386="","",SUM(E386:K386)-N(L386))</f>
        <v/>
      </c>
      <c r="O386">
        <f>IF(OR(A386="",M386=""),"",IF(ABS(M386-N386)&lt;=0.02,"OK","REVISAR"))</f>
        <v/>
      </c>
      <c r="P386">
        <f>IF(D386="","",IF(LEN(TRIM(D386))&lt;&gt;9,"REVISAR",IFERROR(IF(OR(ISNUMBER(VALUE(LEFT(UPPER(TRIM(D386)),1))),LEFT(UPPER(TRIM(D386)),1)="X",LEFT(UPPER(TRIM(D386)),1)="Y",LEFT(UPPER(TRIM(D386)),1)="Z"),IF(MID("TRWAGMYFPDXBNJZSQVHLCKE",MOD(VALUE(SUBSTITUTE(SUBSTITUTE(SUBSTITUTE(LEFT(UPPER(TRIM(D386)),8),"X","0"),"Y","1"),"Z","2")),23)+1,1)=RIGHT(UPPER(TRIM(D386)),1),"OK","REVISAR"),IF(OR(RIGHT(UPPER(TRIM(D386)),1)=TEXT(MOD(10-MOD((VALUE(MID(UPPER(TRIM(D386)),3,1))+VALUE(MID(UPPER(TRIM(D386)),5,1))+VALUE(MID(UPPER(TRIM(D386)),7,1)))+(INT(2*VALUE(MID(UPPER(TRIM(D386)),2,1))/10)+MOD(2*VALUE(MID(UPPER(TRIM(D386)),2,1)),10))+(INT(2*VALUE(MID(UPPER(TRIM(D386)),4,1))/10)+MOD(2*VALUE(MID(UPPER(TRIM(D386)),4,1)),10))+(INT(2*VALUE(MID(UPPER(TRIM(D386)),6,1))/10)+MOD(2*VALUE(MID(UPPER(TRIM(D386)),6,1)),10))+(INT(2*VALUE(MID(UPPER(TRIM(D386)),8,1))/10)+MOD(2*VALUE(MID(UPPER(TRIM(D386)),8,1)),10)),10),10),"0"),RIGHT(UPPER(TRIM(D386)),1)=MID("JABCDEFGHI",MOD(10-MOD((VALUE(MID(UPPER(TRIM(D386)),3,1))+VALUE(MID(UPPER(TRIM(D386)),5,1))+VALUE(MID(UPPER(TRIM(D386)),7,1)))+(INT(2*VALUE(MID(UPPER(TRIM(D386)),2,1))/10)+MOD(2*VALUE(MID(UPPER(TRIM(D386)),2,1)),10))+(INT(2*VALUE(MID(UPPER(TRIM(D386)),4,1))/10)+MOD(2*VALUE(MID(UPPER(TRIM(D386)),4,1)),10))+(INT(2*VALUE(MID(UPPER(TRIM(D386)),6,1))/10)+MOD(2*VALUE(MID(UPPER(TRIM(D386)),6,1)),10))+(INT(2*VALUE(MID(UPPER(TRIM(D386)),8,1))/10)+MOD(2*VALUE(MID(UPPER(TRIM(D386)),8,1)),10)),10),10)+1,1)),"OK","REVISAR")),"REVISAR")))</f>
        <v/>
      </c>
      <c r="Q386">
        <f>IF(B386="","",IF(COUNTIFS($B$2:$B$501,B386,$D$2:$D$501,D386)&gt;1,"DUPLICADA",""))</f>
        <v/>
      </c>
      <c r="R386">
        <f>IF(A386="","",ROUNDUP(MONTH(A386)/3,0))</f>
        <v/>
      </c>
      <c r="S386" s="3" t="n"/>
    </row>
    <row r="387">
      <c r="A387" s="2" t="n"/>
      <c r="B387" s="3" t="n"/>
      <c r="C387" s="3" t="n"/>
      <c r="D387" s="3" t="n"/>
      <c r="E387" s="4" t="n"/>
      <c r="F387" s="4" t="n"/>
      <c r="G387" s="4" t="n"/>
      <c r="H387" s="4" t="n"/>
      <c r="I387" s="5">
        <f>IF(E387="","",ROUND(E387*0.21,2))</f>
        <v/>
      </c>
      <c r="J387" s="5">
        <f>IF(F387="","",ROUND(F387*0.1,2))</f>
        <v/>
      </c>
      <c r="K387" s="5">
        <f>IF(G387="","",ROUND(G387*0.04,2))</f>
        <v/>
      </c>
      <c r="L387" s="4" t="n"/>
      <c r="M387" s="4" t="n"/>
      <c r="N387" s="5">
        <f>IF(A387="","",SUM(E387:K387)-N(L387))</f>
        <v/>
      </c>
      <c r="O387">
        <f>IF(OR(A387="",M387=""),"",IF(ABS(M387-N387)&lt;=0.02,"OK","REVISAR"))</f>
        <v/>
      </c>
      <c r="P387">
        <f>IF(D387="","",IF(LEN(TRIM(D387))&lt;&gt;9,"REVISAR",IFERROR(IF(OR(ISNUMBER(VALUE(LEFT(UPPER(TRIM(D387)),1))),LEFT(UPPER(TRIM(D387)),1)="X",LEFT(UPPER(TRIM(D387)),1)="Y",LEFT(UPPER(TRIM(D387)),1)="Z"),IF(MID("TRWAGMYFPDXBNJZSQVHLCKE",MOD(VALUE(SUBSTITUTE(SUBSTITUTE(SUBSTITUTE(LEFT(UPPER(TRIM(D387)),8),"X","0"),"Y","1"),"Z","2")),23)+1,1)=RIGHT(UPPER(TRIM(D387)),1),"OK","REVISAR"),IF(OR(RIGHT(UPPER(TRIM(D387)),1)=TEXT(MOD(10-MOD((VALUE(MID(UPPER(TRIM(D387)),3,1))+VALUE(MID(UPPER(TRIM(D387)),5,1))+VALUE(MID(UPPER(TRIM(D387)),7,1)))+(INT(2*VALUE(MID(UPPER(TRIM(D387)),2,1))/10)+MOD(2*VALUE(MID(UPPER(TRIM(D387)),2,1)),10))+(INT(2*VALUE(MID(UPPER(TRIM(D387)),4,1))/10)+MOD(2*VALUE(MID(UPPER(TRIM(D387)),4,1)),10))+(INT(2*VALUE(MID(UPPER(TRIM(D387)),6,1))/10)+MOD(2*VALUE(MID(UPPER(TRIM(D387)),6,1)),10))+(INT(2*VALUE(MID(UPPER(TRIM(D387)),8,1))/10)+MOD(2*VALUE(MID(UPPER(TRIM(D387)),8,1)),10)),10),10),"0"),RIGHT(UPPER(TRIM(D387)),1)=MID("JABCDEFGHI",MOD(10-MOD((VALUE(MID(UPPER(TRIM(D387)),3,1))+VALUE(MID(UPPER(TRIM(D387)),5,1))+VALUE(MID(UPPER(TRIM(D387)),7,1)))+(INT(2*VALUE(MID(UPPER(TRIM(D387)),2,1))/10)+MOD(2*VALUE(MID(UPPER(TRIM(D387)),2,1)),10))+(INT(2*VALUE(MID(UPPER(TRIM(D387)),4,1))/10)+MOD(2*VALUE(MID(UPPER(TRIM(D387)),4,1)),10))+(INT(2*VALUE(MID(UPPER(TRIM(D387)),6,1))/10)+MOD(2*VALUE(MID(UPPER(TRIM(D387)),6,1)),10))+(INT(2*VALUE(MID(UPPER(TRIM(D387)),8,1))/10)+MOD(2*VALUE(MID(UPPER(TRIM(D387)),8,1)),10)),10),10)+1,1)),"OK","REVISAR")),"REVISAR")))</f>
        <v/>
      </c>
      <c r="Q387">
        <f>IF(B387="","",IF(COUNTIFS($B$2:$B$501,B387,$D$2:$D$501,D387)&gt;1,"DUPLICADA",""))</f>
        <v/>
      </c>
      <c r="R387">
        <f>IF(A387="","",ROUNDUP(MONTH(A387)/3,0))</f>
        <v/>
      </c>
      <c r="S387" s="3" t="n"/>
    </row>
    <row r="388">
      <c r="A388" s="2" t="n"/>
      <c r="B388" s="3" t="n"/>
      <c r="C388" s="3" t="n"/>
      <c r="D388" s="3" t="n"/>
      <c r="E388" s="4" t="n"/>
      <c r="F388" s="4" t="n"/>
      <c r="G388" s="4" t="n"/>
      <c r="H388" s="4" t="n"/>
      <c r="I388" s="5">
        <f>IF(E388="","",ROUND(E388*0.21,2))</f>
        <v/>
      </c>
      <c r="J388" s="5">
        <f>IF(F388="","",ROUND(F388*0.1,2))</f>
        <v/>
      </c>
      <c r="K388" s="5">
        <f>IF(G388="","",ROUND(G388*0.04,2))</f>
        <v/>
      </c>
      <c r="L388" s="4" t="n"/>
      <c r="M388" s="4" t="n"/>
      <c r="N388" s="5">
        <f>IF(A388="","",SUM(E388:K388)-N(L388))</f>
        <v/>
      </c>
      <c r="O388">
        <f>IF(OR(A388="",M388=""),"",IF(ABS(M388-N388)&lt;=0.02,"OK","REVISAR"))</f>
        <v/>
      </c>
      <c r="P388">
        <f>IF(D388="","",IF(LEN(TRIM(D388))&lt;&gt;9,"REVISAR",IFERROR(IF(OR(ISNUMBER(VALUE(LEFT(UPPER(TRIM(D388)),1))),LEFT(UPPER(TRIM(D388)),1)="X",LEFT(UPPER(TRIM(D388)),1)="Y",LEFT(UPPER(TRIM(D388)),1)="Z"),IF(MID("TRWAGMYFPDXBNJZSQVHLCKE",MOD(VALUE(SUBSTITUTE(SUBSTITUTE(SUBSTITUTE(LEFT(UPPER(TRIM(D388)),8),"X","0"),"Y","1"),"Z","2")),23)+1,1)=RIGHT(UPPER(TRIM(D388)),1),"OK","REVISAR"),IF(OR(RIGHT(UPPER(TRIM(D388)),1)=TEXT(MOD(10-MOD((VALUE(MID(UPPER(TRIM(D388)),3,1))+VALUE(MID(UPPER(TRIM(D388)),5,1))+VALUE(MID(UPPER(TRIM(D388)),7,1)))+(INT(2*VALUE(MID(UPPER(TRIM(D388)),2,1))/10)+MOD(2*VALUE(MID(UPPER(TRIM(D388)),2,1)),10))+(INT(2*VALUE(MID(UPPER(TRIM(D388)),4,1))/10)+MOD(2*VALUE(MID(UPPER(TRIM(D388)),4,1)),10))+(INT(2*VALUE(MID(UPPER(TRIM(D388)),6,1))/10)+MOD(2*VALUE(MID(UPPER(TRIM(D388)),6,1)),10))+(INT(2*VALUE(MID(UPPER(TRIM(D388)),8,1))/10)+MOD(2*VALUE(MID(UPPER(TRIM(D388)),8,1)),10)),10),10),"0"),RIGHT(UPPER(TRIM(D388)),1)=MID("JABCDEFGHI",MOD(10-MOD((VALUE(MID(UPPER(TRIM(D388)),3,1))+VALUE(MID(UPPER(TRIM(D388)),5,1))+VALUE(MID(UPPER(TRIM(D388)),7,1)))+(INT(2*VALUE(MID(UPPER(TRIM(D388)),2,1))/10)+MOD(2*VALUE(MID(UPPER(TRIM(D388)),2,1)),10))+(INT(2*VALUE(MID(UPPER(TRIM(D388)),4,1))/10)+MOD(2*VALUE(MID(UPPER(TRIM(D388)),4,1)),10))+(INT(2*VALUE(MID(UPPER(TRIM(D388)),6,1))/10)+MOD(2*VALUE(MID(UPPER(TRIM(D388)),6,1)),10))+(INT(2*VALUE(MID(UPPER(TRIM(D388)),8,1))/10)+MOD(2*VALUE(MID(UPPER(TRIM(D388)),8,1)),10)),10),10)+1,1)),"OK","REVISAR")),"REVISAR")))</f>
        <v/>
      </c>
      <c r="Q388">
        <f>IF(B388="","",IF(COUNTIFS($B$2:$B$501,B388,$D$2:$D$501,D388)&gt;1,"DUPLICADA",""))</f>
        <v/>
      </c>
      <c r="R388">
        <f>IF(A388="","",ROUNDUP(MONTH(A388)/3,0))</f>
        <v/>
      </c>
      <c r="S388" s="3" t="n"/>
    </row>
    <row r="389">
      <c r="A389" s="2" t="n"/>
      <c r="B389" s="3" t="n"/>
      <c r="C389" s="3" t="n"/>
      <c r="D389" s="3" t="n"/>
      <c r="E389" s="4" t="n"/>
      <c r="F389" s="4" t="n"/>
      <c r="G389" s="4" t="n"/>
      <c r="H389" s="4" t="n"/>
      <c r="I389" s="5">
        <f>IF(E389="","",ROUND(E389*0.21,2))</f>
        <v/>
      </c>
      <c r="J389" s="5">
        <f>IF(F389="","",ROUND(F389*0.1,2))</f>
        <v/>
      </c>
      <c r="K389" s="5">
        <f>IF(G389="","",ROUND(G389*0.04,2))</f>
        <v/>
      </c>
      <c r="L389" s="4" t="n"/>
      <c r="M389" s="4" t="n"/>
      <c r="N389" s="5">
        <f>IF(A389="","",SUM(E389:K389)-N(L389))</f>
        <v/>
      </c>
      <c r="O389">
        <f>IF(OR(A389="",M389=""),"",IF(ABS(M389-N389)&lt;=0.02,"OK","REVISAR"))</f>
        <v/>
      </c>
      <c r="P389">
        <f>IF(D389="","",IF(LEN(TRIM(D389))&lt;&gt;9,"REVISAR",IFERROR(IF(OR(ISNUMBER(VALUE(LEFT(UPPER(TRIM(D389)),1))),LEFT(UPPER(TRIM(D389)),1)="X",LEFT(UPPER(TRIM(D389)),1)="Y",LEFT(UPPER(TRIM(D389)),1)="Z"),IF(MID("TRWAGMYFPDXBNJZSQVHLCKE",MOD(VALUE(SUBSTITUTE(SUBSTITUTE(SUBSTITUTE(LEFT(UPPER(TRIM(D389)),8),"X","0"),"Y","1"),"Z","2")),23)+1,1)=RIGHT(UPPER(TRIM(D389)),1),"OK","REVISAR"),IF(OR(RIGHT(UPPER(TRIM(D389)),1)=TEXT(MOD(10-MOD((VALUE(MID(UPPER(TRIM(D389)),3,1))+VALUE(MID(UPPER(TRIM(D389)),5,1))+VALUE(MID(UPPER(TRIM(D389)),7,1)))+(INT(2*VALUE(MID(UPPER(TRIM(D389)),2,1))/10)+MOD(2*VALUE(MID(UPPER(TRIM(D389)),2,1)),10))+(INT(2*VALUE(MID(UPPER(TRIM(D389)),4,1))/10)+MOD(2*VALUE(MID(UPPER(TRIM(D389)),4,1)),10))+(INT(2*VALUE(MID(UPPER(TRIM(D389)),6,1))/10)+MOD(2*VALUE(MID(UPPER(TRIM(D389)),6,1)),10))+(INT(2*VALUE(MID(UPPER(TRIM(D389)),8,1))/10)+MOD(2*VALUE(MID(UPPER(TRIM(D389)),8,1)),10)),10),10),"0"),RIGHT(UPPER(TRIM(D389)),1)=MID("JABCDEFGHI",MOD(10-MOD((VALUE(MID(UPPER(TRIM(D389)),3,1))+VALUE(MID(UPPER(TRIM(D389)),5,1))+VALUE(MID(UPPER(TRIM(D389)),7,1)))+(INT(2*VALUE(MID(UPPER(TRIM(D389)),2,1))/10)+MOD(2*VALUE(MID(UPPER(TRIM(D389)),2,1)),10))+(INT(2*VALUE(MID(UPPER(TRIM(D389)),4,1))/10)+MOD(2*VALUE(MID(UPPER(TRIM(D389)),4,1)),10))+(INT(2*VALUE(MID(UPPER(TRIM(D389)),6,1))/10)+MOD(2*VALUE(MID(UPPER(TRIM(D389)),6,1)),10))+(INT(2*VALUE(MID(UPPER(TRIM(D389)),8,1))/10)+MOD(2*VALUE(MID(UPPER(TRIM(D389)),8,1)),10)),10),10)+1,1)),"OK","REVISAR")),"REVISAR")))</f>
        <v/>
      </c>
      <c r="Q389">
        <f>IF(B389="","",IF(COUNTIFS($B$2:$B$501,B389,$D$2:$D$501,D389)&gt;1,"DUPLICADA",""))</f>
        <v/>
      </c>
      <c r="R389">
        <f>IF(A389="","",ROUNDUP(MONTH(A389)/3,0))</f>
        <v/>
      </c>
      <c r="S389" s="3" t="n"/>
    </row>
    <row r="390">
      <c r="A390" s="2" t="n"/>
      <c r="B390" s="3" t="n"/>
      <c r="C390" s="3" t="n"/>
      <c r="D390" s="3" t="n"/>
      <c r="E390" s="4" t="n"/>
      <c r="F390" s="4" t="n"/>
      <c r="G390" s="4" t="n"/>
      <c r="H390" s="4" t="n"/>
      <c r="I390" s="5">
        <f>IF(E390="","",ROUND(E390*0.21,2))</f>
        <v/>
      </c>
      <c r="J390" s="5">
        <f>IF(F390="","",ROUND(F390*0.1,2))</f>
        <v/>
      </c>
      <c r="K390" s="5">
        <f>IF(G390="","",ROUND(G390*0.04,2))</f>
        <v/>
      </c>
      <c r="L390" s="4" t="n"/>
      <c r="M390" s="4" t="n"/>
      <c r="N390" s="5">
        <f>IF(A390="","",SUM(E390:K390)-N(L390))</f>
        <v/>
      </c>
      <c r="O390">
        <f>IF(OR(A390="",M390=""),"",IF(ABS(M390-N390)&lt;=0.02,"OK","REVISAR"))</f>
        <v/>
      </c>
      <c r="P390">
        <f>IF(D390="","",IF(LEN(TRIM(D390))&lt;&gt;9,"REVISAR",IFERROR(IF(OR(ISNUMBER(VALUE(LEFT(UPPER(TRIM(D390)),1))),LEFT(UPPER(TRIM(D390)),1)="X",LEFT(UPPER(TRIM(D390)),1)="Y",LEFT(UPPER(TRIM(D390)),1)="Z"),IF(MID("TRWAGMYFPDXBNJZSQVHLCKE",MOD(VALUE(SUBSTITUTE(SUBSTITUTE(SUBSTITUTE(LEFT(UPPER(TRIM(D390)),8),"X","0"),"Y","1"),"Z","2")),23)+1,1)=RIGHT(UPPER(TRIM(D390)),1),"OK","REVISAR"),IF(OR(RIGHT(UPPER(TRIM(D390)),1)=TEXT(MOD(10-MOD((VALUE(MID(UPPER(TRIM(D390)),3,1))+VALUE(MID(UPPER(TRIM(D390)),5,1))+VALUE(MID(UPPER(TRIM(D390)),7,1)))+(INT(2*VALUE(MID(UPPER(TRIM(D390)),2,1))/10)+MOD(2*VALUE(MID(UPPER(TRIM(D390)),2,1)),10))+(INT(2*VALUE(MID(UPPER(TRIM(D390)),4,1))/10)+MOD(2*VALUE(MID(UPPER(TRIM(D390)),4,1)),10))+(INT(2*VALUE(MID(UPPER(TRIM(D390)),6,1))/10)+MOD(2*VALUE(MID(UPPER(TRIM(D390)),6,1)),10))+(INT(2*VALUE(MID(UPPER(TRIM(D390)),8,1))/10)+MOD(2*VALUE(MID(UPPER(TRIM(D390)),8,1)),10)),10),10),"0"),RIGHT(UPPER(TRIM(D390)),1)=MID("JABCDEFGHI",MOD(10-MOD((VALUE(MID(UPPER(TRIM(D390)),3,1))+VALUE(MID(UPPER(TRIM(D390)),5,1))+VALUE(MID(UPPER(TRIM(D390)),7,1)))+(INT(2*VALUE(MID(UPPER(TRIM(D390)),2,1))/10)+MOD(2*VALUE(MID(UPPER(TRIM(D390)),2,1)),10))+(INT(2*VALUE(MID(UPPER(TRIM(D390)),4,1))/10)+MOD(2*VALUE(MID(UPPER(TRIM(D390)),4,1)),10))+(INT(2*VALUE(MID(UPPER(TRIM(D390)),6,1))/10)+MOD(2*VALUE(MID(UPPER(TRIM(D390)),6,1)),10))+(INT(2*VALUE(MID(UPPER(TRIM(D390)),8,1))/10)+MOD(2*VALUE(MID(UPPER(TRIM(D390)),8,1)),10)),10),10)+1,1)),"OK","REVISAR")),"REVISAR")))</f>
        <v/>
      </c>
      <c r="Q390">
        <f>IF(B390="","",IF(COUNTIFS($B$2:$B$501,B390,$D$2:$D$501,D390)&gt;1,"DUPLICADA",""))</f>
        <v/>
      </c>
      <c r="R390">
        <f>IF(A390="","",ROUNDUP(MONTH(A390)/3,0))</f>
        <v/>
      </c>
      <c r="S390" s="3" t="n"/>
    </row>
    <row r="391">
      <c r="A391" s="2" t="n"/>
      <c r="B391" s="3" t="n"/>
      <c r="C391" s="3" t="n"/>
      <c r="D391" s="3" t="n"/>
      <c r="E391" s="4" t="n"/>
      <c r="F391" s="4" t="n"/>
      <c r="G391" s="4" t="n"/>
      <c r="H391" s="4" t="n"/>
      <c r="I391" s="5">
        <f>IF(E391="","",ROUND(E391*0.21,2))</f>
        <v/>
      </c>
      <c r="J391" s="5">
        <f>IF(F391="","",ROUND(F391*0.1,2))</f>
        <v/>
      </c>
      <c r="K391" s="5">
        <f>IF(G391="","",ROUND(G391*0.04,2))</f>
        <v/>
      </c>
      <c r="L391" s="4" t="n"/>
      <c r="M391" s="4" t="n"/>
      <c r="N391" s="5">
        <f>IF(A391="","",SUM(E391:K391)-N(L391))</f>
        <v/>
      </c>
      <c r="O391">
        <f>IF(OR(A391="",M391=""),"",IF(ABS(M391-N391)&lt;=0.02,"OK","REVISAR"))</f>
        <v/>
      </c>
      <c r="P391">
        <f>IF(D391="","",IF(LEN(TRIM(D391))&lt;&gt;9,"REVISAR",IFERROR(IF(OR(ISNUMBER(VALUE(LEFT(UPPER(TRIM(D391)),1))),LEFT(UPPER(TRIM(D391)),1)="X",LEFT(UPPER(TRIM(D391)),1)="Y",LEFT(UPPER(TRIM(D391)),1)="Z"),IF(MID("TRWAGMYFPDXBNJZSQVHLCKE",MOD(VALUE(SUBSTITUTE(SUBSTITUTE(SUBSTITUTE(LEFT(UPPER(TRIM(D391)),8),"X","0"),"Y","1"),"Z","2")),23)+1,1)=RIGHT(UPPER(TRIM(D391)),1),"OK","REVISAR"),IF(OR(RIGHT(UPPER(TRIM(D391)),1)=TEXT(MOD(10-MOD((VALUE(MID(UPPER(TRIM(D391)),3,1))+VALUE(MID(UPPER(TRIM(D391)),5,1))+VALUE(MID(UPPER(TRIM(D391)),7,1)))+(INT(2*VALUE(MID(UPPER(TRIM(D391)),2,1))/10)+MOD(2*VALUE(MID(UPPER(TRIM(D391)),2,1)),10))+(INT(2*VALUE(MID(UPPER(TRIM(D391)),4,1))/10)+MOD(2*VALUE(MID(UPPER(TRIM(D391)),4,1)),10))+(INT(2*VALUE(MID(UPPER(TRIM(D391)),6,1))/10)+MOD(2*VALUE(MID(UPPER(TRIM(D391)),6,1)),10))+(INT(2*VALUE(MID(UPPER(TRIM(D391)),8,1))/10)+MOD(2*VALUE(MID(UPPER(TRIM(D391)),8,1)),10)),10),10),"0"),RIGHT(UPPER(TRIM(D391)),1)=MID("JABCDEFGHI",MOD(10-MOD((VALUE(MID(UPPER(TRIM(D391)),3,1))+VALUE(MID(UPPER(TRIM(D391)),5,1))+VALUE(MID(UPPER(TRIM(D391)),7,1)))+(INT(2*VALUE(MID(UPPER(TRIM(D391)),2,1))/10)+MOD(2*VALUE(MID(UPPER(TRIM(D391)),2,1)),10))+(INT(2*VALUE(MID(UPPER(TRIM(D391)),4,1))/10)+MOD(2*VALUE(MID(UPPER(TRIM(D391)),4,1)),10))+(INT(2*VALUE(MID(UPPER(TRIM(D391)),6,1))/10)+MOD(2*VALUE(MID(UPPER(TRIM(D391)),6,1)),10))+(INT(2*VALUE(MID(UPPER(TRIM(D391)),8,1))/10)+MOD(2*VALUE(MID(UPPER(TRIM(D391)),8,1)),10)),10),10)+1,1)),"OK","REVISAR")),"REVISAR")))</f>
        <v/>
      </c>
      <c r="Q391">
        <f>IF(B391="","",IF(COUNTIFS($B$2:$B$501,B391,$D$2:$D$501,D391)&gt;1,"DUPLICADA",""))</f>
        <v/>
      </c>
      <c r="R391">
        <f>IF(A391="","",ROUNDUP(MONTH(A391)/3,0))</f>
        <v/>
      </c>
      <c r="S391" s="3" t="n"/>
    </row>
    <row r="392">
      <c r="A392" s="2" t="n"/>
      <c r="B392" s="3" t="n"/>
      <c r="C392" s="3" t="n"/>
      <c r="D392" s="3" t="n"/>
      <c r="E392" s="4" t="n"/>
      <c r="F392" s="4" t="n"/>
      <c r="G392" s="4" t="n"/>
      <c r="H392" s="4" t="n"/>
      <c r="I392" s="5">
        <f>IF(E392="","",ROUND(E392*0.21,2))</f>
        <v/>
      </c>
      <c r="J392" s="5">
        <f>IF(F392="","",ROUND(F392*0.1,2))</f>
        <v/>
      </c>
      <c r="K392" s="5">
        <f>IF(G392="","",ROUND(G392*0.04,2))</f>
        <v/>
      </c>
      <c r="L392" s="4" t="n"/>
      <c r="M392" s="4" t="n"/>
      <c r="N392" s="5">
        <f>IF(A392="","",SUM(E392:K392)-N(L392))</f>
        <v/>
      </c>
      <c r="O392">
        <f>IF(OR(A392="",M392=""),"",IF(ABS(M392-N392)&lt;=0.02,"OK","REVISAR"))</f>
        <v/>
      </c>
      <c r="P392">
        <f>IF(D392="","",IF(LEN(TRIM(D392))&lt;&gt;9,"REVISAR",IFERROR(IF(OR(ISNUMBER(VALUE(LEFT(UPPER(TRIM(D392)),1))),LEFT(UPPER(TRIM(D392)),1)="X",LEFT(UPPER(TRIM(D392)),1)="Y",LEFT(UPPER(TRIM(D392)),1)="Z"),IF(MID("TRWAGMYFPDXBNJZSQVHLCKE",MOD(VALUE(SUBSTITUTE(SUBSTITUTE(SUBSTITUTE(LEFT(UPPER(TRIM(D392)),8),"X","0"),"Y","1"),"Z","2")),23)+1,1)=RIGHT(UPPER(TRIM(D392)),1),"OK","REVISAR"),IF(OR(RIGHT(UPPER(TRIM(D392)),1)=TEXT(MOD(10-MOD((VALUE(MID(UPPER(TRIM(D392)),3,1))+VALUE(MID(UPPER(TRIM(D392)),5,1))+VALUE(MID(UPPER(TRIM(D392)),7,1)))+(INT(2*VALUE(MID(UPPER(TRIM(D392)),2,1))/10)+MOD(2*VALUE(MID(UPPER(TRIM(D392)),2,1)),10))+(INT(2*VALUE(MID(UPPER(TRIM(D392)),4,1))/10)+MOD(2*VALUE(MID(UPPER(TRIM(D392)),4,1)),10))+(INT(2*VALUE(MID(UPPER(TRIM(D392)),6,1))/10)+MOD(2*VALUE(MID(UPPER(TRIM(D392)),6,1)),10))+(INT(2*VALUE(MID(UPPER(TRIM(D392)),8,1))/10)+MOD(2*VALUE(MID(UPPER(TRIM(D392)),8,1)),10)),10),10),"0"),RIGHT(UPPER(TRIM(D392)),1)=MID("JABCDEFGHI",MOD(10-MOD((VALUE(MID(UPPER(TRIM(D392)),3,1))+VALUE(MID(UPPER(TRIM(D392)),5,1))+VALUE(MID(UPPER(TRIM(D392)),7,1)))+(INT(2*VALUE(MID(UPPER(TRIM(D392)),2,1))/10)+MOD(2*VALUE(MID(UPPER(TRIM(D392)),2,1)),10))+(INT(2*VALUE(MID(UPPER(TRIM(D392)),4,1))/10)+MOD(2*VALUE(MID(UPPER(TRIM(D392)),4,1)),10))+(INT(2*VALUE(MID(UPPER(TRIM(D392)),6,1))/10)+MOD(2*VALUE(MID(UPPER(TRIM(D392)),6,1)),10))+(INT(2*VALUE(MID(UPPER(TRIM(D392)),8,1))/10)+MOD(2*VALUE(MID(UPPER(TRIM(D392)),8,1)),10)),10),10)+1,1)),"OK","REVISAR")),"REVISAR")))</f>
        <v/>
      </c>
      <c r="Q392">
        <f>IF(B392="","",IF(COUNTIFS($B$2:$B$501,B392,$D$2:$D$501,D392)&gt;1,"DUPLICADA",""))</f>
        <v/>
      </c>
      <c r="R392">
        <f>IF(A392="","",ROUNDUP(MONTH(A392)/3,0))</f>
        <v/>
      </c>
      <c r="S392" s="3" t="n"/>
    </row>
    <row r="393">
      <c r="A393" s="2" t="n"/>
      <c r="B393" s="3" t="n"/>
      <c r="C393" s="3" t="n"/>
      <c r="D393" s="3" t="n"/>
      <c r="E393" s="4" t="n"/>
      <c r="F393" s="4" t="n"/>
      <c r="G393" s="4" t="n"/>
      <c r="H393" s="4" t="n"/>
      <c r="I393" s="5">
        <f>IF(E393="","",ROUND(E393*0.21,2))</f>
        <v/>
      </c>
      <c r="J393" s="5">
        <f>IF(F393="","",ROUND(F393*0.1,2))</f>
        <v/>
      </c>
      <c r="K393" s="5">
        <f>IF(G393="","",ROUND(G393*0.04,2))</f>
        <v/>
      </c>
      <c r="L393" s="4" t="n"/>
      <c r="M393" s="4" t="n"/>
      <c r="N393" s="5">
        <f>IF(A393="","",SUM(E393:K393)-N(L393))</f>
        <v/>
      </c>
      <c r="O393">
        <f>IF(OR(A393="",M393=""),"",IF(ABS(M393-N393)&lt;=0.02,"OK","REVISAR"))</f>
        <v/>
      </c>
      <c r="P393">
        <f>IF(D393="","",IF(LEN(TRIM(D393))&lt;&gt;9,"REVISAR",IFERROR(IF(OR(ISNUMBER(VALUE(LEFT(UPPER(TRIM(D393)),1))),LEFT(UPPER(TRIM(D393)),1)="X",LEFT(UPPER(TRIM(D393)),1)="Y",LEFT(UPPER(TRIM(D393)),1)="Z"),IF(MID("TRWAGMYFPDXBNJZSQVHLCKE",MOD(VALUE(SUBSTITUTE(SUBSTITUTE(SUBSTITUTE(LEFT(UPPER(TRIM(D393)),8),"X","0"),"Y","1"),"Z","2")),23)+1,1)=RIGHT(UPPER(TRIM(D393)),1),"OK","REVISAR"),IF(OR(RIGHT(UPPER(TRIM(D393)),1)=TEXT(MOD(10-MOD((VALUE(MID(UPPER(TRIM(D393)),3,1))+VALUE(MID(UPPER(TRIM(D393)),5,1))+VALUE(MID(UPPER(TRIM(D393)),7,1)))+(INT(2*VALUE(MID(UPPER(TRIM(D393)),2,1))/10)+MOD(2*VALUE(MID(UPPER(TRIM(D393)),2,1)),10))+(INT(2*VALUE(MID(UPPER(TRIM(D393)),4,1))/10)+MOD(2*VALUE(MID(UPPER(TRIM(D393)),4,1)),10))+(INT(2*VALUE(MID(UPPER(TRIM(D393)),6,1))/10)+MOD(2*VALUE(MID(UPPER(TRIM(D393)),6,1)),10))+(INT(2*VALUE(MID(UPPER(TRIM(D393)),8,1))/10)+MOD(2*VALUE(MID(UPPER(TRIM(D393)),8,1)),10)),10),10),"0"),RIGHT(UPPER(TRIM(D393)),1)=MID("JABCDEFGHI",MOD(10-MOD((VALUE(MID(UPPER(TRIM(D393)),3,1))+VALUE(MID(UPPER(TRIM(D393)),5,1))+VALUE(MID(UPPER(TRIM(D393)),7,1)))+(INT(2*VALUE(MID(UPPER(TRIM(D393)),2,1))/10)+MOD(2*VALUE(MID(UPPER(TRIM(D393)),2,1)),10))+(INT(2*VALUE(MID(UPPER(TRIM(D393)),4,1))/10)+MOD(2*VALUE(MID(UPPER(TRIM(D393)),4,1)),10))+(INT(2*VALUE(MID(UPPER(TRIM(D393)),6,1))/10)+MOD(2*VALUE(MID(UPPER(TRIM(D393)),6,1)),10))+(INT(2*VALUE(MID(UPPER(TRIM(D393)),8,1))/10)+MOD(2*VALUE(MID(UPPER(TRIM(D393)),8,1)),10)),10),10)+1,1)),"OK","REVISAR")),"REVISAR")))</f>
        <v/>
      </c>
      <c r="Q393">
        <f>IF(B393="","",IF(COUNTIFS($B$2:$B$501,B393,$D$2:$D$501,D393)&gt;1,"DUPLICADA",""))</f>
        <v/>
      </c>
      <c r="R393">
        <f>IF(A393="","",ROUNDUP(MONTH(A393)/3,0))</f>
        <v/>
      </c>
      <c r="S393" s="3" t="n"/>
    </row>
    <row r="394">
      <c r="A394" s="2" t="n"/>
      <c r="B394" s="3" t="n"/>
      <c r="C394" s="3" t="n"/>
      <c r="D394" s="3" t="n"/>
      <c r="E394" s="4" t="n"/>
      <c r="F394" s="4" t="n"/>
      <c r="G394" s="4" t="n"/>
      <c r="H394" s="4" t="n"/>
      <c r="I394" s="5">
        <f>IF(E394="","",ROUND(E394*0.21,2))</f>
        <v/>
      </c>
      <c r="J394" s="5">
        <f>IF(F394="","",ROUND(F394*0.1,2))</f>
        <v/>
      </c>
      <c r="K394" s="5">
        <f>IF(G394="","",ROUND(G394*0.04,2))</f>
        <v/>
      </c>
      <c r="L394" s="4" t="n"/>
      <c r="M394" s="4" t="n"/>
      <c r="N394" s="5">
        <f>IF(A394="","",SUM(E394:K394)-N(L394))</f>
        <v/>
      </c>
      <c r="O394">
        <f>IF(OR(A394="",M394=""),"",IF(ABS(M394-N394)&lt;=0.02,"OK","REVISAR"))</f>
        <v/>
      </c>
      <c r="P394">
        <f>IF(D394="","",IF(LEN(TRIM(D394))&lt;&gt;9,"REVISAR",IFERROR(IF(OR(ISNUMBER(VALUE(LEFT(UPPER(TRIM(D394)),1))),LEFT(UPPER(TRIM(D394)),1)="X",LEFT(UPPER(TRIM(D394)),1)="Y",LEFT(UPPER(TRIM(D394)),1)="Z"),IF(MID("TRWAGMYFPDXBNJZSQVHLCKE",MOD(VALUE(SUBSTITUTE(SUBSTITUTE(SUBSTITUTE(LEFT(UPPER(TRIM(D394)),8),"X","0"),"Y","1"),"Z","2")),23)+1,1)=RIGHT(UPPER(TRIM(D394)),1),"OK","REVISAR"),IF(OR(RIGHT(UPPER(TRIM(D394)),1)=TEXT(MOD(10-MOD((VALUE(MID(UPPER(TRIM(D394)),3,1))+VALUE(MID(UPPER(TRIM(D394)),5,1))+VALUE(MID(UPPER(TRIM(D394)),7,1)))+(INT(2*VALUE(MID(UPPER(TRIM(D394)),2,1))/10)+MOD(2*VALUE(MID(UPPER(TRIM(D394)),2,1)),10))+(INT(2*VALUE(MID(UPPER(TRIM(D394)),4,1))/10)+MOD(2*VALUE(MID(UPPER(TRIM(D394)),4,1)),10))+(INT(2*VALUE(MID(UPPER(TRIM(D394)),6,1))/10)+MOD(2*VALUE(MID(UPPER(TRIM(D394)),6,1)),10))+(INT(2*VALUE(MID(UPPER(TRIM(D394)),8,1))/10)+MOD(2*VALUE(MID(UPPER(TRIM(D394)),8,1)),10)),10),10),"0"),RIGHT(UPPER(TRIM(D394)),1)=MID("JABCDEFGHI",MOD(10-MOD((VALUE(MID(UPPER(TRIM(D394)),3,1))+VALUE(MID(UPPER(TRIM(D394)),5,1))+VALUE(MID(UPPER(TRIM(D394)),7,1)))+(INT(2*VALUE(MID(UPPER(TRIM(D394)),2,1))/10)+MOD(2*VALUE(MID(UPPER(TRIM(D394)),2,1)),10))+(INT(2*VALUE(MID(UPPER(TRIM(D394)),4,1))/10)+MOD(2*VALUE(MID(UPPER(TRIM(D394)),4,1)),10))+(INT(2*VALUE(MID(UPPER(TRIM(D394)),6,1))/10)+MOD(2*VALUE(MID(UPPER(TRIM(D394)),6,1)),10))+(INT(2*VALUE(MID(UPPER(TRIM(D394)),8,1))/10)+MOD(2*VALUE(MID(UPPER(TRIM(D394)),8,1)),10)),10),10)+1,1)),"OK","REVISAR")),"REVISAR")))</f>
        <v/>
      </c>
      <c r="Q394">
        <f>IF(B394="","",IF(COUNTIFS($B$2:$B$501,B394,$D$2:$D$501,D394)&gt;1,"DUPLICADA",""))</f>
        <v/>
      </c>
      <c r="R394">
        <f>IF(A394="","",ROUNDUP(MONTH(A394)/3,0))</f>
        <v/>
      </c>
      <c r="S394" s="3" t="n"/>
    </row>
    <row r="395">
      <c r="A395" s="2" t="n"/>
      <c r="B395" s="3" t="n"/>
      <c r="C395" s="3" t="n"/>
      <c r="D395" s="3" t="n"/>
      <c r="E395" s="4" t="n"/>
      <c r="F395" s="4" t="n"/>
      <c r="G395" s="4" t="n"/>
      <c r="H395" s="4" t="n"/>
      <c r="I395" s="5">
        <f>IF(E395="","",ROUND(E395*0.21,2))</f>
        <v/>
      </c>
      <c r="J395" s="5">
        <f>IF(F395="","",ROUND(F395*0.1,2))</f>
        <v/>
      </c>
      <c r="K395" s="5">
        <f>IF(G395="","",ROUND(G395*0.04,2))</f>
        <v/>
      </c>
      <c r="L395" s="4" t="n"/>
      <c r="M395" s="4" t="n"/>
      <c r="N395" s="5">
        <f>IF(A395="","",SUM(E395:K395)-N(L395))</f>
        <v/>
      </c>
      <c r="O395">
        <f>IF(OR(A395="",M395=""),"",IF(ABS(M395-N395)&lt;=0.02,"OK","REVISAR"))</f>
        <v/>
      </c>
      <c r="P395">
        <f>IF(D395="","",IF(LEN(TRIM(D395))&lt;&gt;9,"REVISAR",IFERROR(IF(OR(ISNUMBER(VALUE(LEFT(UPPER(TRIM(D395)),1))),LEFT(UPPER(TRIM(D395)),1)="X",LEFT(UPPER(TRIM(D395)),1)="Y",LEFT(UPPER(TRIM(D395)),1)="Z"),IF(MID("TRWAGMYFPDXBNJZSQVHLCKE",MOD(VALUE(SUBSTITUTE(SUBSTITUTE(SUBSTITUTE(LEFT(UPPER(TRIM(D395)),8),"X","0"),"Y","1"),"Z","2")),23)+1,1)=RIGHT(UPPER(TRIM(D395)),1),"OK","REVISAR"),IF(OR(RIGHT(UPPER(TRIM(D395)),1)=TEXT(MOD(10-MOD((VALUE(MID(UPPER(TRIM(D395)),3,1))+VALUE(MID(UPPER(TRIM(D395)),5,1))+VALUE(MID(UPPER(TRIM(D395)),7,1)))+(INT(2*VALUE(MID(UPPER(TRIM(D395)),2,1))/10)+MOD(2*VALUE(MID(UPPER(TRIM(D395)),2,1)),10))+(INT(2*VALUE(MID(UPPER(TRIM(D395)),4,1))/10)+MOD(2*VALUE(MID(UPPER(TRIM(D395)),4,1)),10))+(INT(2*VALUE(MID(UPPER(TRIM(D395)),6,1))/10)+MOD(2*VALUE(MID(UPPER(TRIM(D395)),6,1)),10))+(INT(2*VALUE(MID(UPPER(TRIM(D395)),8,1))/10)+MOD(2*VALUE(MID(UPPER(TRIM(D395)),8,1)),10)),10),10),"0"),RIGHT(UPPER(TRIM(D395)),1)=MID("JABCDEFGHI",MOD(10-MOD((VALUE(MID(UPPER(TRIM(D395)),3,1))+VALUE(MID(UPPER(TRIM(D395)),5,1))+VALUE(MID(UPPER(TRIM(D395)),7,1)))+(INT(2*VALUE(MID(UPPER(TRIM(D395)),2,1))/10)+MOD(2*VALUE(MID(UPPER(TRIM(D395)),2,1)),10))+(INT(2*VALUE(MID(UPPER(TRIM(D395)),4,1))/10)+MOD(2*VALUE(MID(UPPER(TRIM(D395)),4,1)),10))+(INT(2*VALUE(MID(UPPER(TRIM(D395)),6,1))/10)+MOD(2*VALUE(MID(UPPER(TRIM(D395)),6,1)),10))+(INT(2*VALUE(MID(UPPER(TRIM(D395)),8,1))/10)+MOD(2*VALUE(MID(UPPER(TRIM(D395)),8,1)),10)),10),10)+1,1)),"OK","REVISAR")),"REVISAR")))</f>
        <v/>
      </c>
      <c r="Q395">
        <f>IF(B395="","",IF(COUNTIFS($B$2:$B$501,B395,$D$2:$D$501,D395)&gt;1,"DUPLICADA",""))</f>
        <v/>
      </c>
      <c r="R395">
        <f>IF(A395="","",ROUNDUP(MONTH(A395)/3,0))</f>
        <v/>
      </c>
      <c r="S395" s="3" t="n"/>
    </row>
    <row r="396">
      <c r="A396" s="2" t="n"/>
      <c r="B396" s="3" t="n"/>
      <c r="C396" s="3" t="n"/>
      <c r="D396" s="3" t="n"/>
      <c r="E396" s="4" t="n"/>
      <c r="F396" s="4" t="n"/>
      <c r="G396" s="4" t="n"/>
      <c r="H396" s="4" t="n"/>
      <c r="I396" s="5">
        <f>IF(E396="","",ROUND(E396*0.21,2))</f>
        <v/>
      </c>
      <c r="J396" s="5">
        <f>IF(F396="","",ROUND(F396*0.1,2))</f>
        <v/>
      </c>
      <c r="K396" s="5">
        <f>IF(G396="","",ROUND(G396*0.04,2))</f>
        <v/>
      </c>
      <c r="L396" s="4" t="n"/>
      <c r="M396" s="4" t="n"/>
      <c r="N396" s="5">
        <f>IF(A396="","",SUM(E396:K396)-N(L396))</f>
        <v/>
      </c>
      <c r="O396">
        <f>IF(OR(A396="",M396=""),"",IF(ABS(M396-N396)&lt;=0.02,"OK","REVISAR"))</f>
        <v/>
      </c>
      <c r="P396">
        <f>IF(D396="","",IF(LEN(TRIM(D396))&lt;&gt;9,"REVISAR",IFERROR(IF(OR(ISNUMBER(VALUE(LEFT(UPPER(TRIM(D396)),1))),LEFT(UPPER(TRIM(D396)),1)="X",LEFT(UPPER(TRIM(D396)),1)="Y",LEFT(UPPER(TRIM(D396)),1)="Z"),IF(MID("TRWAGMYFPDXBNJZSQVHLCKE",MOD(VALUE(SUBSTITUTE(SUBSTITUTE(SUBSTITUTE(LEFT(UPPER(TRIM(D396)),8),"X","0"),"Y","1"),"Z","2")),23)+1,1)=RIGHT(UPPER(TRIM(D396)),1),"OK","REVISAR"),IF(OR(RIGHT(UPPER(TRIM(D396)),1)=TEXT(MOD(10-MOD((VALUE(MID(UPPER(TRIM(D396)),3,1))+VALUE(MID(UPPER(TRIM(D396)),5,1))+VALUE(MID(UPPER(TRIM(D396)),7,1)))+(INT(2*VALUE(MID(UPPER(TRIM(D396)),2,1))/10)+MOD(2*VALUE(MID(UPPER(TRIM(D396)),2,1)),10))+(INT(2*VALUE(MID(UPPER(TRIM(D396)),4,1))/10)+MOD(2*VALUE(MID(UPPER(TRIM(D396)),4,1)),10))+(INT(2*VALUE(MID(UPPER(TRIM(D396)),6,1))/10)+MOD(2*VALUE(MID(UPPER(TRIM(D396)),6,1)),10))+(INT(2*VALUE(MID(UPPER(TRIM(D396)),8,1))/10)+MOD(2*VALUE(MID(UPPER(TRIM(D396)),8,1)),10)),10),10),"0"),RIGHT(UPPER(TRIM(D396)),1)=MID("JABCDEFGHI",MOD(10-MOD((VALUE(MID(UPPER(TRIM(D396)),3,1))+VALUE(MID(UPPER(TRIM(D396)),5,1))+VALUE(MID(UPPER(TRIM(D396)),7,1)))+(INT(2*VALUE(MID(UPPER(TRIM(D396)),2,1))/10)+MOD(2*VALUE(MID(UPPER(TRIM(D396)),2,1)),10))+(INT(2*VALUE(MID(UPPER(TRIM(D396)),4,1))/10)+MOD(2*VALUE(MID(UPPER(TRIM(D396)),4,1)),10))+(INT(2*VALUE(MID(UPPER(TRIM(D396)),6,1))/10)+MOD(2*VALUE(MID(UPPER(TRIM(D396)),6,1)),10))+(INT(2*VALUE(MID(UPPER(TRIM(D396)),8,1))/10)+MOD(2*VALUE(MID(UPPER(TRIM(D396)),8,1)),10)),10),10)+1,1)),"OK","REVISAR")),"REVISAR")))</f>
        <v/>
      </c>
      <c r="Q396">
        <f>IF(B396="","",IF(COUNTIFS($B$2:$B$501,B396,$D$2:$D$501,D396)&gt;1,"DUPLICADA",""))</f>
        <v/>
      </c>
      <c r="R396">
        <f>IF(A396="","",ROUNDUP(MONTH(A396)/3,0))</f>
        <v/>
      </c>
      <c r="S396" s="3" t="n"/>
    </row>
    <row r="397">
      <c r="A397" s="2" t="n"/>
      <c r="B397" s="3" t="n"/>
      <c r="C397" s="3" t="n"/>
      <c r="D397" s="3" t="n"/>
      <c r="E397" s="4" t="n"/>
      <c r="F397" s="4" t="n"/>
      <c r="G397" s="4" t="n"/>
      <c r="H397" s="4" t="n"/>
      <c r="I397" s="5">
        <f>IF(E397="","",ROUND(E397*0.21,2))</f>
        <v/>
      </c>
      <c r="J397" s="5">
        <f>IF(F397="","",ROUND(F397*0.1,2))</f>
        <v/>
      </c>
      <c r="K397" s="5">
        <f>IF(G397="","",ROUND(G397*0.04,2))</f>
        <v/>
      </c>
      <c r="L397" s="4" t="n"/>
      <c r="M397" s="4" t="n"/>
      <c r="N397" s="5">
        <f>IF(A397="","",SUM(E397:K397)-N(L397))</f>
        <v/>
      </c>
      <c r="O397">
        <f>IF(OR(A397="",M397=""),"",IF(ABS(M397-N397)&lt;=0.02,"OK","REVISAR"))</f>
        <v/>
      </c>
      <c r="P397">
        <f>IF(D397="","",IF(LEN(TRIM(D397))&lt;&gt;9,"REVISAR",IFERROR(IF(OR(ISNUMBER(VALUE(LEFT(UPPER(TRIM(D397)),1))),LEFT(UPPER(TRIM(D397)),1)="X",LEFT(UPPER(TRIM(D397)),1)="Y",LEFT(UPPER(TRIM(D397)),1)="Z"),IF(MID("TRWAGMYFPDXBNJZSQVHLCKE",MOD(VALUE(SUBSTITUTE(SUBSTITUTE(SUBSTITUTE(LEFT(UPPER(TRIM(D397)),8),"X","0"),"Y","1"),"Z","2")),23)+1,1)=RIGHT(UPPER(TRIM(D397)),1),"OK","REVISAR"),IF(OR(RIGHT(UPPER(TRIM(D397)),1)=TEXT(MOD(10-MOD((VALUE(MID(UPPER(TRIM(D397)),3,1))+VALUE(MID(UPPER(TRIM(D397)),5,1))+VALUE(MID(UPPER(TRIM(D397)),7,1)))+(INT(2*VALUE(MID(UPPER(TRIM(D397)),2,1))/10)+MOD(2*VALUE(MID(UPPER(TRIM(D397)),2,1)),10))+(INT(2*VALUE(MID(UPPER(TRIM(D397)),4,1))/10)+MOD(2*VALUE(MID(UPPER(TRIM(D397)),4,1)),10))+(INT(2*VALUE(MID(UPPER(TRIM(D397)),6,1))/10)+MOD(2*VALUE(MID(UPPER(TRIM(D397)),6,1)),10))+(INT(2*VALUE(MID(UPPER(TRIM(D397)),8,1))/10)+MOD(2*VALUE(MID(UPPER(TRIM(D397)),8,1)),10)),10),10),"0"),RIGHT(UPPER(TRIM(D397)),1)=MID("JABCDEFGHI",MOD(10-MOD((VALUE(MID(UPPER(TRIM(D397)),3,1))+VALUE(MID(UPPER(TRIM(D397)),5,1))+VALUE(MID(UPPER(TRIM(D397)),7,1)))+(INT(2*VALUE(MID(UPPER(TRIM(D397)),2,1))/10)+MOD(2*VALUE(MID(UPPER(TRIM(D397)),2,1)),10))+(INT(2*VALUE(MID(UPPER(TRIM(D397)),4,1))/10)+MOD(2*VALUE(MID(UPPER(TRIM(D397)),4,1)),10))+(INT(2*VALUE(MID(UPPER(TRIM(D397)),6,1))/10)+MOD(2*VALUE(MID(UPPER(TRIM(D397)),6,1)),10))+(INT(2*VALUE(MID(UPPER(TRIM(D397)),8,1))/10)+MOD(2*VALUE(MID(UPPER(TRIM(D397)),8,1)),10)),10),10)+1,1)),"OK","REVISAR")),"REVISAR")))</f>
        <v/>
      </c>
      <c r="Q397">
        <f>IF(B397="","",IF(COUNTIFS($B$2:$B$501,B397,$D$2:$D$501,D397)&gt;1,"DUPLICADA",""))</f>
        <v/>
      </c>
      <c r="R397">
        <f>IF(A397="","",ROUNDUP(MONTH(A397)/3,0))</f>
        <v/>
      </c>
      <c r="S397" s="3" t="n"/>
    </row>
    <row r="398">
      <c r="A398" s="2" t="n"/>
      <c r="B398" s="3" t="n"/>
      <c r="C398" s="3" t="n"/>
      <c r="D398" s="3" t="n"/>
      <c r="E398" s="4" t="n"/>
      <c r="F398" s="4" t="n"/>
      <c r="G398" s="4" t="n"/>
      <c r="H398" s="4" t="n"/>
      <c r="I398" s="5">
        <f>IF(E398="","",ROUND(E398*0.21,2))</f>
        <v/>
      </c>
      <c r="J398" s="5">
        <f>IF(F398="","",ROUND(F398*0.1,2))</f>
        <v/>
      </c>
      <c r="K398" s="5">
        <f>IF(G398="","",ROUND(G398*0.04,2))</f>
        <v/>
      </c>
      <c r="L398" s="4" t="n"/>
      <c r="M398" s="4" t="n"/>
      <c r="N398" s="5">
        <f>IF(A398="","",SUM(E398:K398)-N(L398))</f>
        <v/>
      </c>
      <c r="O398">
        <f>IF(OR(A398="",M398=""),"",IF(ABS(M398-N398)&lt;=0.02,"OK","REVISAR"))</f>
        <v/>
      </c>
      <c r="P398">
        <f>IF(D398="","",IF(LEN(TRIM(D398))&lt;&gt;9,"REVISAR",IFERROR(IF(OR(ISNUMBER(VALUE(LEFT(UPPER(TRIM(D398)),1))),LEFT(UPPER(TRIM(D398)),1)="X",LEFT(UPPER(TRIM(D398)),1)="Y",LEFT(UPPER(TRIM(D398)),1)="Z"),IF(MID("TRWAGMYFPDXBNJZSQVHLCKE",MOD(VALUE(SUBSTITUTE(SUBSTITUTE(SUBSTITUTE(LEFT(UPPER(TRIM(D398)),8),"X","0"),"Y","1"),"Z","2")),23)+1,1)=RIGHT(UPPER(TRIM(D398)),1),"OK","REVISAR"),IF(OR(RIGHT(UPPER(TRIM(D398)),1)=TEXT(MOD(10-MOD((VALUE(MID(UPPER(TRIM(D398)),3,1))+VALUE(MID(UPPER(TRIM(D398)),5,1))+VALUE(MID(UPPER(TRIM(D398)),7,1)))+(INT(2*VALUE(MID(UPPER(TRIM(D398)),2,1))/10)+MOD(2*VALUE(MID(UPPER(TRIM(D398)),2,1)),10))+(INT(2*VALUE(MID(UPPER(TRIM(D398)),4,1))/10)+MOD(2*VALUE(MID(UPPER(TRIM(D398)),4,1)),10))+(INT(2*VALUE(MID(UPPER(TRIM(D398)),6,1))/10)+MOD(2*VALUE(MID(UPPER(TRIM(D398)),6,1)),10))+(INT(2*VALUE(MID(UPPER(TRIM(D398)),8,1))/10)+MOD(2*VALUE(MID(UPPER(TRIM(D398)),8,1)),10)),10),10),"0"),RIGHT(UPPER(TRIM(D398)),1)=MID("JABCDEFGHI",MOD(10-MOD((VALUE(MID(UPPER(TRIM(D398)),3,1))+VALUE(MID(UPPER(TRIM(D398)),5,1))+VALUE(MID(UPPER(TRIM(D398)),7,1)))+(INT(2*VALUE(MID(UPPER(TRIM(D398)),2,1))/10)+MOD(2*VALUE(MID(UPPER(TRIM(D398)),2,1)),10))+(INT(2*VALUE(MID(UPPER(TRIM(D398)),4,1))/10)+MOD(2*VALUE(MID(UPPER(TRIM(D398)),4,1)),10))+(INT(2*VALUE(MID(UPPER(TRIM(D398)),6,1))/10)+MOD(2*VALUE(MID(UPPER(TRIM(D398)),6,1)),10))+(INT(2*VALUE(MID(UPPER(TRIM(D398)),8,1))/10)+MOD(2*VALUE(MID(UPPER(TRIM(D398)),8,1)),10)),10),10)+1,1)),"OK","REVISAR")),"REVISAR")))</f>
        <v/>
      </c>
      <c r="Q398">
        <f>IF(B398="","",IF(COUNTIFS($B$2:$B$501,B398,$D$2:$D$501,D398)&gt;1,"DUPLICADA",""))</f>
        <v/>
      </c>
      <c r="R398">
        <f>IF(A398="","",ROUNDUP(MONTH(A398)/3,0))</f>
        <v/>
      </c>
      <c r="S398" s="3" t="n"/>
    </row>
    <row r="399">
      <c r="A399" s="2" t="n"/>
      <c r="B399" s="3" t="n"/>
      <c r="C399" s="3" t="n"/>
      <c r="D399" s="3" t="n"/>
      <c r="E399" s="4" t="n"/>
      <c r="F399" s="4" t="n"/>
      <c r="G399" s="4" t="n"/>
      <c r="H399" s="4" t="n"/>
      <c r="I399" s="5">
        <f>IF(E399="","",ROUND(E399*0.21,2))</f>
        <v/>
      </c>
      <c r="J399" s="5">
        <f>IF(F399="","",ROUND(F399*0.1,2))</f>
        <v/>
      </c>
      <c r="K399" s="5">
        <f>IF(G399="","",ROUND(G399*0.04,2))</f>
        <v/>
      </c>
      <c r="L399" s="4" t="n"/>
      <c r="M399" s="4" t="n"/>
      <c r="N399" s="5">
        <f>IF(A399="","",SUM(E399:K399)-N(L399))</f>
        <v/>
      </c>
      <c r="O399">
        <f>IF(OR(A399="",M399=""),"",IF(ABS(M399-N399)&lt;=0.02,"OK","REVISAR"))</f>
        <v/>
      </c>
      <c r="P399">
        <f>IF(D399="","",IF(LEN(TRIM(D399))&lt;&gt;9,"REVISAR",IFERROR(IF(OR(ISNUMBER(VALUE(LEFT(UPPER(TRIM(D399)),1))),LEFT(UPPER(TRIM(D399)),1)="X",LEFT(UPPER(TRIM(D399)),1)="Y",LEFT(UPPER(TRIM(D399)),1)="Z"),IF(MID("TRWAGMYFPDXBNJZSQVHLCKE",MOD(VALUE(SUBSTITUTE(SUBSTITUTE(SUBSTITUTE(LEFT(UPPER(TRIM(D399)),8),"X","0"),"Y","1"),"Z","2")),23)+1,1)=RIGHT(UPPER(TRIM(D399)),1),"OK","REVISAR"),IF(OR(RIGHT(UPPER(TRIM(D399)),1)=TEXT(MOD(10-MOD((VALUE(MID(UPPER(TRIM(D399)),3,1))+VALUE(MID(UPPER(TRIM(D399)),5,1))+VALUE(MID(UPPER(TRIM(D399)),7,1)))+(INT(2*VALUE(MID(UPPER(TRIM(D399)),2,1))/10)+MOD(2*VALUE(MID(UPPER(TRIM(D399)),2,1)),10))+(INT(2*VALUE(MID(UPPER(TRIM(D399)),4,1))/10)+MOD(2*VALUE(MID(UPPER(TRIM(D399)),4,1)),10))+(INT(2*VALUE(MID(UPPER(TRIM(D399)),6,1))/10)+MOD(2*VALUE(MID(UPPER(TRIM(D399)),6,1)),10))+(INT(2*VALUE(MID(UPPER(TRIM(D399)),8,1))/10)+MOD(2*VALUE(MID(UPPER(TRIM(D399)),8,1)),10)),10),10),"0"),RIGHT(UPPER(TRIM(D399)),1)=MID("JABCDEFGHI",MOD(10-MOD((VALUE(MID(UPPER(TRIM(D399)),3,1))+VALUE(MID(UPPER(TRIM(D399)),5,1))+VALUE(MID(UPPER(TRIM(D399)),7,1)))+(INT(2*VALUE(MID(UPPER(TRIM(D399)),2,1))/10)+MOD(2*VALUE(MID(UPPER(TRIM(D399)),2,1)),10))+(INT(2*VALUE(MID(UPPER(TRIM(D399)),4,1))/10)+MOD(2*VALUE(MID(UPPER(TRIM(D399)),4,1)),10))+(INT(2*VALUE(MID(UPPER(TRIM(D399)),6,1))/10)+MOD(2*VALUE(MID(UPPER(TRIM(D399)),6,1)),10))+(INT(2*VALUE(MID(UPPER(TRIM(D399)),8,1))/10)+MOD(2*VALUE(MID(UPPER(TRIM(D399)),8,1)),10)),10),10)+1,1)),"OK","REVISAR")),"REVISAR")))</f>
        <v/>
      </c>
      <c r="Q399">
        <f>IF(B399="","",IF(COUNTIFS($B$2:$B$501,B399,$D$2:$D$501,D399)&gt;1,"DUPLICADA",""))</f>
        <v/>
      </c>
      <c r="R399">
        <f>IF(A399="","",ROUNDUP(MONTH(A399)/3,0))</f>
        <v/>
      </c>
      <c r="S399" s="3" t="n"/>
    </row>
    <row r="400">
      <c r="A400" s="2" t="n"/>
      <c r="B400" s="3" t="n"/>
      <c r="C400" s="3" t="n"/>
      <c r="D400" s="3" t="n"/>
      <c r="E400" s="4" t="n"/>
      <c r="F400" s="4" t="n"/>
      <c r="G400" s="4" t="n"/>
      <c r="H400" s="4" t="n"/>
      <c r="I400" s="5">
        <f>IF(E400="","",ROUND(E400*0.21,2))</f>
        <v/>
      </c>
      <c r="J400" s="5">
        <f>IF(F400="","",ROUND(F400*0.1,2))</f>
        <v/>
      </c>
      <c r="K400" s="5">
        <f>IF(G400="","",ROUND(G400*0.04,2))</f>
        <v/>
      </c>
      <c r="L400" s="4" t="n"/>
      <c r="M400" s="4" t="n"/>
      <c r="N400" s="5">
        <f>IF(A400="","",SUM(E400:K400)-N(L400))</f>
        <v/>
      </c>
      <c r="O400">
        <f>IF(OR(A400="",M400=""),"",IF(ABS(M400-N400)&lt;=0.02,"OK","REVISAR"))</f>
        <v/>
      </c>
      <c r="P400">
        <f>IF(D400="","",IF(LEN(TRIM(D400))&lt;&gt;9,"REVISAR",IFERROR(IF(OR(ISNUMBER(VALUE(LEFT(UPPER(TRIM(D400)),1))),LEFT(UPPER(TRIM(D400)),1)="X",LEFT(UPPER(TRIM(D400)),1)="Y",LEFT(UPPER(TRIM(D400)),1)="Z"),IF(MID("TRWAGMYFPDXBNJZSQVHLCKE",MOD(VALUE(SUBSTITUTE(SUBSTITUTE(SUBSTITUTE(LEFT(UPPER(TRIM(D400)),8),"X","0"),"Y","1"),"Z","2")),23)+1,1)=RIGHT(UPPER(TRIM(D400)),1),"OK","REVISAR"),IF(OR(RIGHT(UPPER(TRIM(D400)),1)=TEXT(MOD(10-MOD((VALUE(MID(UPPER(TRIM(D400)),3,1))+VALUE(MID(UPPER(TRIM(D400)),5,1))+VALUE(MID(UPPER(TRIM(D400)),7,1)))+(INT(2*VALUE(MID(UPPER(TRIM(D400)),2,1))/10)+MOD(2*VALUE(MID(UPPER(TRIM(D400)),2,1)),10))+(INT(2*VALUE(MID(UPPER(TRIM(D400)),4,1))/10)+MOD(2*VALUE(MID(UPPER(TRIM(D400)),4,1)),10))+(INT(2*VALUE(MID(UPPER(TRIM(D400)),6,1))/10)+MOD(2*VALUE(MID(UPPER(TRIM(D400)),6,1)),10))+(INT(2*VALUE(MID(UPPER(TRIM(D400)),8,1))/10)+MOD(2*VALUE(MID(UPPER(TRIM(D400)),8,1)),10)),10),10),"0"),RIGHT(UPPER(TRIM(D400)),1)=MID("JABCDEFGHI",MOD(10-MOD((VALUE(MID(UPPER(TRIM(D400)),3,1))+VALUE(MID(UPPER(TRIM(D400)),5,1))+VALUE(MID(UPPER(TRIM(D400)),7,1)))+(INT(2*VALUE(MID(UPPER(TRIM(D400)),2,1))/10)+MOD(2*VALUE(MID(UPPER(TRIM(D400)),2,1)),10))+(INT(2*VALUE(MID(UPPER(TRIM(D400)),4,1))/10)+MOD(2*VALUE(MID(UPPER(TRIM(D400)),4,1)),10))+(INT(2*VALUE(MID(UPPER(TRIM(D400)),6,1))/10)+MOD(2*VALUE(MID(UPPER(TRIM(D400)),6,1)),10))+(INT(2*VALUE(MID(UPPER(TRIM(D400)),8,1))/10)+MOD(2*VALUE(MID(UPPER(TRIM(D400)),8,1)),10)),10),10)+1,1)),"OK","REVISAR")),"REVISAR")))</f>
        <v/>
      </c>
      <c r="Q400">
        <f>IF(B400="","",IF(COUNTIFS($B$2:$B$501,B400,$D$2:$D$501,D400)&gt;1,"DUPLICADA",""))</f>
        <v/>
      </c>
      <c r="R400">
        <f>IF(A400="","",ROUNDUP(MONTH(A400)/3,0))</f>
        <v/>
      </c>
      <c r="S400" s="3" t="n"/>
    </row>
    <row r="401">
      <c r="A401" s="2" t="n"/>
      <c r="B401" s="3" t="n"/>
      <c r="C401" s="3" t="n"/>
      <c r="D401" s="3" t="n"/>
      <c r="E401" s="4" t="n"/>
      <c r="F401" s="4" t="n"/>
      <c r="G401" s="4" t="n"/>
      <c r="H401" s="4" t="n"/>
      <c r="I401" s="5">
        <f>IF(E401="","",ROUND(E401*0.21,2))</f>
        <v/>
      </c>
      <c r="J401" s="5">
        <f>IF(F401="","",ROUND(F401*0.1,2))</f>
        <v/>
      </c>
      <c r="K401" s="5">
        <f>IF(G401="","",ROUND(G401*0.04,2))</f>
        <v/>
      </c>
      <c r="L401" s="4" t="n"/>
      <c r="M401" s="4" t="n"/>
      <c r="N401" s="5">
        <f>IF(A401="","",SUM(E401:K401)-N(L401))</f>
        <v/>
      </c>
      <c r="O401">
        <f>IF(OR(A401="",M401=""),"",IF(ABS(M401-N401)&lt;=0.02,"OK","REVISAR"))</f>
        <v/>
      </c>
      <c r="P401">
        <f>IF(D401="","",IF(LEN(TRIM(D401))&lt;&gt;9,"REVISAR",IFERROR(IF(OR(ISNUMBER(VALUE(LEFT(UPPER(TRIM(D401)),1))),LEFT(UPPER(TRIM(D401)),1)="X",LEFT(UPPER(TRIM(D401)),1)="Y",LEFT(UPPER(TRIM(D401)),1)="Z"),IF(MID("TRWAGMYFPDXBNJZSQVHLCKE",MOD(VALUE(SUBSTITUTE(SUBSTITUTE(SUBSTITUTE(LEFT(UPPER(TRIM(D401)),8),"X","0"),"Y","1"),"Z","2")),23)+1,1)=RIGHT(UPPER(TRIM(D401)),1),"OK","REVISAR"),IF(OR(RIGHT(UPPER(TRIM(D401)),1)=TEXT(MOD(10-MOD((VALUE(MID(UPPER(TRIM(D401)),3,1))+VALUE(MID(UPPER(TRIM(D401)),5,1))+VALUE(MID(UPPER(TRIM(D401)),7,1)))+(INT(2*VALUE(MID(UPPER(TRIM(D401)),2,1))/10)+MOD(2*VALUE(MID(UPPER(TRIM(D401)),2,1)),10))+(INT(2*VALUE(MID(UPPER(TRIM(D401)),4,1))/10)+MOD(2*VALUE(MID(UPPER(TRIM(D401)),4,1)),10))+(INT(2*VALUE(MID(UPPER(TRIM(D401)),6,1))/10)+MOD(2*VALUE(MID(UPPER(TRIM(D401)),6,1)),10))+(INT(2*VALUE(MID(UPPER(TRIM(D401)),8,1))/10)+MOD(2*VALUE(MID(UPPER(TRIM(D401)),8,1)),10)),10),10),"0"),RIGHT(UPPER(TRIM(D401)),1)=MID("JABCDEFGHI",MOD(10-MOD((VALUE(MID(UPPER(TRIM(D401)),3,1))+VALUE(MID(UPPER(TRIM(D401)),5,1))+VALUE(MID(UPPER(TRIM(D401)),7,1)))+(INT(2*VALUE(MID(UPPER(TRIM(D401)),2,1))/10)+MOD(2*VALUE(MID(UPPER(TRIM(D401)),2,1)),10))+(INT(2*VALUE(MID(UPPER(TRIM(D401)),4,1))/10)+MOD(2*VALUE(MID(UPPER(TRIM(D401)),4,1)),10))+(INT(2*VALUE(MID(UPPER(TRIM(D401)),6,1))/10)+MOD(2*VALUE(MID(UPPER(TRIM(D401)),6,1)),10))+(INT(2*VALUE(MID(UPPER(TRIM(D401)),8,1))/10)+MOD(2*VALUE(MID(UPPER(TRIM(D401)),8,1)),10)),10),10)+1,1)),"OK","REVISAR")),"REVISAR")))</f>
        <v/>
      </c>
      <c r="Q401">
        <f>IF(B401="","",IF(COUNTIFS($B$2:$B$501,B401,$D$2:$D$501,D401)&gt;1,"DUPLICADA",""))</f>
        <v/>
      </c>
      <c r="R401">
        <f>IF(A401="","",ROUNDUP(MONTH(A401)/3,0))</f>
        <v/>
      </c>
      <c r="S401" s="3" t="n"/>
    </row>
    <row r="402">
      <c r="A402" s="2" t="n"/>
      <c r="B402" s="3" t="n"/>
      <c r="C402" s="3" t="n"/>
      <c r="D402" s="3" t="n"/>
      <c r="E402" s="4" t="n"/>
      <c r="F402" s="4" t="n"/>
      <c r="G402" s="4" t="n"/>
      <c r="H402" s="4" t="n"/>
      <c r="I402" s="5">
        <f>IF(E402="","",ROUND(E402*0.21,2))</f>
        <v/>
      </c>
      <c r="J402" s="5">
        <f>IF(F402="","",ROUND(F402*0.1,2))</f>
        <v/>
      </c>
      <c r="K402" s="5">
        <f>IF(G402="","",ROUND(G402*0.04,2))</f>
        <v/>
      </c>
      <c r="L402" s="4" t="n"/>
      <c r="M402" s="4" t="n"/>
      <c r="N402" s="5">
        <f>IF(A402="","",SUM(E402:K402)-N(L402))</f>
        <v/>
      </c>
      <c r="O402">
        <f>IF(OR(A402="",M402=""),"",IF(ABS(M402-N402)&lt;=0.02,"OK","REVISAR"))</f>
        <v/>
      </c>
      <c r="P402">
        <f>IF(D402="","",IF(LEN(TRIM(D402))&lt;&gt;9,"REVISAR",IFERROR(IF(OR(ISNUMBER(VALUE(LEFT(UPPER(TRIM(D402)),1))),LEFT(UPPER(TRIM(D402)),1)="X",LEFT(UPPER(TRIM(D402)),1)="Y",LEFT(UPPER(TRIM(D402)),1)="Z"),IF(MID("TRWAGMYFPDXBNJZSQVHLCKE",MOD(VALUE(SUBSTITUTE(SUBSTITUTE(SUBSTITUTE(LEFT(UPPER(TRIM(D402)),8),"X","0"),"Y","1"),"Z","2")),23)+1,1)=RIGHT(UPPER(TRIM(D402)),1),"OK","REVISAR"),IF(OR(RIGHT(UPPER(TRIM(D402)),1)=TEXT(MOD(10-MOD((VALUE(MID(UPPER(TRIM(D402)),3,1))+VALUE(MID(UPPER(TRIM(D402)),5,1))+VALUE(MID(UPPER(TRIM(D402)),7,1)))+(INT(2*VALUE(MID(UPPER(TRIM(D402)),2,1))/10)+MOD(2*VALUE(MID(UPPER(TRIM(D402)),2,1)),10))+(INT(2*VALUE(MID(UPPER(TRIM(D402)),4,1))/10)+MOD(2*VALUE(MID(UPPER(TRIM(D402)),4,1)),10))+(INT(2*VALUE(MID(UPPER(TRIM(D402)),6,1))/10)+MOD(2*VALUE(MID(UPPER(TRIM(D402)),6,1)),10))+(INT(2*VALUE(MID(UPPER(TRIM(D402)),8,1))/10)+MOD(2*VALUE(MID(UPPER(TRIM(D402)),8,1)),10)),10),10),"0"),RIGHT(UPPER(TRIM(D402)),1)=MID("JABCDEFGHI",MOD(10-MOD((VALUE(MID(UPPER(TRIM(D402)),3,1))+VALUE(MID(UPPER(TRIM(D402)),5,1))+VALUE(MID(UPPER(TRIM(D402)),7,1)))+(INT(2*VALUE(MID(UPPER(TRIM(D402)),2,1))/10)+MOD(2*VALUE(MID(UPPER(TRIM(D402)),2,1)),10))+(INT(2*VALUE(MID(UPPER(TRIM(D402)),4,1))/10)+MOD(2*VALUE(MID(UPPER(TRIM(D402)),4,1)),10))+(INT(2*VALUE(MID(UPPER(TRIM(D402)),6,1))/10)+MOD(2*VALUE(MID(UPPER(TRIM(D402)),6,1)),10))+(INT(2*VALUE(MID(UPPER(TRIM(D402)),8,1))/10)+MOD(2*VALUE(MID(UPPER(TRIM(D402)),8,1)),10)),10),10)+1,1)),"OK","REVISAR")),"REVISAR")))</f>
        <v/>
      </c>
      <c r="Q402">
        <f>IF(B402="","",IF(COUNTIFS($B$2:$B$501,B402,$D$2:$D$501,D402)&gt;1,"DUPLICADA",""))</f>
        <v/>
      </c>
      <c r="R402">
        <f>IF(A402="","",ROUNDUP(MONTH(A402)/3,0))</f>
        <v/>
      </c>
      <c r="S402" s="3" t="n"/>
    </row>
    <row r="403">
      <c r="A403" s="2" t="n"/>
      <c r="B403" s="3" t="n"/>
      <c r="C403" s="3" t="n"/>
      <c r="D403" s="3" t="n"/>
      <c r="E403" s="4" t="n"/>
      <c r="F403" s="4" t="n"/>
      <c r="G403" s="4" t="n"/>
      <c r="H403" s="4" t="n"/>
      <c r="I403" s="5">
        <f>IF(E403="","",ROUND(E403*0.21,2))</f>
        <v/>
      </c>
      <c r="J403" s="5">
        <f>IF(F403="","",ROUND(F403*0.1,2))</f>
        <v/>
      </c>
      <c r="K403" s="5">
        <f>IF(G403="","",ROUND(G403*0.04,2))</f>
        <v/>
      </c>
      <c r="L403" s="4" t="n"/>
      <c r="M403" s="4" t="n"/>
      <c r="N403" s="5">
        <f>IF(A403="","",SUM(E403:K403)-N(L403))</f>
        <v/>
      </c>
      <c r="O403">
        <f>IF(OR(A403="",M403=""),"",IF(ABS(M403-N403)&lt;=0.02,"OK","REVISAR"))</f>
        <v/>
      </c>
      <c r="P403">
        <f>IF(D403="","",IF(LEN(TRIM(D403))&lt;&gt;9,"REVISAR",IFERROR(IF(OR(ISNUMBER(VALUE(LEFT(UPPER(TRIM(D403)),1))),LEFT(UPPER(TRIM(D403)),1)="X",LEFT(UPPER(TRIM(D403)),1)="Y",LEFT(UPPER(TRIM(D403)),1)="Z"),IF(MID("TRWAGMYFPDXBNJZSQVHLCKE",MOD(VALUE(SUBSTITUTE(SUBSTITUTE(SUBSTITUTE(LEFT(UPPER(TRIM(D403)),8),"X","0"),"Y","1"),"Z","2")),23)+1,1)=RIGHT(UPPER(TRIM(D403)),1),"OK","REVISAR"),IF(OR(RIGHT(UPPER(TRIM(D403)),1)=TEXT(MOD(10-MOD((VALUE(MID(UPPER(TRIM(D403)),3,1))+VALUE(MID(UPPER(TRIM(D403)),5,1))+VALUE(MID(UPPER(TRIM(D403)),7,1)))+(INT(2*VALUE(MID(UPPER(TRIM(D403)),2,1))/10)+MOD(2*VALUE(MID(UPPER(TRIM(D403)),2,1)),10))+(INT(2*VALUE(MID(UPPER(TRIM(D403)),4,1))/10)+MOD(2*VALUE(MID(UPPER(TRIM(D403)),4,1)),10))+(INT(2*VALUE(MID(UPPER(TRIM(D403)),6,1))/10)+MOD(2*VALUE(MID(UPPER(TRIM(D403)),6,1)),10))+(INT(2*VALUE(MID(UPPER(TRIM(D403)),8,1))/10)+MOD(2*VALUE(MID(UPPER(TRIM(D403)),8,1)),10)),10),10),"0"),RIGHT(UPPER(TRIM(D403)),1)=MID("JABCDEFGHI",MOD(10-MOD((VALUE(MID(UPPER(TRIM(D403)),3,1))+VALUE(MID(UPPER(TRIM(D403)),5,1))+VALUE(MID(UPPER(TRIM(D403)),7,1)))+(INT(2*VALUE(MID(UPPER(TRIM(D403)),2,1))/10)+MOD(2*VALUE(MID(UPPER(TRIM(D403)),2,1)),10))+(INT(2*VALUE(MID(UPPER(TRIM(D403)),4,1))/10)+MOD(2*VALUE(MID(UPPER(TRIM(D403)),4,1)),10))+(INT(2*VALUE(MID(UPPER(TRIM(D403)),6,1))/10)+MOD(2*VALUE(MID(UPPER(TRIM(D403)),6,1)),10))+(INT(2*VALUE(MID(UPPER(TRIM(D403)),8,1))/10)+MOD(2*VALUE(MID(UPPER(TRIM(D403)),8,1)),10)),10),10)+1,1)),"OK","REVISAR")),"REVISAR")))</f>
        <v/>
      </c>
      <c r="Q403">
        <f>IF(B403="","",IF(COUNTIFS($B$2:$B$501,B403,$D$2:$D$501,D403)&gt;1,"DUPLICADA",""))</f>
        <v/>
      </c>
      <c r="R403">
        <f>IF(A403="","",ROUNDUP(MONTH(A403)/3,0))</f>
        <v/>
      </c>
      <c r="S403" s="3" t="n"/>
    </row>
    <row r="404">
      <c r="A404" s="2" t="n"/>
      <c r="B404" s="3" t="n"/>
      <c r="C404" s="3" t="n"/>
      <c r="D404" s="3" t="n"/>
      <c r="E404" s="4" t="n"/>
      <c r="F404" s="4" t="n"/>
      <c r="G404" s="4" t="n"/>
      <c r="H404" s="4" t="n"/>
      <c r="I404" s="5">
        <f>IF(E404="","",ROUND(E404*0.21,2))</f>
        <v/>
      </c>
      <c r="J404" s="5">
        <f>IF(F404="","",ROUND(F404*0.1,2))</f>
        <v/>
      </c>
      <c r="K404" s="5">
        <f>IF(G404="","",ROUND(G404*0.04,2))</f>
        <v/>
      </c>
      <c r="L404" s="4" t="n"/>
      <c r="M404" s="4" t="n"/>
      <c r="N404" s="5">
        <f>IF(A404="","",SUM(E404:K404)-N(L404))</f>
        <v/>
      </c>
      <c r="O404">
        <f>IF(OR(A404="",M404=""),"",IF(ABS(M404-N404)&lt;=0.02,"OK","REVISAR"))</f>
        <v/>
      </c>
      <c r="P404">
        <f>IF(D404="","",IF(LEN(TRIM(D404))&lt;&gt;9,"REVISAR",IFERROR(IF(OR(ISNUMBER(VALUE(LEFT(UPPER(TRIM(D404)),1))),LEFT(UPPER(TRIM(D404)),1)="X",LEFT(UPPER(TRIM(D404)),1)="Y",LEFT(UPPER(TRIM(D404)),1)="Z"),IF(MID("TRWAGMYFPDXBNJZSQVHLCKE",MOD(VALUE(SUBSTITUTE(SUBSTITUTE(SUBSTITUTE(LEFT(UPPER(TRIM(D404)),8),"X","0"),"Y","1"),"Z","2")),23)+1,1)=RIGHT(UPPER(TRIM(D404)),1),"OK","REVISAR"),IF(OR(RIGHT(UPPER(TRIM(D404)),1)=TEXT(MOD(10-MOD((VALUE(MID(UPPER(TRIM(D404)),3,1))+VALUE(MID(UPPER(TRIM(D404)),5,1))+VALUE(MID(UPPER(TRIM(D404)),7,1)))+(INT(2*VALUE(MID(UPPER(TRIM(D404)),2,1))/10)+MOD(2*VALUE(MID(UPPER(TRIM(D404)),2,1)),10))+(INT(2*VALUE(MID(UPPER(TRIM(D404)),4,1))/10)+MOD(2*VALUE(MID(UPPER(TRIM(D404)),4,1)),10))+(INT(2*VALUE(MID(UPPER(TRIM(D404)),6,1))/10)+MOD(2*VALUE(MID(UPPER(TRIM(D404)),6,1)),10))+(INT(2*VALUE(MID(UPPER(TRIM(D404)),8,1))/10)+MOD(2*VALUE(MID(UPPER(TRIM(D404)),8,1)),10)),10),10),"0"),RIGHT(UPPER(TRIM(D404)),1)=MID("JABCDEFGHI",MOD(10-MOD((VALUE(MID(UPPER(TRIM(D404)),3,1))+VALUE(MID(UPPER(TRIM(D404)),5,1))+VALUE(MID(UPPER(TRIM(D404)),7,1)))+(INT(2*VALUE(MID(UPPER(TRIM(D404)),2,1))/10)+MOD(2*VALUE(MID(UPPER(TRIM(D404)),2,1)),10))+(INT(2*VALUE(MID(UPPER(TRIM(D404)),4,1))/10)+MOD(2*VALUE(MID(UPPER(TRIM(D404)),4,1)),10))+(INT(2*VALUE(MID(UPPER(TRIM(D404)),6,1))/10)+MOD(2*VALUE(MID(UPPER(TRIM(D404)),6,1)),10))+(INT(2*VALUE(MID(UPPER(TRIM(D404)),8,1))/10)+MOD(2*VALUE(MID(UPPER(TRIM(D404)),8,1)),10)),10),10)+1,1)),"OK","REVISAR")),"REVISAR")))</f>
        <v/>
      </c>
      <c r="Q404">
        <f>IF(B404="","",IF(COUNTIFS($B$2:$B$501,B404,$D$2:$D$501,D404)&gt;1,"DUPLICADA",""))</f>
        <v/>
      </c>
      <c r="R404">
        <f>IF(A404="","",ROUNDUP(MONTH(A404)/3,0))</f>
        <v/>
      </c>
      <c r="S404" s="3" t="n"/>
    </row>
    <row r="405">
      <c r="A405" s="2" t="n"/>
      <c r="B405" s="3" t="n"/>
      <c r="C405" s="3" t="n"/>
      <c r="D405" s="3" t="n"/>
      <c r="E405" s="4" t="n"/>
      <c r="F405" s="4" t="n"/>
      <c r="G405" s="4" t="n"/>
      <c r="H405" s="4" t="n"/>
      <c r="I405" s="5">
        <f>IF(E405="","",ROUND(E405*0.21,2))</f>
        <v/>
      </c>
      <c r="J405" s="5">
        <f>IF(F405="","",ROUND(F405*0.1,2))</f>
        <v/>
      </c>
      <c r="K405" s="5">
        <f>IF(G405="","",ROUND(G405*0.04,2))</f>
        <v/>
      </c>
      <c r="L405" s="4" t="n"/>
      <c r="M405" s="4" t="n"/>
      <c r="N405" s="5">
        <f>IF(A405="","",SUM(E405:K405)-N(L405))</f>
        <v/>
      </c>
      <c r="O405">
        <f>IF(OR(A405="",M405=""),"",IF(ABS(M405-N405)&lt;=0.02,"OK","REVISAR"))</f>
        <v/>
      </c>
      <c r="P405">
        <f>IF(D405="","",IF(LEN(TRIM(D405))&lt;&gt;9,"REVISAR",IFERROR(IF(OR(ISNUMBER(VALUE(LEFT(UPPER(TRIM(D405)),1))),LEFT(UPPER(TRIM(D405)),1)="X",LEFT(UPPER(TRIM(D405)),1)="Y",LEFT(UPPER(TRIM(D405)),1)="Z"),IF(MID("TRWAGMYFPDXBNJZSQVHLCKE",MOD(VALUE(SUBSTITUTE(SUBSTITUTE(SUBSTITUTE(LEFT(UPPER(TRIM(D405)),8),"X","0"),"Y","1"),"Z","2")),23)+1,1)=RIGHT(UPPER(TRIM(D405)),1),"OK","REVISAR"),IF(OR(RIGHT(UPPER(TRIM(D405)),1)=TEXT(MOD(10-MOD((VALUE(MID(UPPER(TRIM(D405)),3,1))+VALUE(MID(UPPER(TRIM(D405)),5,1))+VALUE(MID(UPPER(TRIM(D405)),7,1)))+(INT(2*VALUE(MID(UPPER(TRIM(D405)),2,1))/10)+MOD(2*VALUE(MID(UPPER(TRIM(D405)),2,1)),10))+(INT(2*VALUE(MID(UPPER(TRIM(D405)),4,1))/10)+MOD(2*VALUE(MID(UPPER(TRIM(D405)),4,1)),10))+(INT(2*VALUE(MID(UPPER(TRIM(D405)),6,1))/10)+MOD(2*VALUE(MID(UPPER(TRIM(D405)),6,1)),10))+(INT(2*VALUE(MID(UPPER(TRIM(D405)),8,1))/10)+MOD(2*VALUE(MID(UPPER(TRIM(D405)),8,1)),10)),10),10),"0"),RIGHT(UPPER(TRIM(D405)),1)=MID("JABCDEFGHI",MOD(10-MOD((VALUE(MID(UPPER(TRIM(D405)),3,1))+VALUE(MID(UPPER(TRIM(D405)),5,1))+VALUE(MID(UPPER(TRIM(D405)),7,1)))+(INT(2*VALUE(MID(UPPER(TRIM(D405)),2,1))/10)+MOD(2*VALUE(MID(UPPER(TRIM(D405)),2,1)),10))+(INT(2*VALUE(MID(UPPER(TRIM(D405)),4,1))/10)+MOD(2*VALUE(MID(UPPER(TRIM(D405)),4,1)),10))+(INT(2*VALUE(MID(UPPER(TRIM(D405)),6,1))/10)+MOD(2*VALUE(MID(UPPER(TRIM(D405)),6,1)),10))+(INT(2*VALUE(MID(UPPER(TRIM(D405)),8,1))/10)+MOD(2*VALUE(MID(UPPER(TRIM(D405)),8,1)),10)),10),10)+1,1)),"OK","REVISAR")),"REVISAR")))</f>
        <v/>
      </c>
      <c r="Q405">
        <f>IF(B405="","",IF(COUNTIFS($B$2:$B$501,B405,$D$2:$D$501,D405)&gt;1,"DUPLICADA",""))</f>
        <v/>
      </c>
      <c r="R405">
        <f>IF(A405="","",ROUNDUP(MONTH(A405)/3,0))</f>
        <v/>
      </c>
      <c r="S405" s="3" t="n"/>
    </row>
    <row r="406">
      <c r="A406" s="2" t="n"/>
      <c r="B406" s="3" t="n"/>
      <c r="C406" s="3" t="n"/>
      <c r="D406" s="3" t="n"/>
      <c r="E406" s="4" t="n"/>
      <c r="F406" s="4" t="n"/>
      <c r="G406" s="4" t="n"/>
      <c r="H406" s="4" t="n"/>
      <c r="I406" s="5">
        <f>IF(E406="","",ROUND(E406*0.21,2))</f>
        <v/>
      </c>
      <c r="J406" s="5">
        <f>IF(F406="","",ROUND(F406*0.1,2))</f>
        <v/>
      </c>
      <c r="K406" s="5">
        <f>IF(G406="","",ROUND(G406*0.04,2))</f>
        <v/>
      </c>
      <c r="L406" s="4" t="n"/>
      <c r="M406" s="4" t="n"/>
      <c r="N406" s="5">
        <f>IF(A406="","",SUM(E406:K406)-N(L406))</f>
        <v/>
      </c>
      <c r="O406">
        <f>IF(OR(A406="",M406=""),"",IF(ABS(M406-N406)&lt;=0.02,"OK","REVISAR"))</f>
        <v/>
      </c>
      <c r="P406">
        <f>IF(D406="","",IF(LEN(TRIM(D406))&lt;&gt;9,"REVISAR",IFERROR(IF(OR(ISNUMBER(VALUE(LEFT(UPPER(TRIM(D406)),1))),LEFT(UPPER(TRIM(D406)),1)="X",LEFT(UPPER(TRIM(D406)),1)="Y",LEFT(UPPER(TRIM(D406)),1)="Z"),IF(MID("TRWAGMYFPDXBNJZSQVHLCKE",MOD(VALUE(SUBSTITUTE(SUBSTITUTE(SUBSTITUTE(LEFT(UPPER(TRIM(D406)),8),"X","0"),"Y","1"),"Z","2")),23)+1,1)=RIGHT(UPPER(TRIM(D406)),1),"OK","REVISAR"),IF(OR(RIGHT(UPPER(TRIM(D406)),1)=TEXT(MOD(10-MOD((VALUE(MID(UPPER(TRIM(D406)),3,1))+VALUE(MID(UPPER(TRIM(D406)),5,1))+VALUE(MID(UPPER(TRIM(D406)),7,1)))+(INT(2*VALUE(MID(UPPER(TRIM(D406)),2,1))/10)+MOD(2*VALUE(MID(UPPER(TRIM(D406)),2,1)),10))+(INT(2*VALUE(MID(UPPER(TRIM(D406)),4,1))/10)+MOD(2*VALUE(MID(UPPER(TRIM(D406)),4,1)),10))+(INT(2*VALUE(MID(UPPER(TRIM(D406)),6,1))/10)+MOD(2*VALUE(MID(UPPER(TRIM(D406)),6,1)),10))+(INT(2*VALUE(MID(UPPER(TRIM(D406)),8,1))/10)+MOD(2*VALUE(MID(UPPER(TRIM(D406)),8,1)),10)),10),10),"0"),RIGHT(UPPER(TRIM(D406)),1)=MID("JABCDEFGHI",MOD(10-MOD((VALUE(MID(UPPER(TRIM(D406)),3,1))+VALUE(MID(UPPER(TRIM(D406)),5,1))+VALUE(MID(UPPER(TRIM(D406)),7,1)))+(INT(2*VALUE(MID(UPPER(TRIM(D406)),2,1))/10)+MOD(2*VALUE(MID(UPPER(TRIM(D406)),2,1)),10))+(INT(2*VALUE(MID(UPPER(TRIM(D406)),4,1))/10)+MOD(2*VALUE(MID(UPPER(TRIM(D406)),4,1)),10))+(INT(2*VALUE(MID(UPPER(TRIM(D406)),6,1))/10)+MOD(2*VALUE(MID(UPPER(TRIM(D406)),6,1)),10))+(INT(2*VALUE(MID(UPPER(TRIM(D406)),8,1))/10)+MOD(2*VALUE(MID(UPPER(TRIM(D406)),8,1)),10)),10),10)+1,1)),"OK","REVISAR")),"REVISAR")))</f>
        <v/>
      </c>
      <c r="Q406">
        <f>IF(B406="","",IF(COUNTIFS($B$2:$B$501,B406,$D$2:$D$501,D406)&gt;1,"DUPLICADA",""))</f>
        <v/>
      </c>
      <c r="R406">
        <f>IF(A406="","",ROUNDUP(MONTH(A406)/3,0))</f>
        <v/>
      </c>
      <c r="S406" s="3" t="n"/>
    </row>
    <row r="407">
      <c r="A407" s="2" t="n"/>
      <c r="B407" s="3" t="n"/>
      <c r="C407" s="3" t="n"/>
      <c r="D407" s="3" t="n"/>
      <c r="E407" s="4" t="n"/>
      <c r="F407" s="4" t="n"/>
      <c r="G407" s="4" t="n"/>
      <c r="H407" s="4" t="n"/>
      <c r="I407" s="5">
        <f>IF(E407="","",ROUND(E407*0.21,2))</f>
        <v/>
      </c>
      <c r="J407" s="5">
        <f>IF(F407="","",ROUND(F407*0.1,2))</f>
        <v/>
      </c>
      <c r="K407" s="5">
        <f>IF(G407="","",ROUND(G407*0.04,2))</f>
        <v/>
      </c>
      <c r="L407" s="4" t="n"/>
      <c r="M407" s="4" t="n"/>
      <c r="N407" s="5">
        <f>IF(A407="","",SUM(E407:K407)-N(L407))</f>
        <v/>
      </c>
      <c r="O407">
        <f>IF(OR(A407="",M407=""),"",IF(ABS(M407-N407)&lt;=0.02,"OK","REVISAR"))</f>
        <v/>
      </c>
      <c r="P407">
        <f>IF(D407="","",IF(LEN(TRIM(D407))&lt;&gt;9,"REVISAR",IFERROR(IF(OR(ISNUMBER(VALUE(LEFT(UPPER(TRIM(D407)),1))),LEFT(UPPER(TRIM(D407)),1)="X",LEFT(UPPER(TRIM(D407)),1)="Y",LEFT(UPPER(TRIM(D407)),1)="Z"),IF(MID("TRWAGMYFPDXBNJZSQVHLCKE",MOD(VALUE(SUBSTITUTE(SUBSTITUTE(SUBSTITUTE(LEFT(UPPER(TRIM(D407)),8),"X","0"),"Y","1"),"Z","2")),23)+1,1)=RIGHT(UPPER(TRIM(D407)),1),"OK","REVISAR"),IF(OR(RIGHT(UPPER(TRIM(D407)),1)=TEXT(MOD(10-MOD((VALUE(MID(UPPER(TRIM(D407)),3,1))+VALUE(MID(UPPER(TRIM(D407)),5,1))+VALUE(MID(UPPER(TRIM(D407)),7,1)))+(INT(2*VALUE(MID(UPPER(TRIM(D407)),2,1))/10)+MOD(2*VALUE(MID(UPPER(TRIM(D407)),2,1)),10))+(INT(2*VALUE(MID(UPPER(TRIM(D407)),4,1))/10)+MOD(2*VALUE(MID(UPPER(TRIM(D407)),4,1)),10))+(INT(2*VALUE(MID(UPPER(TRIM(D407)),6,1))/10)+MOD(2*VALUE(MID(UPPER(TRIM(D407)),6,1)),10))+(INT(2*VALUE(MID(UPPER(TRIM(D407)),8,1))/10)+MOD(2*VALUE(MID(UPPER(TRIM(D407)),8,1)),10)),10),10),"0"),RIGHT(UPPER(TRIM(D407)),1)=MID("JABCDEFGHI",MOD(10-MOD((VALUE(MID(UPPER(TRIM(D407)),3,1))+VALUE(MID(UPPER(TRIM(D407)),5,1))+VALUE(MID(UPPER(TRIM(D407)),7,1)))+(INT(2*VALUE(MID(UPPER(TRIM(D407)),2,1))/10)+MOD(2*VALUE(MID(UPPER(TRIM(D407)),2,1)),10))+(INT(2*VALUE(MID(UPPER(TRIM(D407)),4,1))/10)+MOD(2*VALUE(MID(UPPER(TRIM(D407)),4,1)),10))+(INT(2*VALUE(MID(UPPER(TRIM(D407)),6,1))/10)+MOD(2*VALUE(MID(UPPER(TRIM(D407)),6,1)),10))+(INT(2*VALUE(MID(UPPER(TRIM(D407)),8,1))/10)+MOD(2*VALUE(MID(UPPER(TRIM(D407)),8,1)),10)),10),10)+1,1)),"OK","REVISAR")),"REVISAR")))</f>
        <v/>
      </c>
      <c r="Q407">
        <f>IF(B407="","",IF(COUNTIFS($B$2:$B$501,B407,$D$2:$D$501,D407)&gt;1,"DUPLICADA",""))</f>
        <v/>
      </c>
      <c r="R407">
        <f>IF(A407="","",ROUNDUP(MONTH(A407)/3,0))</f>
        <v/>
      </c>
      <c r="S407" s="3" t="n"/>
    </row>
    <row r="408">
      <c r="A408" s="2" t="n"/>
      <c r="B408" s="3" t="n"/>
      <c r="C408" s="3" t="n"/>
      <c r="D408" s="3" t="n"/>
      <c r="E408" s="4" t="n"/>
      <c r="F408" s="4" t="n"/>
      <c r="G408" s="4" t="n"/>
      <c r="H408" s="4" t="n"/>
      <c r="I408" s="5">
        <f>IF(E408="","",ROUND(E408*0.21,2))</f>
        <v/>
      </c>
      <c r="J408" s="5">
        <f>IF(F408="","",ROUND(F408*0.1,2))</f>
        <v/>
      </c>
      <c r="K408" s="5">
        <f>IF(G408="","",ROUND(G408*0.04,2))</f>
        <v/>
      </c>
      <c r="L408" s="4" t="n"/>
      <c r="M408" s="4" t="n"/>
      <c r="N408" s="5">
        <f>IF(A408="","",SUM(E408:K408)-N(L408))</f>
        <v/>
      </c>
      <c r="O408">
        <f>IF(OR(A408="",M408=""),"",IF(ABS(M408-N408)&lt;=0.02,"OK","REVISAR"))</f>
        <v/>
      </c>
      <c r="P408">
        <f>IF(D408="","",IF(LEN(TRIM(D408))&lt;&gt;9,"REVISAR",IFERROR(IF(OR(ISNUMBER(VALUE(LEFT(UPPER(TRIM(D408)),1))),LEFT(UPPER(TRIM(D408)),1)="X",LEFT(UPPER(TRIM(D408)),1)="Y",LEFT(UPPER(TRIM(D408)),1)="Z"),IF(MID("TRWAGMYFPDXBNJZSQVHLCKE",MOD(VALUE(SUBSTITUTE(SUBSTITUTE(SUBSTITUTE(LEFT(UPPER(TRIM(D408)),8),"X","0"),"Y","1"),"Z","2")),23)+1,1)=RIGHT(UPPER(TRIM(D408)),1),"OK","REVISAR"),IF(OR(RIGHT(UPPER(TRIM(D408)),1)=TEXT(MOD(10-MOD((VALUE(MID(UPPER(TRIM(D408)),3,1))+VALUE(MID(UPPER(TRIM(D408)),5,1))+VALUE(MID(UPPER(TRIM(D408)),7,1)))+(INT(2*VALUE(MID(UPPER(TRIM(D408)),2,1))/10)+MOD(2*VALUE(MID(UPPER(TRIM(D408)),2,1)),10))+(INT(2*VALUE(MID(UPPER(TRIM(D408)),4,1))/10)+MOD(2*VALUE(MID(UPPER(TRIM(D408)),4,1)),10))+(INT(2*VALUE(MID(UPPER(TRIM(D408)),6,1))/10)+MOD(2*VALUE(MID(UPPER(TRIM(D408)),6,1)),10))+(INT(2*VALUE(MID(UPPER(TRIM(D408)),8,1))/10)+MOD(2*VALUE(MID(UPPER(TRIM(D408)),8,1)),10)),10),10),"0"),RIGHT(UPPER(TRIM(D408)),1)=MID("JABCDEFGHI",MOD(10-MOD((VALUE(MID(UPPER(TRIM(D408)),3,1))+VALUE(MID(UPPER(TRIM(D408)),5,1))+VALUE(MID(UPPER(TRIM(D408)),7,1)))+(INT(2*VALUE(MID(UPPER(TRIM(D408)),2,1))/10)+MOD(2*VALUE(MID(UPPER(TRIM(D408)),2,1)),10))+(INT(2*VALUE(MID(UPPER(TRIM(D408)),4,1))/10)+MOD(2*VALUE(MID(UPPER(TRIM(D408)),4,1)),10))+(INT(2*VALUE(MID(UPPER(TRIM(D408)),6,1))/10)+MOD(2*VALUE(MID(UPPER(TRIM(D408)),6,1)),10))+(INT(2*VALUE(MID(UPPER(TRIM(D408)),8,1))/10)+MOD(2*VALUE(MID(UPPER(TRIM(D408)),8,1)),10)),10),10)+1,1)),"OK","REVISAR")),"REVISAR")))</f>
        <v/>
      </c>
      <c r="Q408">
        <f>IF(B408="","",IF(COUNTIFS($B$2:$B$501,B408,$D$2:$D$501,D408)&gt;1,"DUPLICADA",""))</f>
        <v/>
      </c>
      <c r="R408">
        <f>IF(A408="","",ROUNDUP(MONTH(A408)/3,0))</f>
        <v/>
      </c>
      <c r="S408" s="3" t="n"/>
    </row>
    <row r="409">
      <c r="A409" s="2" t="n"/>
      <c r="B409" s="3" t="n"/>
      <c r="C409" s="3" t="n"/>
      <c r="D409" s="3" t="n"/>
      <c r="E409" s="4" t="n"/>
      <c r="F409" s="4" t="n"/>
      <c r="G409" s="4" t="n"/>
      <c r="H409" s="4" t="n"/>
      <c r="I409" s="5">
        <f>IF(E409="","",ROUND(E409*0.21,2))</f>
        <v/>
      </c>
      <c r="J409" s="5">
        <f>IF(F409="","",ROUND(F409*0.1,2))</f>
        <v/>
      </c>
      <c r="K409" s="5">
        <f>IF(G409="","",ROUND(G409*0.04,2))</f>
        <v/>
      </c>
      <c r="L409" s="4" t="n"/>
      <c r="M409" s="4" t="n"/>
      <c r="N409" s="5">
        <f>IF(A409="","",SUM(E409:K409)-N(L409))</f>
        <v/>
      </c>
      <c r="O409">
        <f>IF(OR(A409="",M409=""),"",IF(ABS(M409-N409)&lt;=0.02,"OK","REVISAR"))</f>
        <v/>
      </c>
      <c r="P409">
        <f>IF(D409="","",IF(LEN(TRIM(D409))&lt;&gt;9,"REVISAR",IFERROR(IF(OR(ISNUMBER(VALUE(LEFT(UPPER(TRIM(D409)),1))),LEFT(UPPER(TRIM(D409)),1)="X",LEFT(UPPER(TRIM(D409)),1)="Y",LEFT(UPPER(TRIM(D409)),1)="Z"),IF(MID("TRWAGMYFPDXBNJZSQVHLCKE",MOD(VALUE(SUBSTITUTE(SUBSTITUTE(SUBSTITUTE(LEFT(UPPER(TRIM(D409)),8),"X","0"),"Y","1"),"Z","2")),23)+1,1)=RIGHT(UPPER(TRIM(D409)),1),"OK","REVISAR"),IF(OR(RIGHT(UPPER(TRIM(D409)),1)=TEXT(MOD(10-MOD((VALUE(MID(UPPER(TRIM(D409)),3,1))+VALUE(MID(UPPER(TRIM(D409)),5,1))+VALUE(MID(UPPER(TRIM(D409)),7,1)))+(INT(2*VALUE(MID(UPPER(TRIM(D409)),2,1))/10)+MOD(2*VALUE(MID(UPPER(TRIM(D409)),2,1)),10))+(INT(2*VALUE(MID(UPPER(TRIM(D409)),4,1))/10)+MOD(2*VALUE(MID(UPPER(TRIM(D409)),4,1)),10))+(INT(2*VALUE(MID(UPPER(TRIM(D409)),6,1))/10)+MOD(2*VALUE(MID(UPPER(TRIM(D409)),6,1)),10))+(INT(2*VALUE(MID(UPPER(TRIM(D409)),8,1))/10)+MOD(2*VALUE(MID(UPPER(TRIM(D409)),8,1)),10)),10),10),"0"),RIGHT(UPPER(TRIM(D409)),1)=MID("JABCDEFGHI",MOD(10-MOD((VALUE(MID(UPPER(TRIM(D409)),3,1))+VALUE(MID(UPPER(TRIM(D409)),5,1))+VALUE(MID(UPPER(TRIM(D409)),7,1)))+(INT(2*VALUE(MID(UPPER(TRIM(D409)),2,1))/10)+MOD(2*VALUE(MID(UPPER(TRIM(D409)),2,1)),10))+(INT(2*VALUE(MID(UPPER(TRIM(D409)),4,1))/10)+MOD(2*VALUE(MID(UPPER(TRIM(D409)),4,1)),10))+(INT(2*VALUE(MID(UPPER(TRIM(D409)),6,1))/10)+MOD(2*VALUE(MID(UPPER(TRIM(D409)),6,1)),10))+(INT(2*VALUE(MID(UPPER(TRIM(D409)),8,1))/10)+MOD(2*VALUE(MID(UPPER(TRIM(D409)),8,1)),10)),10),10)+1,1)),"OK","REVISAR")),"REVISAR")))</f>
        <v/>
      </c>
      <c r="Q409">
        <f>IF(B409="","",IF(COUNTIFS($B$2:$B$501,B409,$D$2:$D$501,D409)&gt;1,"DUPLICADA",""))</f>
        <v/>
      </c>
      <c r="R409">
        <f>IF(A409="","",ROUNDUP(MONTH(A409)/3,0))</f>
        <v/>
      </c>
      <c r="S409" s="3" t="n"/>
    </row>
    <row r="410">
      <c r="A410" s="2" t="n"/>
      <c r="B410" s="3" t="n"/>
      <c r="C410" s="3" t="n"/>
      <c r="D410" s="3" t="n"/>
      <c r="E410" s="4" t="n"/>
      <c r="F410" s="4" t="n"/>
      <c r="G410" s="4" t="n"/>
      <c r="H410" s="4" t="n"/>
      <c r="I410" s="5">
        <f>IF(E410="","",ROUND(E410*0.21,2))</f>
        <v/>
      </c>
      <c r="J410" s="5">
        <f>IF(F410="","",ROUND(F410*0.1,2))</f>
        <v/>
      </c>
      <c r="K410" s="5">
        <f>IF(G410="","",ROUND(G410*0.04,2))</f>
        <v/>
      </c>
      <c r="L410" s="4" t="n"/>
      <c r="M410" s="4" t="n"/>
      <c r="N410" s="5">
        <f>IF(A410="","",SUM(E410:K410)-N(L410))</f>
        <v/>
      </c>
      <c r="O410">
        <f>IF(OR(A410="",M410=""),"",IF(ABS(M410-N410)&lt;=0.02,"OK","REVISAR"))</f>
        <v/>
      </c>
      <c r="P410">
        <f>IF(D410="","",IF(LEN(TRIM(D410))&lt;&gt;9,"REVISAR",IFERROR(IF(OR(ISNUMBER(VALUE(LEFT(UPPER(TRIM(D410)),1))),LEFT(UPPER(TRIM(D410)),1)="X",LEFT(UPPER(TRIM(D410)),1)="Y",LEFT(UPPER(TRIM(D410)),1)="Z"),IF(MID("TRWAGMYFPDXBNJZSQVHLCKE",MOD(VALUE(SUBSTITUTE(SUBSTITUTE(SUBSTITUTE(LEFT(UPPER(TRIM(D410)),8),"X","0"),"Y","1"),"Z","2")),23)+1,1)=RIGHT(UPPER(TRIM(D410)),1),"OK","REVISAR"),IF(OR(RIGHT(UPPER(TRIM(D410)),1)=TEXT(MOD(10-MOD((VALUE(MID(UPPER(TRIM(D410)),3,1))+VALUE(MID(UPPER(TRIM(D410)),5,1))+VALUE(MID(UPPER(TRIM(D410)),7,1)))+(INT(2*VALUE(MID(UPPER(TRIM(D410)),2,1))/10)+MOD(2*VALUE(MID(UPPER(TRIM(D410)),2,1)),10))+(INT(2*VALUE(MID(UPPER(TRIM(D410)),4,1))/10)+MOD(2*VALUE(MID(UPPER(TRIM(D410)),4,1)),10))+(INT(2*VALUE(MID(UPPER(TRIM(D410)),6,1))/10)+MOD(2*VALUE(MID(UPPER(TRIM(D410)),6,1)),10))+(INT(2*VALUE(MID(UPPER(TRIM(D410)),8,1))/10)+MOD(2*VALUE(MID(UPPER(TRIM(D410)),8,1)),10)),10),10),"0"),RIGHT(UPPER(TRIM(D410)),1)=MID("JABCDEFGHI",MOD(10-MOD((VALUE(MID(UPPER(TRIM(D410)),3,1))+VALUE(MID(UPPER(TRIM(D410)),5,1))+VALUE(MID(UPPER(TRIM(D410)),7,1)))+(INT(2*VALUE(MID(UPPER(TRIM(D410)),2,1))/10)+MOD(2*VALUE(MID(UPPER(TRIM(D410)),2,1)),10))+(INT(2*VALUE(MID(UPPER(TRIM(D410)),4,1))/10)+MOD(2*VALUE(MID(UPPER(TRIM(D410)),4,1)),10))+(INT(2*VALUE(MID(UPPER(TRIM(D410)),6,1))/10)+MOD(2*VALUE(MID(UPPER(TRIM(D410)),6,1)),10))+(INT(2*VALUE(MID(UPPER(TRIM(D410)),8,1))/10)+MOD(2*VALUE(MID(UPPER(TRIM(D410)),8,1)),10)),10),10)+1,1)),"OK","REVISAR")),"REVISAR")))</f>
        <v/>
      </c>
      <c r="Q410">
        <f>IF(B410="","",IF(COUNTIFS($B$2:$B$501,B410,$D$2:$D$501,D410)&gt;1,"DUPLICADA",""))</f>
        <v/>
      </c>
      <c r="R410">
        <f>IF(A410="","",ROUNDUP(MONTH(A410)/3,0))</f>
        <v/>
      </c>
      <c r="S410" s="3" t="n"/>
    </row>
    <row r="411">
      <c r="A411" s="2" t="n"/>
      <c r="B411" s="3" t="n"/>
      <c r="C411" s="3" t="n"/>
      <c r="D411" s="3" t="n"/>
      <c r="E411" s="4" t="n"/>
      <c r="F411" s="4" t="n"/>
      <c r="G411" s="4" t="n"/>
      <c r="H411" s="4" t="n"/>
      <c r="I411" s="5">
        <f>IF(E411="","",ROUND(E411*0.21,2))</f>
        <v/>
      </c>
      <c r="J411" s="5">
        <f>IF(F411="","",ROUND(F411*0.1,2))</f>
        <v/>
      </c>
      <c r="K411" s="5">
        <f>IF(G411="","",ROUND(G411*0.04,2))</f>
        <v/>
      </c>
      <c r="L411" s="4" t="n"/>
      <c r="M411" s="4" t="n"/>
      <c r="N411" s="5">
        <f>IF(A411="","",SUM(E411:K411)-N(L411))</f>
        <v/>
      </c>
      <c r="O411">
        <f>IF(OR(A411="",M411=""),"",IF(ABS(M411-N411)&lt;=0.02,"OK","REVISAR"))</f>
        <v/>
      </c>
      <c r="P411">
        <f>IF(D411="","",IF(LEN(TRIM(D411))&lt;&gt;9,"REVISAR",IFERROR(IF(OR(ISNUMBER(VALUE(LEFT(UPPER(TRIM(D411)),1))),LEFT(UPPER(TRIM(D411)),1)="X",LEFT(UPPER(TRIM(D411)),1)="Y",LEFT(UPPER(TRIM(D411)),1)="Z"),IF(MID("TRWAGMYFPDXBNJZSQVHLCKE",MOD(VALUE(SUBSTITUTE(SUBSTITUTE(SUBSTITUTE(LEFT(UPPER(TRIM(D411)),8),"X","0"),"Y","1"),"Z","2")),23)+1,1)=RIGHT(UPPER(TRIM(D411)),1),"OK","REVISAR"),IF(OR(RIGHT(UPPER(TRIM(D411)),1)=TEXT(MOD(10-MOD((VALUE(MID(UPPER(TRIM(D411)),3,1))+VALUE(MID(UPPER(TRIM(D411)),5,1))+VALUE(MID(UPPER(TRIM(D411)),7,1)))+(INT(2*VALUE(MID(UPPER(TRIM(D411)),2,1))/10)+MOD(2*VALUE(MID(UPPER(TRIM(D411)),2,1)),10))+(INT(2*VALUE(MID(UPPER(TRIM(D411)),4,1))/10)+MOD(2*VALUE(MID(UPPER(TRIM(D411)),4,1)),10))+(INT(2*VALUE(MID(UPPER(TRIM(D411)),6,1))/10)+MOD(2*VALUE(MID(UPPER(TRIM(D411)),6,1)),10))+(INT(2*VALUE(MID(UPPER(TRIM(D411)),8,1))/10)+MOD(2*VALUE(MID(UPPER(TRIM(D411)),8,1)),10)),10),10),"0"),RIGHT(UPPER(TRIM(D411)),1)=MID("JABCDEFGHI",MOD(10-MOD((VALUE(MID(UPPER(TRIM(D411)),3,1))+VALUE(MID(UPPER(TRIM(D411)),5,1))+VALUE(MID(UPPER(TRIM(D411)),7,1)))+(INT(2*VALUE(MID(UPPER(TRIM(D411)),2,1))/10)+MOD(2*VALUE(MID(UPPER(TRIM(D411)),2,1)),10))+(INT(2*VALUE(MID(UPPER(TRIM(D411)),4,1))/10)+MOD(2*VALUE(MID(UPPER(TRIM(D411)),4,1)),10))+(INT(2*VALUE(MID(UPPER(TRIM(D411)),6,1))/10)+MOD(2*VALUE(MID(UPPER(TRIM(D411)),6,1)),10))+(INT(2*VALUE(MID(UPPER(TRIM(D411)),8,1))/10)+MOD(2*VALUE(MID(UPPER(TRIM(D411)),8,1)),10)),10),10)+1,1)),"OK","REVISAR")),"REVISAR")))</f>
        <v/>
      </c>
      <c r="Q411">
        <f>IF(B411="","",IF(COUNTIFS($B$2:$B$501,B411,$D$2:$D$501,D411)&gt;1,"DUPLICADA",""))</f>
        <v/>
      </c>
      <c r="R411">
        <f>IF(A411="","",ROUNDUP(MONTH(A411)/3,0))</f>
        <v/>
      </c>
      <c r="S411" s="3" t="n"/>
    </row>
    <row r="412">
      <c r="A412" s="2" t="n"/>
      <c r="B412" s="3" t="n"/>
      <c r="C412" s="3" t="n"/>
      <c r="D412" s="3" t="n"/>
      <c r="E412" s="4" t="n"/>
      <c r="F412" s="4" t="n"/>
      <c r="G412" s="4" t="n"/>
      <c r="H412" s="4" t="n"/>
      <c r="I412" s="5">
        <f>IF(E412="","",ROUND(E412*0.21,2))</f>
        <v/>
      </c>
      <c r="J412" s="5">
        <f>IF(F412="","",ROUND(F412*0.1,2))</f>
        <v/>
      </c>
      <c r="K412" s="5">
        <f>IF(G412="","",ROUND(G412*0.04,2))</f>
        <v/>
      </c>
      <c r="L412" s="4" t="n"/>
      <c r="M412" s="4" t="n"/>
      <c r="N412" s="5">
        <f>IF(A412="","",SUM(E412:K412)-N(L412))</f>
        <v/>
      </c>
      <c r="O412">
        <f>IF(OR(A412="",M412=""),"",IF(ABS(M412-N412)&lt;=0.02,"OK","REVISAR"))</f>
        <v/>
      </c>
      <c r="P412">
        <f>IF(D412="","",IF(LEN(TRIM(D412))&lt;&gt;9,"REVISAR",IFERROR(IF(OR(ISNUMBER(VALUE(LEFT(UPPER(TRIM(D412)),1))),LEFT(UPPER(TRIM(D412)),1)="X",LEFT(UPPER(TRIM(D412)),1)="Y",LEFT(UPPER(TRIM(D412)),1)="Z"),IF(MID("TRWAGMYFPDXBNJZSQVHLCKE",MOD(VALUE(SUBSTITUTE(SUBSTITUTE(SUBSTITUTE(LEFT(UPPER(TRIM(D412)),8),"X","0"),"Y","1"),"Z","2")),23)+1,1)=RIGHT(UPPER(TRIM(D412)),1),"OK","REVISAR"),IF(OR(RIGHT(UPPER(TRIM(D412)),1)=TEXT(MOD(10-MOD((VALUE(MID(UPPER(TRIM(D412)),3,1))+VALUE(MID(UPPER(TRIM(D412)),5,1))+VALUE(MID(UPPER(TRIM(D412)),7,1)))+(INT(2*VALUE(MID(UPPER(TRIM(D412)),2,1))/10)+MOD(2*VALUE(MID(UPPER(TRIM(D412)),2,1)),10))+(INT(2*VALUE(MID(UPPER(TRIM(D412)),4,1))/10)+MOD(2*VALUE(MID(UPPER(TRIM(D412)),4,1)),10))+(INT(2*VALUE(MID(UPPER(TRIM(D412)),6,1))/10)+MOD(2*VALUE(MID(UPPER(TRIM(D412)),6,1)),10))+(INT(2*VALUE(MID(UPPER(TRIM(D412)),8,1))/10)+MOD(2*VALUE(MID(UPPER(TRIM(D412)),8,1)),10)),10),10),"0"),RIGHT(UPPER(TRIM(D412)),1)=MID("JABCDEFGHI",MOD(10-MOD((VALUE(MID(UPPER(TRIM(D412)),3,1))+VALUE(MID(UPPER(TRIM(D412)),5,1))+VALUE(MID(UPPER(TRIM(D412)),7,1)))+(INT(2*VALUE(MID(UPPER(TRIM(D412)),2,1))/10)+MOD(2*VALUE(MID(UPPER(TRIM(D412)),2,1)),10))+(INT(2*VALUE(MID(UPPER(TRIM(D412)),4,1))/10)+MOD(2*VALUE(MID(UPPER(TRIM(D412)),4,1)),10))+(INT(2*VALUE(MID(UPPER(TRIM(D412)),6,1))/10)+MOD(2*VALUE(MID(UPPER(TRIM(D412)),6,1)),10))+(INT(2*VALUE(MID(UPPER(TRIM(D412)),8,1))/10)+MOD(2*VALUE(MID(UPPER(TRIM(D412)),8,1)),10)),10),10)+1,1)),"OK","REVISAR")),"REVISAR")))</f>
        <v/>
      </c>
      <c r="Q412">
        <f>IF(B412="","",IF(COUNTIFS($B$2:$B$501,B412,$D$2:$D$501,D412)&gt;1,"DUPLICADA",""))</f>
        <v/>
      </c>
      <c r="R412">
        <f>IF(A412="","",ROUNDUP(MONTH(A412)/3,0))</f>
        <v/>
      </c>
      <c r="S412" s="3" t="n"/>
    </row>
    <row r="413">
      <c r="A413" s="2" t="n"/>
      <c r="B413" s="3" t="n"/>
      <c r="C413" s="3" t="n"/>
      <c r="D413" s="3" t="n"/>
      <c r="E413" s="4" t="n"/>
      <c r="F413" s="4" t="n"/>
      <c r="G413" s="4" t="n"/>
      <c r="H413" s="4" t="n"/>
      <c r="I413" s="5">
        <f>IF(E413="","",ROUND(E413*0.21,2))</f>
        <v/>
      </c>
      <c r="J413" s="5">
        <f>IF(F413="","",ROUND(F413*0.1,2))</f>
        <v/>
      </c>
      <c r="K413" s="5">
        <f>IF(G413="","",ROUND(G413*0.04,2))</f>
        <v/>
      </c>
      <c r="L413" s="4" t="n"/>
      <c r="M413" s="4" t="n"/>
      <c r="N413" s="5">
        <f>IF(A413="","",SUM(E413:K413)-N(L413))</f>
        <v/>
      </c>
      <c r="O413">
        <f>IF(OR(A413="",M413=""),"",IF(ABS(M413-N413)&lt;=0.02,"OK","REVISAR"))</f>
        <v/>
      </c>
      <c r="P413">
        <f>IF(D413="","",IF(LEN(TRIM(D413))&lt;&gt;9,"REVISAR",IFERROR(IF(OR(ISNUMBER(VALUE(LEFT(UPPER(TRIM(D413)),1))),LEFT(UPPER(TRIM(D413)),1)="X",LEFT(UPPER(TRIM(D413)),1)="Y",LEFT(UPPER(TRIM(D413)),1)="Z"),IF(MID("TRWAGMYFPDXBNJZSQVHLCKE",MOD(VALUE(SUBSTITUTE(SUBSTITUTE(SUBSTITUTE(LEFT(UPPER(TRIM(D413)),8),"X","0"),"Y","1"),"Z","2")),23)+1,1)=RIGHT(UPPER(TRIM(D413)),1),"OK","REVISAR"),IF(OR(RIGHT(UPPER(TRIM(D413)),1)=TEXT(MOD(10-MOD((VALUE(MID(UPPER(TRIM(D413)),3,1))+VALUE(MID(UPPER(TRIM(D413)),5,1))+VALUE(MID(UPPER(TRIM(D413)),7,1)))+(INT(2*VALUE(MID(UPPER(TRIM(D413)),2,1))/10)+MOD(2*VALUE(MID(UPPER(TRIM(D413)),2,1)),10))+(INT(2*VALUE(MID(UPPER(TRIM(D413)),4,1))/10)+MOD(2*VALUE(MID(UPPER(TRIM(D413)),4,1)),10))+(INT(2*VALUE(MID(UPPER(TRIM(D413)),6,1))/10)+MOD(2*VALUE(MID(UPPER(TRIM(D413)),6,1)),10))+(INT(2*VALUE(MID(UPPER(TRIM(D413)),8,1))/10)+MOD(2*VALUE(MID(UPPER(TRIM(D413)),8,1)),10)),10),10),"0"),RIGHT(UPPER(TRIM(D413)),1)=MID("JABCDEFGHI",MOD(10-MOD((VALUE(MID(UPPER(TRIM(D413)),3,1))+VALUE(MID(UPPER(TRIM(D413)),5,1))+VALUE(MID(UPPER(TRIM(D413)),7,1)))+(INT(2*VALUE(MID(UPPER(TRIM(D413)),2,1))/10)+MOD(2*VALUE(MID(UPPER(TRIM(D413)),2,1)),10))+(INT(2*VALUE(MID(UPPER(TRIM(D413)),4,1))/10)+MOD(2*VALUE(MID(UPPER(TRIM(D413)),4,1)),10))+(INT(2*VALUE(MID(UPPER(TRIM(D413)),6,1))/10)+MOD(2*VALUE(MID(UPPER(TRIM(D413)),6,1)),10))+(INT(2*VALUE(MID(UPPER(TRIM(D413)),8,1))/10)+MOD(2*VALUE(MID(UPPER(TRIM(D413)),8,1)),10)),10),10)+1,1)),"OK","REVISAR")),"REVISAR")))</f>
        <v/>
      </c>
      <c r="Q413">
        <f>IF(B413="","",IF(COUNTIFS($B$2:$B$501,B413,$D$2:$D$501,D413)&gt;1,"DUPLICADA",""))</f>
        <v/>
      </c>
      <c r="R413">
        <f>IF(A413="","",ROUNDUP(MONTH(A413)/3,0))</f>
        <v/>
      </c>
      <c r="S413" s="3" t="n"/>
    </row>
    <row r="414">
      <c r="A414" s="2" t="n"/>
      <c r="B414" s="3" t="n"/>
      <c r="C414" s="3" t="n"/>
      <c r="D414" s="3" t="n"/>
      <c r="E414" s="4" t="n"/>
      <c r="F414" s="4" t="n"/>
      <c r="G414" s="4" t="n"/>
      <c r="H414" s="4" t="n"/>
      <c r="I414" s="5">
        <f>IF(E414="","",ROUND(E414*0.21,2))</f>
        <v/>
      </c>
      <c r="J414" s="5">
        <f>IF(F414="","",ROUND(F414*0.1,2))</f>
        <v/>
      </c>
      <c r="K414" s="5">
        <f>IF(G414="","",ROUND(G414*0.04,2))</f>
        <v/>
      </c>
      <c r="L414" s="4" t="n"/>
      <c r="M414" s="4" t="n"/>
      <c r="N414" s="5">
        <f>IF(A414="","",SUM(E414:K414)-N(L414))</f>
        <v/>
      </c>
      <c r="O414">
        <f>IF(OR(A414="",M414=""),"",IF(ABS(M414-N414)&lt;=0.02,"OK","REVISAR"))</f>
        <v/>
      </c>
      <c r="P414">
        <f>IF(D414="","",IF(LEN(TRIM(D414))&lt;&gt;9,"REVISAR",IFERROR(IF(OR(ISNUMBER(VALUE(LEFT(UPPER(TRIM(D414)),1))),LEFT(UPPER(TRIM(D414)),1)="X",LEFT(UPPER(TRIM(D414)),1)="Y",LEFT(UPPER(TRIM(D414)),1)="Z"),IF(MID("TRWAGMYFPDXBNJZSQVHLCKE",MOD(VALUE(SUBSTITUTE(SUBSTITUTE(SUBSTITUTE(LEFT(UPPER(TRIM(D414)),8),"X","0"),"Y","1"),"Z","2")),23)+1,1)=RIGHT(UPPER(TRIM(D414)),1),"OK","REVISAR"),IF(OR(RIGHT(UPPER(TRIM(D414)),1)=TEXT(MOD(10-MOD((VALUE(MID(UPPER(TRIM(D414)),3,1))+VALUE(MID(UPPER(TRIM(D414)),5,1))+VALUE(MID(UPPER(TRIM(D414)),7,1)))+(INT(2*VALUE(MID(UPPER(TRIM(D414)),2,1))/10)+MOD(2*VALUE(MID(UPPER(TRIM(D414)),2,1)),10))+(INT(2*VALUE(MID(UPPER(TRIM(D414)),4,1))/10)+MOD(2*VALUE(MID(UPPER(TRIM(D414)),4,1)),10))+(INT(2*VALUE(MID(UPPER(TRIM(D414)),6,1))/10)+MOD(2*VALUE(MID(UPPER(TRIM(D414)),6,1)),10))+(INT(2*VALUE(MID(UPPER(TRIM(D414)),8,1))/10)+MOD(2*VALUE(MID(UPPER(TRIM(D414)),8,1)),10)),10),10),"0"),RIGHT(UPPER(TRIM(D414)),1)=MID("JABCDEFGHI",MOD(10-MOD((VALUE(MID(UPPER(TRIM(D414)),3,1))+VALUE(MID(UPPER(TRIM(D414)),5,1))+VALUE(MID(UPPER(TRIM(D414)),7,1)))+(INT(2*VALUE(MID(UPPER(TRIM(D414)),2,1))/10)+MOD(2*VALUE(MID(UPPER(TRIM(D414)),2,1)),10))+(INT(2*VALUE(MID(UPPER(TRIM(D414)),4,1))/10)+MOD(2*VALUE(MID(UPPER(TRIM(D414)),4,1)),10))+(INT(2*VALUE(MID(UPPER(TRIM(D414)),6,1))/10)+MOD(2*VALUE(MID(UPPER(TRIM(D414)),6,1)),10))+(INT(2*VALUE(MID(UPPER(TRIM(D414)),8,1))/10)+MOD(2*VALUE(MID(UPPER(TRIM(D414)),8,1)),10)),10),10)+1,1)),"OK","REVISAR")),"REVISAR")))</f>
        <v/>
      </c>
      <c r="Q414">
        <f>IF(B414="","",IF(COUNTIFS($B$2:$B$501,B414,$D$2:$D$501,D414)&gt;1,"DUPLICADA",""))</f>
        <v/>
      </c>
      <c r="R414">
        <f>IF(A414="","",ROUNDUP(MONTH(A414)/3,0))</f>
        <v/>
      </c>
      <c r="S414" s="3" t="n"/>
    </row>
    <row r="415">
      <c r="A415" s="2" t="n"/>
      <c r="B415" s="3" t="n"/>
      <c r="C415" s="3" t="n"/>
      <c r="D415" s="3" t="n"/>
      <c r="E415" s="4" t="n"/>
      <c r="F415" s="4" t="n"/>
      <c r="G415" s="4" t="n"/>
      <c r="H415" s="4" t="n"/>
      <c r="I415" s="5">
        <f>IF(E415="","",ROUND(E415*0.21,2))</f>
        <v/>
      </c>
      <c r="J415" s="5">
        <f>IF(F415="","",ROUND(F415*0.1,2))</f>
        <v/>
      </c>
      <c r="K415" s="5">
        <f>IF(G415="","",ROUND(G415*0.04,2))</f>
        <v/>
      </c>
      <c r="L415" s="4" t="n"/>
      <c r="M415" s="4" t="n"/>
      <c r="N415" s="5">
        <f>IF(A415="","",SUM(E415:K415)-N(L415))</f>
        <v/>
      </c>
      <c r="O415">
        <f>IF(OR(A415="",M415=""),"",IF(ABS(M415-N415)&lt;=0.02,"OK","REVISAR"))</f>
        <v/>
      </c>
      <c r="P415">
        <f>IF(D415="","",IF(LEN(TRIM(D415))&lt;&gt;9,"REVISAR",IFERROR(IF(OR(ISNUMBER(VALUE(LEFT(UPPER(TRIM(D415)),1))),LEFT(UPPER(TRIM(D415)),1)="X",LEFT(UPPER(TRIM(D415)),1)="Y",LEFT(UPPER(TRIM(D415)),1)="Z"),IF(MID("TRWAGMYFPDXBNJZSQVHLCKE",MOD(VALUE(SUBSTITUTE(SUBSTITUTE(SUBSTITUTE(LEFT(UPPER(TRIM(D415)),8),"X","0"),"Y","1"),"Z","2")),23)+1,1)=RIGHT(UPPER(TRIM(D415)),1),"OK","REVISAR"),IF(OR(RIGHT(UPPER(TRIM(D415)),1)=TEXT(MOD(10-MOD((VALUE(MID(UPPER(TRIM(D415)),3,1))+VALUE(MID(UPPER(TRIM(D415)),5,1))+VALUE(MID(UPPER(TRIM(D415)),7,1)))+(INT(2*VALUE(MID(UPPER(TRIM(D415)),2,1))/10)+MOD(2*VALUE(MID(UPPER(TRIM(D415)),2,1)),10))+(INT(2*VALUE(MID(UPPER(TRIM(D415)),4,1))/10)+MOD(2*VALUE(MID(UPPER(TRIM(D415)),4,1)),10))+(INT(2*VALUE(MID(UPPER(TRIM(D415)),6,1))/10)+MOD(2*VALUE(MID(UPPER(TRIM(D415)),6,1)),10))+(INT(2*VALUE(MID(UPPER(TRIM(D415)),8,1))/10)+MOD(2*VALUE(MID(UPPER(TRIM(D415)),8,1)),10)),10),10),"0"),RIGHT(UPPER(TRIM(D415)),1)=MID("JABCDEFGHI",MOD(10-MOD((VALUE(MID(UPPER(TRIM(D415)),3,1))+VALUE(MID(UPPER(TRIM(D415)),5,1))+VALUE(MID(UPPER(TRIM(D415)),7,1)))+(INT(2*VALUE(MID(UPPER(TRIM(D415)),2,1))/10)+MOD(2*VALUE(MID(UPPER(TRIM(D415)),2,1)),10))+(INT(2*VALUE(MID(UPPER(TRIM(D415)),4,1))/10)+MOD(2*VALUE(MID(UPPER(TRIM(D415)),4,1)),10))+(INT(2*VALUE(MID(UPPER(TRIM(D415)),6,1))/10)+MOD(2*VALUE(MID(UPPER(TRIM(D415)),6,1)),10))+(INT(2*VALUE(MID(UPPER(TRIM(D415)),8,1))/10)+MOD(2*VALUE(MID(UPPER(TRIM(D415)),8,1)),10)),10),10)+1,1)),"OK","REVISAR")),"REVISAR")))</f>
        <v/>
      </c>
      <c r="Q415">
        <f>IF(B415="","",IF(COUNTIFS($B$2:$B$501,B415,$D$2:$D$501,D415)&gt;1,"DUPLICADA",""))</f>
        <v/>
      </c>
      <c r="R415">
        <f>IF(A415="","",ROUNDUP(MONTH(A415)/3,0))</f>
        <v/>
      </c>
      <c r="S415" s="3" t="n"/>
    </row>
    <row r="416">
      <c r="A416" s="2" t="n"/>
      <c r="B416" s="3" t="n"/>
      <c r="C416" s="3" t="n"/>
      <c r="D416" s="3" t="n"/>
      <c r="E416" s="4" t="n"/>
      <c r="F416" s="4" t="n"/>
      <c r="G416" s="4" t="n"/>
      <c r="H416" s="4" t="n"/>
      <c r="I416" s="5">
        <f>IF(E416="","",ROUND(E416*0.21,2))</f>
        <v/>
      </c>
      <c r="J416" s="5">
        <f>IF(F416="","",ROUND(F416*0.1,2))</f>
        <v/>
      </c>
      <c r="K416" s="5">
        <f>IF(G416="","",ROUND(G416*0.04,2))</f>
        <v/>
      </c>
      <c r="L416" s="4" t="n"/>
      <c r="M416" s="4" t="n"/>
      <c r="N416" s="5">
        <f>IF(A416="","",SUM(E416:K416)-N(L416))</f>
        <v/>
      </c>
      <c r="O416">
        <f>IF(OR(A416="",M416=""),"",IF(ABS(M416-N416)&lt;=0.02,"OK","REVISAR"))</f>
        <v/>
      </c>
      <c r="P416">
        <f>IF(D416="","",IF(LEN(TRIM(D416))&lt;&gt;9,"REVISAR",IFERROR(IF(OR(ISNUMBER(VALUE(LEFT(UPPER(TRIM(D416)),1))),LEFT(UPPER(TRIM(D416)),1)="X",LEFT(UPPER(TRIM(D416)),1)="Y",LEFT(UPPER(TRIM(D416)),1)="Z"),IF(MID("TRWAGMYFPDXBNJZSQVHLCKE",MOD(VALUE(SUBSTITUTE(SUBSTITUTE(SUBSTITUTE(LEFT(UPPER(TRIM(D416)),8),"X","0"),"Y","1"),"Z","2")),23)+1,1)=RIGHT(UPPER(TRIM(D416)),1),"OK","REVISAR"),IF(OR(RIGHT(UPPER(TRIM(D416)),1)=TEXT(MOD(10-MOD((VALUE(MID(UPPER(TRIM(D416)),3,1))+VALUE(MID(UPPER(TRIM(D416)),5,1))+VALUE(MID(UPPER(TRIM(D416)),7,1)))+(INT(2*VALUE(MID(UPPER(TRIM(D416)),2,1))/10)+MOD(2*VALUE(MID(UPPER(TRIM(D416)),2,1)),10))+(INT(2*VALUE(MID(UPPER(TRIM(D416)),4,1))/10)+MOD(2*VALUE(MID(UPPER(TRIM(D416)),4,1)),10))+(INT(2*VALUE(MID(UPPER(TRIM(D416)),6,1))/10)+MOD(2*VALUE(MID(UPPER(TRIM(D416)),6,1)),10))+(INT(2*VALUE(MID(UPPER(TRIM(D416)),8,1))/10)+MOD(2*VALUE(MID(UPPER(TRIM(D416)),8,1)),10)),10),10),"0"),RIGHT(UPPER(TRIM(D416)),1)=MID("JABCDEFGHI",MOD(10-MOD((VALUE(MID(UPPER(TRIM(D416)),3,1))+VALUE(MID(UPPER(TRIM(D416)),5,1))+VALUE(MID(UPPER(TRIM(D416)),7,1)))+(INT(2*VALUE(MID(UPPER(TRIM(D416)),2,1))/10)+MOD(2*VALUE(MID(UPPER(TRIM(D416)),2,1)),10))+(INT(2*VALUE(MID(UPPER(TRIM(D416)),4,1))/10)+MOD(2*VALUE(MID(UPPER(TRIM(D416)),4,1)),10))+(INT(2*VALUE(MID(UPPER(TRIM(D416)),6,1))/10)+MOD(2*VALUE(MID(UPPER(TRIM(D416)),6,1)),10))+(INT(2*VALUE(MID(UPPER(TRIM(D416)),8,1))/10)+MOD(2*VALUE(MID(UPPER(TRIM(D416)),8,1)),10)),10),10)+1,1)),"OK","REVISAR")),"REVISAR")))</f>
        <v/>
      </c>
      <c r="Q416">
        <f>IF(B416="","",IF(COUNTIFS($B$2:$B$501,B416,$D$2:$D$501,D416)&gt;1,"DUPLICADA",""))</f>
        <v/>
      </c>
      <c r="R416">
        <f>IF(A416="","",ROUNDUP(MONTH(A416)/3,0))</f>
        <v/>
      </c>
      <c r="S416" s="3" t="n"/>
    </row>
    <row r="417">
      <c r="A417" s="2" t="n"/>
      <c r="B417" s="3" t="n"/>
      <c r="C417" s="3" t="n"/>
      <c r="D417" s="3" t="n"/>
      <c r="E417" s="4" t="n"/>
      <c r="F417" s="4" t="n"/>
      <c r="G417" s="4" t="n"/>
      <c r="H417" s="4" t="n"/>
      <c r="I417" s="5">
        <f>IF(E417="","",ROUND(E417*0.21,2))</f>
        <v/>
      </c>
      <c r="J417" s="5">
        <f>IF(F417="","",ROUND(F417*0.1,2))</f>
        <v/>
      </c>
      <c r="K417" s="5">
        <f>IF(G417="","",ROUND(G417*0.04,2))</f>
        <v/>
      </c>
      <c r="L417" s="4" t="n"/>
      <c r="M417" s="4" t="n"/>
      <c r="N417" s="5">
        <f>IF(A417="","",SUM(E417:K417)-N(L417))</f>
        <v/>
      </c>
      <c r="O417">
        <f>IF(OR(A417="",M417=""),"",IF(ABS(M417-N417)&lt;=0.02,"OK","REVISAR"))</f>
        <v/>
      </c>
      <c r="P417">
        <f>IF(D417="","",IF(LEN(TRIM(D417))&lt;&gt;9,"REVISAR",IFERROR(IF(OR(ISNUMBER(VALUE(LEFT(UPPER(TRIM(D417)),1))),LEFT(UPPER(TRIM(D417)),1)="X",LEFT(UPPER(TRIM(D417)),1)="Y",LEFT(UPPER(TRIM(D417)),1)="Z"),IF(MID("TRWAGMYFPDXBNJZSQVHLCKE",MOD(VALUE(SUBSTITUTE(SUBSTITUTE(SUBSTITUTE(LEFT(UPPER(TRIM(D417)),8),"X","0"),"Y","1"),"Z","2")),23)+1,1)=RIGHT(UPPER(TRIM(D417)),1),"OK","REVISAR"),IF(OR(RIGHT(UPPER(TRIM(D417)),1)=TEXT(MOD(10-MOD((VALUE(MID(UPPER(TRIM(D417)),3,1))+VALUE(MID(UPPER(TRIM(D417)),5,1))+VALUE(MID(UPPER(TRIM(D417)),7,1)))+(INT(2*VALUE(MID(UPPER(TRIM(D417)),2,1))/10)+MOD(2*VALUE(MID(UPPER(TRIM(D417)),2,1)),10))+(INT(2*VALUE(MID(UPPER(TRIM(D417)),4,1))/10)+MOD(2*VALUE(MID(UPPER(TRIM(D417)),4,1)),10))+(INT(2*VALUE(MID(UPPER(TRIM(D417)),6,1))/10)+MOD(2*VALUE(MID(UPPER(TRIM(D417)),6,1)),10))+(INT(2*VALUE(MID(UPPER(TRIM(D417)),8,1))/10)+MOD(2*VALUE(MID(UPPER(TRIM(D417)),8,1)),10)),10),10),"0"),RIGHT(UPPER(TRIM(D417)),1)=MID("JABCDEFGHI",MOD(10-MOD((VALUE(MID(UPPER(TRIM(D417)),3,1))+VALUE(MID(UPPER(TRIM(D417)),5,1))+VALUE(MID(UPPER(TRIM(D417)),7,1)))+(INT(2*VALUE(MID(UPPER(TRIM(D417)),2,1))/10)+MOD(2*VALUE(MID(UPPER(TRIM(D417)),2,1)),10))+(INT(2*VALUE(MID(UPPER(TRIM(D417)),4,1))/10)+MOD(2*VALUE(MID(UPPER(TRIM(D417)),4,1)),10))+(INT(2*VALUE(MID(UPPER(TRIM(D417)),6,1))/10)+MOD(2*VALUE(MID(UPPER(TRIM(D417)),6,1)),10))+(INT(2*VALUE(MID(UPPER(TRIM(D417)),8,1))/10)+MOD(2*VALUE(MID(UPPER(TRIM(D417)),8,1)),10)),10),10)+1,1)),"OK","REVISAR")),"REVISAR")))</f>
        <v/>
      </c>
      <c r="Q417">
        <f>IF(B417="","",IF(COUNTIFS($B$2:$B$501,B417,$D$2:$D$501,D417)&gt;1,"DUPLICADA",""))</f>
        <v/>
      </c>
      <c r="R417">
        <f>IF(A417="","",ROUNDUP(MONTH(A417)/3,0))</f>
        <v/>
      </c>
      <c r="S417" s="3" t="n"/>
    </row>
    <row r="418">
      <c r="A418" s="2" t="n"/>
      <c r="B418" s="3" t="n"/>
      <c r="C418" s="3" t="n"/>
      <c r="D418" s="3" t="n"/>
      <c r="E418" s="4" t="n"/>
      <c r="F418" s="4" t="n"/>
      <c r="G418" s="4" t="n"/>
      <c r="H418" s="4" t="n"/>
      <c r="I418" s="5">
        <f>IF(E418="","",ROUND(E418*0.21,2))</f>
        <v/>
      </c>
      <c r="J418" s="5">
        <f>IF(F418="","",ROUND(F418*0.1,2))</f>
        <v/>
      </c>
      <c r="K418" s="5">
        <f>IF(G418="","",ROUND(G418*0.04,2))</f>
        <v/>
      </c>
      <c r="L418" s="4" t="n"/>
      <c r="M418" s="4" t="n"/>
      <c r="N418" s="5">
        <f>IF(A418="","",SUM(E418:K418)-N(L418))</f>
        <v/>
      </c>
      <c r="O418">
        <f>IF(OR(A418="",M418=""),"",IF(ABS(M418-N418)&lt;=0.02,"OK","REVISAR"))</f>
        <v/>
      </c>
      <c r="P418">
        <f>IF(D418="","",IF(LEN(TRIM(D418))&lt;&gt;9,"REVISAR",IFERROR(IF(OR(ISNUMBER(VALUE(LEFT(UPPER(TRIM(D418)),1))),LEFT(UPPER(TRIM(D418)),1)="X",LEFT(UPPER(TRIM(D418)),1)="Y",LEFT(UPPER(TRIM(D418)),1)="Z"),IF(MID("TRWAGMYFPDXBNJZSQVHLCKE",MOD(VALUE(SUBSTITUTE(SUBSTITUTE(SUBSTITUTE(LEFT(UPPER(TRIM(D418)),8),"X","0"),"Y","1"),"Z","2")),23)+1,1)=RIGHT(UPPER(TRIM(D418)),1),"OK","REVISAR"),IF(OR(RIGHT(UPPER(TRIM(D418)),1)=TEXT(MOD(10-MOD((VALUE(MID(UPPER(TRIM(D418)),3,1))+VALUE(MID(UPPER(TRIM(D418)),5,1))+VALUE(MID(UPPER(TRIM(D418)),7,1)))+(INT(2*VALUE(MID(UPPER(TRIM(D418)),2,1))/10)+MOD(2*VALUE(MID(UPPER(TRIM(D418)),2,1)),10))+(INT(2*VALUE(MID(UPPER(TRIM(D418)),4,1))/10)+MOD(2*VALUE(MID(UPPER(TRIM(D418)),4,1)),10))+(INT(2*VALUE(MID(UPPER(TRIM(D418)),6,1))/10)+MOD(2*VALUE(MID(UPPER(TRIM(D418)),6,1)),10))+(INT(2*VALUE(MID(UPPER(TRIM(D418)),8,1))/10)+MOD(2*VALUE(MID(UPPER(TRIM(D418)),8,1)),10)),10),10),"0"),RIGHT(UPPER(TRIM(D418)),1)=MID("JABCDEFGHI",MOD(10-MOD((VALUE(MID(UPPER(TRIM(D418)),3,1))+VALUE(MID(UPPER(TRIM(D418)),5,1))+VALUE(MID(UPPER(TRIM(D418)),7,1)))+(INT(2*VALUE(MID(UPPER(TRIM(D418)),2,1))/10)+MOD(2*VALUE(MID(UPPER(TRIM(D418)),2,1)),10))+(INT(2*VALUE(MID(UPPER(TRIM(D418)),4,1))/10)+MOD(2*VALUE(MID(UPPER(TRIM(D418)),4,1)),10))+(INT(2*VALUE(MID(UPPER(TRIM(D418)),6,1))/10)+MOD(2*VALUE(MID(UPPER(TRIM(D418)),6,1)),10))+(INT(2*VALUE(MID(UPPER(TRIM(D418)),8,1))/10)+MOD(2*VALUE(MID(UPPER(TRIM(D418)),8,1)),10)),10),10)+1,1)),"OK","REVISAR")),"REVISAR")))</f>
        <v/>
      </c>
      <c r="Q418">
        <f>IF(B418="","",IF(COUNTIFS($B$2:$B$501,B418,$D$2:$D$501,D418)&gt;1,"DUPLICADA",""))</f>
        <v/>
      </c>
      <c r="R418">
        <f>IF(A418="","",ROUNDUP(MONTH(A418)/3,0))</f>
        <v/>
      </c>
      <c r="S418" s="3" t="n"/>
    </row>
    <row r="419">
      <c r="A419" s="2" t="n"/>
      <c r="B419" s="3" t="n"/>
      <c r="C419" s="3" t="n"/>
      <c r="D419" s="3" t="n"/>
      <c r="E419" s="4" t="n"/>
      <c r="F419" s="4" t="n"/>
      <c r="G419" s="4" t="n"/>
      <c r="H419" s="4" t="n"/>
      <c r="I419" s="5">
        <f>IF(E419="","",ROUND(E419*0.21,2))</f>
        <v/>
      </c>
      <c r="J419" s="5">
        <f>IF(F419="","",ROUND(F419*0.1,2))</f>
        <v/>
      </c>
      <c r="K419" s="5">
        <f>IF(G419="","",ROUND(G419*0.04,2))</f>
        <v/>
      </c>
      <c r="L419" s="4" t="n"/>
      <c r="M419" s="4" t="n"/>
      <c r="N419" s="5">
        <f>IF(A419="","",SUM(E419:K419)-N(L419))</f>
        <v/>
      </c>
      <c r="O419">
        <f>IF(OR(A419="",M419=""),"",IF(ABS(M419-N419)&lt;=0.02,"OK","REVISAR"))</f>
        <v/>
      </c>
      <c r="P419">
        <f>IF(D419="","",IF(LEN(TRIM(D419))&lt;&gt;9,"REVISAR",IFERROR(IF(OR(ISNUMBER(VALUE(LEFT(UPPER(TRIM(D419)),1))),LEFT(UPPER(TRIM(D419)),1)="X",LEFT(UPPER(TRIM(D419)),1)="Y",LEFT(UPPER(TRIM(D419)),1)="Z"),IF(MID("TRWAGMYFPDXBNJZSQVHLCKE",MOD(VALUE(SUBSTITUTE(SUBSTITUTE(SUBSTITUTE(LEFT(UPPER(TRIM(D419)),8),"X","0"),"Y","1"),"Z","2")),23)+1,1)=RIGHT(UPPER(TRIM(D419)),1),"OK","REVISAR"),IF(OR(RIGHT(UPPER(TRIM(D419)),1)=TEXT(MOD(10-MOD((VALUE(MID(UPPER(TRIM(D419)),3,1))+VALUE(MID(UPPER(TRIM(D419)),5,1))+VALUE(MID(UPPER(TRIM(D419)),7,1)))+(INT(2*VALUE(MID(UPPER(TRIM(D419)),2,1))/10)+MOD(2*VALUE(MID(UPPER(TRIM(D419)),2,1)),10))+(INT(2*VALUE(MID(UPPER(TRIM(D419)),4,1))/10)+MOD(2*VALUE(MID(UPPER(TRIM(D419)),4,1)),10))+(INT(2*VALUE(MID(UPPER(TRIM(D419)),6,1))/10)+MOD(2*VALUE(MID(UPPER(TRIM(D419)),6,1)),10))+(INT(2*VALUE(MID(UPPER(TRIM(D419)),8,1))/10)+MOD(2*VALUE(MID(UPPER(TRIM(D419)),8,1)),10)),10),10),"0"),RIGHT(UPPER(TRIM(D419)),1)=MID("JABCDEFGHI",MOD(10-MOD((VALUE(MID(UPPER(TRIM(D419)),3,1))+VALUE(MID(UPPER(TRIM(D419)),5,1))+VALUE(MID(UPPER(TRIM(D419)),7,1)))+(INT(2*VALUE(MID(UPPER(TRIM(D419)),2,1))/10)+MOD(2*VALUE(MID(UPPER(TRIM(D419)),2,1)),10))+(INT(2*VALUE(MID(UPPER(TRIM(D419)),4,1))/10)+MOD(2*VALUE(MID(UPPER(TRIM(D419)),4,1)),10))+(INT(2*VALUE(MID(UPPER(TRIM(D419)),6,1))/10)+MOD(2*VALUE(MID(UPPER(TRIM(D419)),6,1)),10))+(INT(2*VALUE(MID(UPPER(TRIM(D419)),8,1))/10)+MOD(2*VALUE(MID(UPPER(TRIM(D419)),8,1)),10)),10),10)+1,1)),"OK","REVISAR")),"REVISAR")))</f>
        <v/>
      </c>
      <c r="Q419">
        <f>IF(B419="","",IF(COUNTIFS($B$2:$B$501,B419,$D$2:$D$501,D419)&gt;1,"DUPLICADA",""))</f>
        <v/>
      </c>
      <c r="R419">
        <f>IF(A419="","",ROUNDUP(MONTH(A419)/3,0))</f>
        <v/>
      </c>
      <c r="S419" s="3" t="n"/>
    </row>
    <row r="420">
      <c r="A420" s="2" t="n"/>
      <c r="B420" s="3" t="n"/>
      <c r="C420" s="3" t="n"/>
      <c r="D420" s="3" t="n"/>
      <c r="E420" s="4" t="n"/>
      <c r="F420" s="4" t="n"/>
      <c r="G420" s="4" t="n"/>
      <c r="H420" s="4" t="n"/>
      <c r="I420" s="5">
        <f>IF(E420="","",ROUND(E420*0.21,2))</f>
        <v/>
      </c>
      <c r="J420" s="5">
        <f>IF(F420="","",ROUND(F420*0.1,2))</f>
        <v/>
      </c>
      <c r="K420" s="5">
        <f>IF(G420="","",ROUND(G420*0.04,2))</f>
        <v/>
      </c>
      <c r="L420" s="4" t="n"/>
      <c r="M420" s="4" t="n"/>
      <c r="N420" s="5">
        <f>IF(A420="","",SUM(E420:K420)-N(L420))</f>
        <v/>
      </c>
      <c r="O420">
        <f>IF(OR(A420="",M420=""),"",IF(ABS(M420-N420)&lt;=0.02,"OK","REVISAR"))</f>
        <v/>
      </c>
      <c r="P420">
        <f>IF(D420="","",IF(LEN(TRIM(D420))&lt;&gt;9,"REVISAR",IFERROR(IF(OR(ISNUMBER(VALUE(LEFT(UPPER(TRIM(D420)),1))),LEFT(UPPER(TRIM(D420)),1)="X",LEFT(UPPER(TRIM(D420)),1)="Y",LEFT(UPPER(TRIM(D420)),1)="Z"),IF(MID("TRWAGMYFPDXBNJZSQVHLCKE",MOD(VALUE(SUBSTITUTE(SUBSTITUTE(SUBSTITUTE(LEFT(UPPER(TRIM(D420)),8),"X","0"),"Y","1"),"Z","2")),23)+1,1)=RIGHT(UPPER(TRIM(D420)),1),"OK","REVISAR"),IF(OR(RIGHT(UPPER(TRIM(D420)),1)=TEXT(MOD(10-MOD((VALUE(MID(UPPER(TRIM(D420)),3,1))+VALUE(MID(UPPER(TRIM(D420)),5,1))+VALUE(MID(UPPER(TRIM(D420)),7,1)))+(INT(2*VALUE(MID(UPPER(TRIM(D420)),2,1))/10)+MOD(2*VALUE(MID(UPPER(TRIM(D420)),2,1)),10))+(INT(2*VALUE(MID(UPPER(TRIM(D420)),4,1))/10)+MOD(2*VALUE(MID(UPPER(TRIM(D420)),4,1)),10))+(INT(2*VALUE(MID(UPPER(TRIM(D420)),6,1))/10)+MOD(2*VALUE(MID(UPPER(TRIM(D420)),6,1)),10))+(INT(2*VALUE(MID(UPPER(TRIM(D420)),8,1))/10)+MOD(2*VALUE(MID(UPPER(TRIM(D420)),8,1)),10)),10),10),"0"),RIGHT(UPPER(TRIM(D420)),1)=MID("JABCDEFGHI",MOD(10-MOD((VALUE(MID(UPPER(TRIM(D420)),3,1))+VALUE(MID(UPPER(TRIM(D420)),5,1))+VALUE(MID(UPPER(TRIM(D420)),7,1)))+(INT(2*VALUE(MID(UPPER(TRIM(D420)),2,1))/10)+MOD(2*VALUE(MID(UPPER(TRIM(D420)),2,1)),10))+(INT(2*VALUE(MID(UPPER(TRIM(D420)),4,1))/10)+MOD(2*VALUE(MID(UPPER(TRIM(D420)),4,1)),10))+(INT(2*VALUE(MID(UPPER(TRIM(D420)),6,1))/10)+MOD(2*VALUE(MID(UPPER(TRIM(D420)),6,1)),10))+(INT(2*VALUE(MID(UPPER(TRIM(D420)),8,1))/10)+MOD(2*VALUE(MID(UPPER(TRIM(D420)),8,1)),10)),10),10)+1,1)),"OK","REVISAR")),"REVISAR")))</f>
        <v/>
      </c>
      <c r="Q420">
        <f>IF(B420="","",IF(COUNTIFS($B$2:$B$501,B420,$D$2:$D$501,D420)&gt;1,"DUPLICADA",""))</f>
        <v/>
      </c>
      <c r="R420">
        <f>IF(A420="","",ROUNDUP(MONTH(A420)/3,0))</f>
        <v/>
      </c>
      <c r="S420" s="3" t="n"/>
    </row>
    <row r="421">
      <c r="A421" s="2" t="n"/>
      <c r="B421" s="3" t="n"/>
      <c r="C421" s="3" t="n"/>
      <c r="D421" s="3" t="n"/>
      <c r="E421" s="4" t="n"/>
      <c r="F421" s="4" t="n"/>
      <c r="G421" s="4" t="n"/>
      <c r="H421" s="4" t="n"/>
      <c r="I421" s="5">
        <f>IF(E421="","",ROUND(E421*0.21,2))</f>
        <v/>
      </c>
      <c r="J421" s="5">
        <f>IF(F421="","",ROUND(F421*0.1,2))</f>
        <v/>
      </c>
      <c r="K421" s="5">
        <f>IF(G421="","",ROUND(G421*0.04,2))</f>
        <v/>
      </c>
      <c r="L421" s="4" t="n"/>
      <c r="M421" s="4" t="n"/>
      <c r="N421" s="5">
        <f>IF(A421="","",SUM(E421:K421)-N(L421))</f>
        <v/>
      </c>
      <c r="O421">
        <f>IF(OR(A421="",M421=""),"",IF(ABS(M421-N421)&lt;=0.02,"OK","REVISAR"))</f>
        <v/>
      </c>
      <c r="P421">
        <f>IF(D421="","",IF(LEN(TRIM(D421))&lt;&gt;9,"REVISAR",IFERROR(IF(OR(ISNUMBER(VALUE(LEFT(UPPER(TRIM(D421)),1))),LEFT(UPPER(TRIM(D421)),1)="X",LEFT(UPPER(TRIM(D421)),1)="Y",LEFT(UPPER(TRIM(D421)),1)="Z"),IF(MID("TRWAGMYFPDXBNJZSQVHLCKE",MOD(VALUE(SUBSTITUTE(SUBSTITUTE(SUBSTITUTE(LEFT(UPPER(TRIM(D421)),8),"X","0"),"Y","1"),"Z","2")),23)+1,1)=RIGHT(UPPER(TRIM(D421)),1),"OK","REVISAR"),IF(OR(RIGHT(UPPER(TRIM(D421)),1)=TEXT(MOD(10-MOD((VALUE(MID(UPPER(TRIM(D421)),3,1))+VALUE(MID(UPPER(TRIM(D421)),5,1))+VALUE(MID(UPPER(TRIM(D421)),7,1)))+(INT(2*VALUE(MID(UPPER(TRIM(D421)),2,1))/10)+MOD(2*VALUE(MID(UPPER(TRIM(D421)),2,1)),10))+(INT(2*VALUE(MID(UPPER(TRIM(D421)),4,1))/10)+MOD(2*VALUE(MID(UPPER(TRIM(D421)),4,1)),10))+(INT(2*VALUE(MID(UPPER(TRIM(D421)),6,1))/10)+MOD(2*VALUE(MID(UPPER(TRIM(D421)),6,1)),10))+(INT(2*VALUE(MID(UPPER(TRIM(D421)),8,1))/10)+MOD(2*VALUE(MID(UPPER(TRIM(D421)),8,1)),10)),10),10),"0"),RIGHT(UPPER(TRIM(D421)),1)=MID("JABCDEFGHI",MOD(10-MOD((VALUE(MID(UPPER(TRIM(D421)),3,1))+VALUE(MID(UPPER(TRIM(D421)),5,1))+VALUE(MID(UPPER(TRIM(D421)),7,1)))+(INT(2*VALUE(MID(UPPER(TRIM(D421)),2,1))/10)+MOD(2*VALUE(MID(UPPER(TRIM(D421)),2,1)),10))+(INT(2*VALUE(MID(UPPER(TRIM(D421)),4,1))/10)+MOD(2*VALUE(MID(UPPER(TRIM(D421)),4,1)),10))+(INT(2*VALUE(MID(UPPER(TRIM(D421)),6,1))/10)+MOD(2*VALUE(MID(UPPER(TRIM(D421)),6,1)),10))+(INT(2*VALUE(MID(UPPER(TRIM(D421)),8,1))/10)+MOD(2*VALUE(MID(UPPER(TRIM(D421)),8,1)),10)),10),10)+1,1)),"OK","REVISAR")),"REVISAR")))</f>
        <v/>
      </c>
      <c r="Q421">
        <f>IF(B421="","",IF(COUNTIFS($B$2:$B$501,B421,$D$2:$D$501,D421)&gt;1,"DUPLICADA",""))</f>
        <v/>
      </c>
      <c r="R421">
        <f>IF(A421="","",ROUNDUP(MONTH(A421)/3,0))</f>
        <v/>
      </c>
      <c r="S421" s="3" t="n"/>
    </row>
    <row r="422">
      <c r="A422" s="2" t="n"/>
      <c r="B422" s="3" t="n"/>
      <c r="C422" s="3" t="n"/>
      <c r="D422" s="3" t="n"/>
      <c r="E422" s="4" t="n"/>
      <c r="F422" s="4" t="n"/>
      <c r="G422" s="4" t="n"/>
      <c r="H422" s="4" t="n"/>
      <c r="I422" s="5">
        <f>IF(E422="","",ROUND(E422*0.21,2))</f>
        <v/>
      </c>
      <c r="J422" s="5">
        <f>IF(F422="","",ROUND(F422*0.1,2))</f>
        <v/>
      </c>
      <c r="K422" s="5">
        <f>IF(G422="","",ROUND(G422*0.04,2))</f>
        <v/>
      </c>
      <c r="L422" s="4" t="n"/>
      <c r="M422" s="4" t="n"/>
      <c r="N422" s="5">
        <f>IF(A422="","",SUM(E422:K422)-N(L422))</f>
        <v/>
      </c>
      <c r="O422">
        <f>IF(OR(A422="",M422=""),"",IF(ABS(M422-N422)&lt;=0.02,"OK","REVISAR"))</f>
        <v/>
      </c>
      <c r="P422">
        <f>IF(D422="","",IF(LEN(TRIM(D422))&lt;&gt;9,"REVISAR",IFERROR(IF(OR(ISNUMBER(VALUE(LEFT(UPPER(TRIM(D422)),1))),LEFT(UPPER(TRIM(D422)),1)="X",LEFT(UPPER(TRIM(D422)),1)="Y",LEFT(UPPER(TRIM(D422)),1)="Z"),IF(MID("TRWAGMYFPDXBNJZSQVHLCKE",MOD(VALUE(SUBSTITUTE(SUBSTITUTE(SUBSTITUTE(LEFT(UPPER(TRIM(D422)),8),"X","0"),"Y","1"),"Z","2")),23)+1,1)=RIGHT(UPPER(TRIM(D422)),1),"OK","REVISAR"),IF(OR(RIGHT(UPPER(TRIM(D422)),1)=TEXT(MOD(10-MOD((VALUE(MID(UPPER(TRIM(D422)),3,1))+VALUE(MID(UPPER(TRIM(D422)),5,1))+VALUE(MID(UPPER(TRIM(D422)),7,1)))+(INT(2*VALUE(MID(UPPER(TRIM(D422)),2,1))/10)+MOD(2*VALUE(MID(UPPER(TRIM(D422)),2,1)),10))+(INT(2*VALUE(MID(UPPER(TRIM(D422)),4,1))/10)+MOD(2*VALUE(MID(UPPER(TRIM(D422)),4,1)),10))+(INT(2*VALUE(MID(UPPER(TRIM(D422)),6,1))/10)+MOD(2*VALUE(MID(UPPER(TRIM(D422)),6,1)),10))+(INT(2*VALUE(MID(UPPER(TRIM(D422)),8,1))/10)+MOD(2*VALUE(MID(UPPER(TRIM(D422)),8,1)),10)),10),10),"0"),RIGHT(UPPER(TRIM(D422)),1)=MID("JABCDEFGHI",MOD(10-MOD((VALUE(MID(UPPER(TRIM(D422)),3,1))+VALUE(MID(UPPER(TRIM(D422)),5,1))+VALUE(MID(UPPER(TRIM(D422)),7,1)))+(INT(2*VALUE(MID(UPPER(TRIM(D422)),2,1))/10)+MOD(2*VALUE(MID(UPPER(TRIM(D422)),2,1)),10))+(INT(2*VALUE(MID(UPPER(TRIM(D422)),4,1))/10)+MOD(2*VALUE(MID(UPPER(TRIM(D422)),4,1)),10))+(INT(2*VALUE(MID(UPPER(TRIM(D422)),6,1))/10)+MOD(2*VALUE(MID(UPPER(TRIM(D422)),6,1)),10))+(INT(2*VALUE(MID(UPPER(TRIM(D422)),8,1))/10)+MOD(2*VALUE(MID(UPPER(TRIM(D422)),8,1)),10)),10),10)+1,1)),"OK","REVISAR")),"REVISAR")))</f>
        <v/>
      </c>
      <c r="Q422">
        <f>IF(B422="","",IF(COUNTIFS($B$2:$B$501,B422,$D$2:$D$501,D422)&gt;1,"DUPLICADA",""))</f>
        <v/>
      </c>
      <c r="R422">
        <f>IF(A422="","",ROUNDUP(MONTH(A422)/3,0))</f>
        <v/>
      </c>
      <c r="S422" s="3" t="n"/>
    </row>
    <row r="423">
      <c r="A423" s="2" t="n"/>
      <c r="B423" s="3" t="n"/>
      <c r="C423" s="3" t="n"/>
      <c r="D423" s="3" t="n"/>
      <c r="E423" s="4" t="n"/>
      <c r="F423" s="4" t="n"/>
      <c r="G423" s="4" t="n"/>
      <c r="H423" s="4" t="n"/>
      <c r="I423" s="5">
        <f>IF(E423="","",ROUND(E423*0.21,2))</f>
        <v/>
      </c>
      <c r="J423" s="5">
        <f>IF(F423="","",ROUND(F423*0.1,2))</f>
        <v/>
      </c>
      <c r="K423" s="5">
        <f>IF(G423="","",ROUND(G423*0.04,2))</f>
        <v/>
      </c>
      <c r="L423" s="4" t="n"/>
      <c r="M423" s="4" t="n"/>
      <c r="N423" s="5">
        <f>IF(A423="","",SUM(E423:K423)-N(L423))</f>
        <v/>
      </c>
      <c r="O423">
        <f>IF(OR(A423="",M423=""),"",IF(ABS(M423-N423)&lt;=0.02,"OK","REVISAR"))</f>
        <v/>
      </c>
      <c r="P423">
        <f>IF(D423="","",IF(LEN(TRIM(D423))&lt;&gt;9,"REVISAR",IFERROR(IF(OR(ISNUMBER(VALUE(LEFT(UPPER(TRIM(D423)),1))),LEFT(UPPER(TRIM(D423)),1)="X",LEFT(UPPER(TRIM(D423)),1)="Y",LEFT(UPPER(TRIM(D423)),1)="Z"),IF(MID("TRWAGMYFPDXBNJZSQVHLCKE",MOD(VALUE(SUBSTITUTE(SUBSTITUTE(SUBSTITUTE(LEFT(UPPER(TRIM(D423)),8),"X","0"),"Y","1"),"Z","2")),23)+1,1)=RIGHT(UPPER(TRIM(D423)),1),"OK","REVISAR"),IF(OR(RIGHT(UPPER(TRIM(D423)),1)=TEXT(MOD(10-MOD((VALUE(MID(UPPER(TRIM(D423)),3,1))+VALUE(MID(UPPER(TRIM(D423)),5,1))+VALUE(MID(UPPER(TRIM(D423)),7,1)))+(INT(2*VALUE(MID(UPPER(TRIM(D423)),2,1))/10)+MOD(2*VALUE(MID(UPPER(TRIM(D423)),2,1)),10))+(INT(2*VALUE(MID(UPPER(TRIM(D423)),4,1))/10)+MOD(2*VALUE(MID(UPPER(TRIM(D423)),4,1)),10))+(INT(2*VALUE(MID(UPPER(TRIM(D423)),6,1))/10)+MOD(2*VALUE(MID(UPPER(TRIM(D423)),6,1)),10))+(INT(2*VALUE(MID(UPPER(TRIM(D423)),8,1))/10)+MOD(2*VALUE(MID(UPPER(TRIM(D423)),8,1)),10)),10),10),"0"),RIGHT(UPPER(TRIM(D423)),1)=MID("JABCDEFGHI",MOD(10-MOD((VALUE(MID(UPPER(TRIM(D423)),3,1))+VALUE(MID(UPPER(TRIM(D423)),5,1))+VALUE(MID(UPPER(TRIM(D423)),7,1)))+(INT(2*VALUE(MID(UPPER(TRIM(D423)),2,1))/10)+MOD(2*VALUE(MID(UPPER(TRIM(D423)),2,1)),10))+(INT(2*VALUE(MID(UPPER(TRIM(D423)),4,1))/10)+MOD(2*VALUE(MID(UPPER(TRIM(D423)),4,1)),10))+(INT(2*VALUE(MID(UPPER(TRIM(D423)),6,1))/10)+MOD(2*VALUE(MID(UPPER(TRIM(D423)),6,1)),10))+(INT(2*VALUE(MID(UPPER(TRIM(D423)),8,1))/10)+MOD(2*VALUE(MID(UPPER(TRIM(D423)),8,1)),10)),10),10)+1,1)),"OK","REVISAR")),"REVISAR")))</f>
        <v/>
      </c>
      <c r="Q423">
        <f>IF(B423="","",IF(COUNTIFS($B$2:$B$501,B423,$D$2:$D$501,D423)&gt;1,"DUPLICADA",""))</f>
        <v/>
      </c>
      <c r="R423">
        <f>IF(A423="","",ROUNDUP(MONTH(A423)/3,0))</f>
        <v/>
      </c>
      <c r="S423" s="3" t="n"/>
    </row>
    <row r="424">
      <c r="A424" s="2" t="n"/>
      <c r="B424" s="3" t="n"/>
      <c r="C424" s="3" t="n"/>
      <c r="D424" s="3" t="n"/>
      <c r="E424" s="4" t="n"/>
      <c r="F424" s="4" t="n"/>
      <c r="G424" s="4" t="n"/>
      <c r="H424" s="4" t="n"/>
      <c r="I424" s="5">
        <f>IF(E424="","",ROUND(E424*0.21,2))</f>
        <v/>
      </c>
      <c r="J424" s="5">
        <f>IF(F424="","",ROUND(F424*0.1,2))</f>
        <v/>
      </c>
      <c r="K424" s="5">
        <f>IF(G424="","",ROUND(G424*0.04,2))</f>
        <v/>
      </c>
      <c r="L424" s="4" t="n"/>
      <c r="M424" s="4" t="n"/>
      <c r="N424" s="5">
        <f>IF(A424="","",SUM(E424:K424)-N(L424))</f>
        <v/>
      </c>
      <c r="O424">
        <f>IF(OR(A424="",M424=""),"",IF(ABS(M424-N424)&lt;=0.02,"OK","REVISAR"))</f>
        <v/>
      </c>
      <c r="P424">
        <f>IF(D424="","",IF(LEN(TRIM(D424))&lt;&gt;9,"REVISAR",IFERROR(IF(OR(ISNUMBER(VALUE(LEFT(UPPER(TRIM(D424)),1))),LEFT(UPPER(TRIM(D424)),1)="X",LEFT(UPPER(TRIM(D424)),1)="Y",LEFT(UPPER(TRIM(D424)),1)="Z"),IF(MID("TRWAGMYFPDXBNJZSQVHLCKE",MOD(VALUE(SUBSTITUTE(SUBSTITUTE(SUBSTITUTE(LEFT(UPPER(TRIM(D424)),8),"X","0"),"Y","1"),"Z","2")),23)+1,1)=RIGHT(UPPER(TRIM(D424)),1),"OK","REVISAR"),IF(OR(RIGHT(UPPER(TRIM(D424)),1)=TEXT(MOD(10-MOD((VALUE(MID(UPPER(TRIM(D424)),3,1))+VALUE(MID(UPPER(TRIM(D424)),5,1))+VALUE(MID(UPPER(TRIM(D424)),7,1)))+(INT(2*VALUE(MID(UPPER(TRIM(D424)),2,1))/10)+MOD(2*VALUE(MID(UPPER(TRIM(D424)),2,1)),10))+(INT(2*VALUE(MID(UPPER(TRIM(D424)),4,1))/10)+MOD(2*VALUE(MID(UPPER(TRIM(D424)),4,1)),10))+(INT(2*VALUE(MID(UPPER(TRIM(D424)),6,1))/10)+MOD(2*VALUE(MID(UPPER(TRIM(D424)),6,1)),10))+(INT(2*VALUE(MID(UPPER(TRIM(D424)),8,1))/10)+MOD(2*VALUE(MID(UPPER(TRIM(D424)),8,1)),10)),10),10),"0"),RIGHT(UPPER(TRIM(D424)),1)=MID("JABCDEFGHI",MOD(10-MOD((VALUE(MID(UPPER(TRIM(D424)),3,1))+VALUE(MID(UPPER(TRIM(D424)),5,1))+VALUE(MID(UPPER(TRIM(D424)),7,1)))+(INT(2*VALUE(MID(UPPER(TRIM(D424)),2,1))/10)+MOD(2*VALUE(MID(UPPER(TRIM(D424)),2,1)),10))+(INT(2*VALUE(MID(UPPER(TRIM(D424)),4,1))/10)+MOD(2*VALUE(MID(UPPER(TRIM(D424)),4,1)),10))+(INT(2*VALUE(MID(UPPER(TRIM(D424)),6,1))/10)+MOD(2*VALUE(MID(UPPER(TRIM(D424)),6,1)),10))+(INT(2*VALUE(MID(UPPER(TRIM(D424)),8,1))/10)+MOD(2*VALUE(MID(UPPER(TRIM(D424)),8,1)),10)),10),10)+1,1)),"OK","REVISAR")),"REVISAR")))</f>
        <v/>
      </c>
      <c r="Q424">
        <f>IF(B424="","",IF(COUNTIFS($B$2:$B$501,B424,$D$2:$D$501,D424)&gt;1,"DUPLICADA",""))</f>
        <v/>
      </c>
      <c r="R424">
        <f>IF(A424="","",ROUNDUP(MONTH(A424)/3,0))</f>
        <v/>
      </c>
      <c r="S424" s="3" t="n"/>
    </row>
    <row r="425">
      <c r="A425" s="2" t="n"/>
      <c r="B425" s="3" t="n"/>
      <c r="C425" s="3" t="n"/>
      <c r="D425" s="3" t="n"/>
      <c r="E425" s="4" t="n"/>
      <c r="F425" s="4" t="n"/>
      <c r="G425" s="4" t="n"/>
      <c r="H425" s="4" t="n"/>
      <c r="I425" s="5">
        <f>IF(E425="","",ROUND(E425*0.21,2))</f>
        <v/>
      </c>
      <c r="J425" s="5">
        <f>IF(F425="","",ROUND(F425*0.1,2))</f>
        <v/>
      </c>
      <c r="K425" s="5">
        <f>IF(G425="","",ROUND(G425*0.04,2))</f>
        <v/>
      </c>
      <c r="L425" s="4" t="n"/>
      <c r="M425" s="4" t="n"/>
      <c r="N425" s="5">
        <f>IF(A425="","",SUM(E425:K425)-N(L425))</f>
        <v/>
      </c>
      <c r="O425">
        <f>IF(OR(A425="",M425=""),"",IF(ABS(M425-N425)&lt;=0.02,"OK","REVISAR"))</f>
        <v/>
      </c>
      <c r="P425">
        <f>IF(D425="","",IF(LEN(TRIM(D425))&lt;&gt;9,"REVISAR",IFERROR(IF(OR(ISNUMBER(VALUE(LEFT(UPPER(TRIM(D425)),1))),LEFT(UPPER(TRIM(D425)),1)="X",LEFT(UPPER(TRIM(D425)),1)="Y",LEFT(UPPER(TRIM(D425)),1)="Z"),IF(MID("TRWAGMYFPDXBNJZSQVHLCKE",MOD(VALUE(SUBSTITUTE(SUBSTITUTE(SUBSTITUTE(LEFT(UPPER(TRIM(D425)),8),"X","0"),"Y","1"),"Z","2")),23)+1,1)=RIGHT(UPPER(TRIM(D425)),1),"OK","REVISAR"),IF(OR(RIGHT(UPPER(TRIM(D425)),1)=TEXT(MOD(10-MOD((VALUE(MID(UPPER(TRIM(D425)),3,1))+VALUE(MID(UPPER(TRIM(D425)),5,1))+VALUE(MID(UPPER(TRIM(D425)),7,1)))+(INT(2*VALUE(MID(UPPER(TRIM(D425)),2,1))/10)+MOD(2*VALUE(MID(UPPER(TRIM(D425)),2,1)),10))+(INT(2*VALUE(MID(UPPER(TRIM(D425)),4,1))/10)+MOD(2*VALUE(MID(UPPER(TRIM(D425)),4,1)),10))+(INT(2*VALUE(MID(UPPER(TRIM(D425)),6,1))/10)+MOD(2*VALUE(MID(UPPER(TRIM(D425)),6,1)),10))+(INT(2*VALUE(MID(UPPER(TRIM(D425)),8,1))/10)+MOD(2*VALUE(MID(UPPER(TRIM(D425)),8,1)),10)),10),10),"0"),RIGHT(UPPER(TRIM(D425)),1)=MID("JABCDEFGHI",MOD(10-MOD((VALUE(MID(UPPER(TRIM(D425)),3,1))+VALUE(MID(UPPER(TRIM(D425)),5,1))+VALUE(MID(UPPER(TRIM(D425)),7,1)))+(INT(2*VALUE(MID(UPPER(TRIM(D425)),2,1))/10)+MOD(2*VALUE(MID(UPPER(TRIM(D425)),2,1)),10))+(INT(2*VALUE(MID(UPPER(TRIM(D425)),4,1))/10)+MOD(2*VALUE(MID(UPPER(TRIM(D425)),4,1)),10))+(INT(2*VALUE(MID(UPPER(TRIM(D425)),6,1))/10)+MOD(2*VALUE(MID(UPPER(TRIM(D425)),6,1)),10))+(INT(2*VALUE(MID(UPPER(TRIM(D425)),8,1))/10)+MOD(2*VALUE(MID(UPPER(TRIM(D425)),8,1)),10)),10),10)+1,1)),"OK","REVISAR")),"REVISAR")))</f>
        <v/>
      </c>
      <c r="Q425">
        <f>IF(B425="","",IF(COUNTIFS($B$2:$B$501,B425,$D$2:$D$501,D425)&gt;1,"DUPLICADA",""))</f>
        <v/>
      </c>
      <c r="R425">
        <f>IF(A425="","",ROUNDUP(MONTH(A425)/3,0))</f>
        <v/>
      </c>
      <c r="S425" s="3" t="n"/>
    </row>
    <row r="426">
      <c r="A426" s="2" t="n"/>
      <c r="B426" s="3" t="n"/>
      <c r="C426" s="3" t="n"/>
      <c r="D426" s="3" t="n"/>
      <c r="E426" s="4" t="n"/>
      <c r="F426" s="4" t="n"/>
      <c r="G426" s="4" t="n"/>
      <c r="H426" s="4" t="n"/>
      <c r="I426" s="5">
        <f>IF(E426="","",ROUND(E426*0.21,2))</f>
        <v/>
      </c>
      <c r="J426" s="5">
        <f>IF(F426="","",ROUND(F426*0.1,2))</f>
        <v/>
      </c>
      <c r="K426" s="5">
        <f>IF(G426="","",ROUND(G426*0.04,2))</f>
        <v/>
      </c>
      <c r="L426" s="4" t="n"/>
      <c r="M426" s="4" t="n"/>
      <c r="N426" s="5">
        <f>IF(A426="","",SUM(E426:K426)-N(L426))</f>
        <v/>
      </c>
      <c r="O426">
        <f>IF(OR(A426="",M426=""),"",IF(ABS(M426-N426)&lt;=0.02,"OK","REVISAR"))</f>
        <v/>
      </c>
      <c r="P426">
        <f>IF(D426="","",IF(LEN(TRIM(D426))&lt;&gt;9,"REVISAR",IFERROR(IF(OR(ISNUMBER(VALUE(LEFT(UPPER(TRIM(D426)),1))),LEFT(UPPER(TRIM(D426)),1)="X",LEFT(UPPER(TRIM(D426)),1)="Y",LEFT(UPPER(TRIM(D426)),1)="Z"),IF(MID("TRWAGMYFPDXBNJZSQVHLCKE",MOD(VALUE(SUBSTITUTE(SUBSTITUTE(SUBSTITUTE(LEFT(UPPER(TRIM(D426)),8),"X","0"),"Y","1"),"Z","2")),23)+1,1)=RIGHT(UPPER(TRIM(D426)),1),"OK","REVISAR"),IF(OR(RIGHT(UPPER(TRIM(D426)),1)=TEXT(MOD(10-MOD((VALUE(MID(UPPER(TRIM(D426)),3,1))+VALUE(MID(UPPER(TRIM(D426)),5,1))+VALUE(MID(UPPER(TRIM(D426)),7,1)))+(INT(2*VALUE(MID(UPPER(TRIM(D426)),2,1))/10)+MOD(2*VALUE(MID(UPPER(TRIM(D426)),2,1)),10))+(INT(2*VALUE(MID(UPPER(TRIM(D426)),4,1))/10)+MOD(2*VALUE(MID(UPPER(TRIM(D426)),4,1)),10))+(INT(2*VALUE(MID(UPPER(TRIM(D426)),6,1))/10)+MOD(2*VALUE(MID(UPPER(TRIM(D426)),6,1)),10))+(INT(2*VALUE(MID(UPPER(TRIM(D426)),8,1))/10)+MOD(2*VALUE(MID(UPPER(TRIM(D426)),8,1)),10)),10),10),"0"),RIGHT(UPPER(TRIM(D426)),1)=MID("JABCDEFGHI",MOD(10-MOD((VALUE(MID(UPPER(TRIM(D426)),3,1))+VALUE(MID(UPPER(TRIM(D426)),5,1))+VALUE(MID(UPPER(TRIM(D426)),7,1)))+(INT(2*VALUE(MID(UPPER(TRIM(D426)),2,1))/10)+MOD(2*VALUE(MID(UPPER(TRIM(D426)),2,1)),10))+(INT(2*VALUE(MID(UPPER(TRIM(D426)),4,1))/10)+MOD(2*VALUE(MID(UPPER(TRIM(D426)),4,1)),10))+(INT(2*VALUE(MID(UPPER(TRIM(D426)),6,1))/10)+MOD(2*VALUE(MID(UPPER(TRIM(D426)),6,1)),10))+(INT(2*VALUE(MID(UPPER(TRIM(D426)),8,1))/10)+MOD(2*VALUE(MID(UPPER(TRIM(D426)),8,1)),10)),10),10)+1,1)),"OK","REVISAR")),"REVISAR")))</f>
        <v/>
      </c>
      <c r="Q426">
        <f>IF(B426="","",IF(COUNTIFS($B$2:$B$501,B426,$D$2:$D$501,D426)&gt;1,"DUPLICADA",""))</f>
        <v/>
      </c>
      <c r="R426">
        <f>IF(A426="","",ROUNDUP(MONTH(A426)/3,0))</f>
        <v/>
      </c>
      <c r="S426" s="3" t="n"/>
    </row>
    <row r="427">
      <c r="A427" s="2" t="n"/>
      <c r="B427" s="3" t="n"/>
      <c r="C427" s="3" t="n"/>
      <c r="D427" s="3" t="n"/>
      <c r="E427" s="4" t="n"/>
      <c r="F427" s="4" t="n"/>
      <c r="G427" s="4" t="n"/>
      <c r="H427" s="4" t="n"/>
      <c r="I427" s="5">
        <f>IF(E427="","",ROUND(E427*0.21,2))</f>
        <v/>
      </c>
      <c r="J427" s="5">
        <f>IF(F427="","",ROUND(F427*0.1,2))</f>
        <v/>
      </c>
      <c r="K427" s="5">
        <f>IF(G427="","",ROUND(G427*0.04,2))</f>
        <v/>
      </c>
      <c r="L427" s="4" t="n"/>
      <c r="M427" s="4" t="n"/>
      <c r="N427" s="5">
        <f>IF(A427="","",SUM(E427:K427)-N(L427))</f>
        <v/>
      </c>
      <c r="O427">
        <f>IF(OR(A427="",M427=""),"",IF(ABS(M427-N427)&lt;=0.02,"OK","REVISAR"))</f>
        <v/>
      </c>
      <c r="P427">
        <f>IF(D427="","",IF(LEN(TRIM(D427))&lt;&gt;9,"REVISAR",IFERROR(IF(OR(ISNUMBER(VALUE(LEFT(UPPER(TRIM(D427)),1))),LEFT(UPPER(TRIM(D427)),1)="X",LEFT(UPPER(TRIM(D427)),1)="Y",LEFT(UPPER(TRIM(D427)),1)="Z"),IF(MID("TRWAGMYFPDXBNJZSQVHLCKE",MOD(VALUE(SUBSTITUTE(SUBSTITUTE(SUBSTITUTE(LEFT(UPPER(TRIM(D427)),8),"X","0"),"Y","1"),"Z","2")),23)+1,1)=RIGHT(UPPER(TRIM(D427)),1),"OK","REVISAR"),IF(OR(RIGHT(UPPER(TRIM(D427)),1)=TEXT(MOD(10-MOD((VALUE(MID(UPPER(TRIM(D427)),3,1))+VALUE(MID(UPPER(TRIM(D427)),5,1))+VALUE(MID(UPPER(TRIM(D427)),7,1)))+(INT(2*VALUE(MID(UPPER(TRIM(D427)),2,1))/10)+MOD(2*VALUE(MID(UPPER(TRIM(D427)),2,1)),10))+(INT(2*VALUE(MID(UPPER(TRIM(D427)),4,1))/10)+MOD(2*VALUE(MID(UPPER(TRIM(D427)),4,1)),10))+(INT(2*VALUE(MID(UPPER(TRIM(D427)),6,1))/10)+MOD(2*VALUE(MID(UPPER(TRIM(D427)),6,1)),10))+(INT(2*VALUE(MID(UPPER(TRIM(D427)),8,1))/10)+MOD(2*VALUE(MID(UPPER(TRIM(D427)),8,1)),10)),10),10),"0"),RIGHT(UPPER(TRIM(D427)),1)=MID("JABCDEFGHI",MOD(10-MOD((VALUE(MID(UPPER(TRIM(D427)),3,1))+VALUE(MID(UPPER(TRIM(D427)),5,1))+VALUE(MID(UPPER(TRIM(D427)),7,1)))+(INT(2*VALUE(MID(UPPER(TRIM(D427)),2,1))/10)+MOD(2*VALUE(MID(UPPER(TRIM(D427)),2,1)),10))+(INT(2*VALUE(MID(UPPER(TRIM(D427)),4,1))/10)+MOD(2*VALUE(MID(UPPER(TRIM(D427)),4,1)),10))+(INT(2*VALUE(MID(UPPER(TRIM(D427)),6,1))/10)+MOD(2*VALUE(MID(UPPER(TRIM(D427)),6,1)),10))+(INT(2*VALUE(MID(UPPER(TRIM(D427)),8,1))/10)+MOD(2*VALUE(MID(UPPER(TRIM(D427)),8,1)),10)),10),10)+1,1)),"OK","REVISAR")),"REVISAR")))</f>
        <v/>
      </c>
      <c r="Q427">
        <f>IF(B427="","",IF(COUNTIFS($B$2:$B$501,B427,$D$2:$D$501,D427)&gt;1,"DUPLICADA",""))</f>
        <v/>
      </c>
      <c r="R427">
        <f>IF(A427="","",ROUNDUP(MONTH(A427)/3,0))</f>
        <v/>
      </c>
      <c r="S427" s="3" t="n"/>
    </row>
    <row r="428">
      <c r="A428" s="2" t="n"/>
      <c r="B428" s="3" t="n"/>
      <c r="C428" s="3" t="n"/>
      <c r="D428" s="3" t="n"/>
      <c r="E428" s="4" t="n"/>
      <c r="F428" s="4" t="n"/>
      <c r="G428" s="4" t="n"/>
      <c r="H428" s="4" t="n"/>
      <c r="I428" s="5">
        <f>IF(E428="","",ROUND(E428*0.21,2))</f>
        <v/>
      </c>
      <c r="J428" s="5">
        <f>IF(F428="","",ROUND(F428*0.1,2))</f>
        <v/>
      </c>
      <c r="K428" s="5">
        <f>IF(G428="","",ROUND(G428*0.04,2))</f>
        <v/>
      </c>
      <c r="L428" s="4" t="n"/>
      <c r="M428" s="4" t="n"/>
      <c r="N428" s="5">
        <f>IF(A428="","",SUM(E428:K428)-N(L428))</f>
        <v/>
      </c>
      <c r="O428">
        <f>IF(OR(A428="",M428=""),"",IF(ABS(M428-N428)&lt;=0.02,"OK","REVISAR"))</f>
        <v/>
      </c>
      <c r="P428">
        <f>IF(D428="","",IF(LEN(TRIM(D428))&lt;&gt;9,"REVISAR",IFERROR(IF(OR(ISNUMBER(VALUE(LEFT(UPPER(TRIM(D428)),1))),LEFT(UPPER(TRIM(D428)),1)="X",LEFT(UPPER(TRIM(D428)),1)="Y",LEFT(UPPER(TRIM(D428)),1)="Z"),IF(MID("TRWAGMYFPDXBNJZSQVHLCKE",MOD(VALUE(SUBSTITUTE(SUBSTITUTE(SUBSTITUTE(LEFT(UPPER(TRIM(D428)),8),"X","0"),"Y","1"),"Z","2")),23)+1,1)=RIGHT(UPPER(TRIM(D428)),1),"OK","REVISAR"),IF(OR(RIGHT(UPPER(TRIM(D428)),1)=TEXT(MOD(10-MOD((VALUE(MID(UPPER(TRIM(D428)),3,1))+VALUE(MID(UPPER(TRIM(D428)),5,1))+VALUE(MID(UPPER(TRIM(D428)),7,1)))+(INT(2*VALUE(MID(UPPER(TRIM(D428)),2,1))/10)+MOD(2*VALUE(MID(UPPER(TRIM(D428)),2,1)),10))+(INT(2*VALUE(MID(UPPER(TRIM(D428)),4,1))/10)+MOD(2*VALUE(MID(UPPER(TRIM(D428)),4,1)),10))+(INT(2*VALUE(MID(UPPER(TRIM(D428)),6,1))/10)+MOD(2*VALUE(MID(UPPER(TRIM(D428)),6,1)),10))+(INT(2*VALUE(MID(UPPER(TRIM(D428)),8,1))/10)+MOD(2*VALUE(MID(UPPER(TRIM(D428)),8,1)),10)),10),10),"0"),RIGHT(UPPER(TRIM(D428)),1)=MID("JABCDEFGHI",MOD(10-MOD((VALUE(MID(UPPER(TRIM(D428)),3,1))+VALUE(MID(UPPER(TRIM(D428)),5,1))+VALUE(MID(UPPER(TRIM(D428)),7,1)))+(INT(2*VALUE(MID(UPPER(TRIM(D428)),2,1))/10)+MOD(2*VALUE(MID(UPPER(TRIM(D428)),2,1)),10))+(INT(2*VALUE(MID(UPPER(TRIM(D428)),4,1))/10)+MOD(2*VALUE(MID(UPPER(TRIM(D428)),4,1)),10))+(INT(2*VALUE(MID(UPPER(TRIM(D428)),6,1))/10)+MOD(2*VALUE(MID(UPPER(TRIM(D428)),6,1)),10))+(INT(2*VALUE(MID(UPPER(TRIM(D428)),8,1))/10)+MOD(2*VALUE(MID(UPPER(TRIM(D428)),8,1)),10)),10),10)+1,1)),"OK","REVISAR")),"REVISAR")))</f>
        <v/>
      </c>
      <c r="Q428">
        <f>IF(B428="","",IF(COUNTIFS($B$2:$B$501,B428,$D$2:$D$501,D428)&gt;1,"DUPLICADA",""))</f>
        <v/>
      </c>
      <c r="R428">
        <f>IF(A428="","",ROUNDUP(MONTH(A428)/3,0))</f>
        <v/>
      </c>
      <c r="S428" s="3" t="n"/>
    </row>
    <row r="429">
      <c r="A429" s="2" t="n"/>
      <c r="B429" s="3" t="n"/>
      <c r="C429" s="3" t="n"/>
      <c r="D429" s="3" t="n"/>
      <c r="E429" s="4" t="n"/>
      <c r="F429" s="4" t="n"/>
      <c r="G429" s="4" t="n"/>
      <c r="H429" s="4" t="n"/>
      <c r="I429" s="5">
        <f>IF(E429="","",ROUND(E429*0.21,2))</f>
        <v/>
      </c>
      <c r="J429" s="5">
        <f>IF(F429="","",ROUND(F429*0.1,2))</f>
        <v/>
      </c>
      <c r="K429" s="5">
        <f>IF(G429="","",ROUND(G429*0.04,2))</f>
        <v/>
      </c>
      <c r="L429" s="4" t="n"/>
      <c r="M429" s="4" t="n"/>
      <c r="N429" s="5">
        <f>IF(A429="","",SUM(E429:K429)-N(L429))</f>
        <v/>
      </c>
      <c r="O429">
        <f>IF(OR(A429="",M429=""),"",IF(ABS(M429-N429)&lt;=0.02,"OK","REVISAR"))</f>
        <v/>
      </c>
      <c r="P429">
        <f>IF(D429="","",IF(LEN(TRIM(D429))&lt;&gt;9,"REVISAR",IFERROR(IF(OR(ISNUMBER(VALUE(LEFT(UPPER(TRIM(D429)),1))),LEFT(UPPER(TRIM(D429)),1)="X",LEFT(UPPER(TRIM(D429)),1)="Y",LEFT(UPPER(TRIM(D429)),1)="Z"),IF(MID("TRWAGMYFPDXBNJZSQVHLCKE",MOD(VALUE(SUBSTITUTE(SUBSTITUTE(SUBSTITUTE(LEFT(UPPER(TRIM(D429)),8),"X","0"),"Y","1"),"Z","2")),23)+1,1)=RIGHT(UPPER(TRIM(D429)),1),"OK","REVISAR"),IF(OR(RIGHT(UPPER(TRIM(D429)),1)=TEXT(MOD(10-MOD((VALUE(MID(UPPER(TRIM(D429)),3,1))+VALUE(MID(UPPER(TRIM(D429)),5,1))+VALUE(MID(UPPER(TRIM(D429)),7,1)))+(INT(2*VALUE(MID(UPPER(TRIM(D429)),2,1))/10)+MOD(2*VALUE(MID(UPPER(TRIM(D429)),2,1)),10))+(INT(2*VALUE(MID(UPPER(TRIM(D429)),4,1))/10)+MOD(2*VALUE(MID(UPPER(TRIM(D429)),4,1)),10))+(INT(2*VALUE(MID(UPPER(TRIM(D429)),6,1))/10)+MOD(2*VALUE(MID(UPPER(TRIM(D429)),6,1)),10))+(INT(2*VALUE(MID(UPPER(TRIM(D429)),8,1))/10)+MOD(2*VALUE(MID(UPPER(TRIM(D429)),8,1)),10)),10),10),"0"),RIGHT(UPPER(TRIM(D429)),1)=MID("JABCDEFGHI",MOD(10-MOD((VALUE(MID(UPPER(TRIM(D429)),3,1))+VALUE(MID(UPPER(TRIM(D429)),5,1))+VALUE(MID(UPPER(TRIM(D429)),7,1)))+(INT(2*VALUE(MID(UPPER(TRIM(D429)),2,1))/10)+MOD(2*VALUE(MID(UPPER(TRIM(D429)),2,1)),10))+(INT(2*VALUE(MID(UPPER(TRIM(D429)),4,1))/10)+MOD(2*VALUE(MID(UPPER(TRIM(D429)),4,1)),10))+(INT(2*VALUE(MID(UPPER(TRIM(D429)),6,1))/10)+MOD(2*VALUE(MID(UPPER(TRIM(D429)),6,1)),10))+(INT(2*VALUE(MID(UPPER(TRIM(D429)),8,1))/10)+MOD(2*VALUE(MID(UPPER(TRIM(D429)),8,1)),10)),10),10)+1,1)),"OK","REVISAR")),"REVISAR")))</f>
        <v/>
      </c>
      <c r="Q429">
        <f>IF(B429="","",IF(COUNTIFS($B$2:$B$501,B429,$D$2:$D$501,D429)&gt;1,"DUPLICADA",""))</f>
        <v/>
      </c>
      <c r="R429">
        <f>IF(A429="","",ROUNDUP(MONTH(A429)/3,0))</f>
        <v/>
      </c>
      <c r="S429" s="3" t="n"/>
    </row>
    <row r="430">
      <c r="A430" s="2" t="n"/>
      <c r="B430" s="3" t="n"/>
      <c r="C430" s="3" t="n"/>
      <c r="D430" s="3" t="n"/>
      <c r="E430" s="4" t="n"/>
      <c r="F430" s="4" t="n"/>
      <c r="G430" s="4" t="n"/>
      <c r="H430" s="4" t="n"/>
      <c r="I430" s="5">
        <f>IF(E430="","",ROUND(E430*0.21,2))</f>
        <v/>
      </c>
      <c r="J430" s="5">
        <f>IF(F430="","",ROUND(F430*0.1,2))</f>
        <v/>
      </c>
      <c r="K430" s="5">
        <f>IF(G430="","",ROUND(G430*0.04,2))</f>
        <v/>
      </c>
      <c r="L430" s="4" t="n"/>
      <c r="M430" s="4" t="n"/>
      <c r="N430" s="5">
        <f>IF(A430="","",SUM(E430:K430)-N(L430))</f>
        <v/>
      </c>
      <c r="O430">
        <f>IF(OR(A430="",M430=""),"",IF(ABS(M430-N430)&lt;=0.02,"OK","REVISAR"))</f>
        <v/>
      </c>
      <c r="P430">
        <f>IF(D430="","",IF(LEN(TRIM(D430))&lt;&gt;9,"REVISAR",IFERROR(IF(OR(ISNUMBER(VALUE(LEFT(UPPER(TRIM(D430)),1))),LEFT(UPPER(TRIM(D430)),1)="X",LEFT(UPPER(TRIM(D430)),1)="Y",LEFT(UPPER(TRIM(D430)),1)="Z"),IF(MID("TRWAGMYFPDXBNJZSQVHLCKE",MOD(VALUE(SUBSTITUTE(SUBSTITUTE(SUBSTITUTE(LEFT(UPPER(TRIM(D430)),8),"X","0"),"Y","1"),"Z","2")),23)+1,1)=RIGHT(UPPER(TRIM(D430)),1),"OK","REVISAR"),IF(OR(RIGHT(UPPER(TRIM(D430)),1)=TEXT(MOD(10-MOD((VALUE(MID(UPPER(TRIM(D430)),3,1))+VALUE(MID(UPPER(TRIM(D430)),5,1))+VALUE(MID(UPPER(TRIM(D430)),7,1)))+(INT(2*VALUE(MID(UPPER(TRIM(D430)),2,1))/10)+MOD(2*VALUE(MID(UPPER(TRIM(D430)),2,1)),10))+(INT(2*VALUE(MID(UPPER(TRIM(D430)),4,1))/10)+MOD(2*VALUE(MID(UPPER(TRIM(D430)),4,1)),10))+(INT(2*VALUE(MID(UPPER(TRIM(D430)),6,1))/10)+MOD(2*VALUE(MID(UPPER(TRIM(D430)),6,1)),10))+(INT(2*VALUE(MID(UPPER(TRIM(D430)),8,1))/10)+MOD(2*VALUE(MID(UPPER(TRIM(D430)),8,1)),10)),10),10),"0"),RIGHT(UPPER(TRIM(D430)),1)=MID("JABCDEFGHI",MOD(10-MOD((VALUE(MID(UPPER(TRIM(D430)),3,1))+VALUE(MID(UPPER(TRIM(D430)),5,1))+VALUE(MID(UPPER(TRIM(D430)),7,1)))+(INT(2*VALUE(MID(UPPER(TRIM(D430)),2,1))/10)+MOD(2*VALUE(MID(UPPER(TRIM(D430)),2,1)),10))+(INT(2*VALUE(MID(UPPER(TRIM(D430)),4,1))/10)+MOD(2*VALUE(MID(UPPER(TRIM(D430)),4,1)),10))+(INT(2*VALUE(MID(UPPER(TRIM(D430)),6,1))/10)+MOD(2*VALUE(MID(UPPER(TRIM(D430)),6,1)),10))+(INT(2*VALUE(MID(UPPER(TRIM(D430)),8,1))/10)+MOD(2*VALUE(MID(UPPER(TRIM(D430)),8,1)),10)),10),10)+1,1)),"OK","REVISAR")),"REVISAR")))</f>
        <v/>
      </c>
      <c r="Q430">
        <f>IF(B430="","",IF(COUNTIFS($B$2:$B$501,B430,$D$2:$D$501,D430)&gt;1,"DUPLICADA",""))</f>
        <v/>
      </c>
      <c r="R430">
        <f>IF(A430="","",ROUNDUP(MONTH(A430)/3,0))</f>
        <v/>
      </c>
      <c r="S430" s="3" t="n"/>
    </row>
    <row r="431">
      <c r="A431" s="2" t="n"/>
      <c r="B431" s="3" t="n"/>
      <c r="C431" s="3" t="n"/>
      <c r="D431" s="3" t="n"/>
      <c r="E431" s="4" t="n"/>
      <c r="F431" s="4" t="n"/>
      <c r="G431" s="4" t="n"/>
      <c r="H431" s="4" t="n"/>
      <c r="I431" s="5">
        <f>IF(E431="","",ROUND(E431*0.21,2))</f>
        <v/>
      </c>
      <c r="J431" s="5">
        <f>IF(F431="","",ROUND(F431*0.1,2))</f>
        <v/>
      </c>
      <c r="K431" s="5">
        <f>IF(G431="","",ROUND(G431*0.04,2))</f>
        <v/>
      </c>
      <c r="L431" s="4" t="n"/>
      <c r="M431" s="4" t="n"/>
      <c r="N431" s="5">
        <f>IF(A431="","",SUM(E431:K431)-N(L431))</f>
        <v/>
      </c>
      <c r="O431">
        <f>IF(OR(A431="",M431=""),"",IF(ABS(M431-N431)&lt;=0.02,"OK","REVISAR"))</f>
        <v/>
      </c>
      <c r="P431">
        <f>IF(D431="","",IF(LEN(TRIM(D431))&lt;&gt;9,"REVISAR",IFERROR(IF(OR(ISNUMBER(VALUE(LEFT(UPPER(TRIM(D431)),1))),LEFT(UPPER(TRIM(D431)),1)="X",LEFT(UPPER(TRIM(D431)),1)="Y",LEFT(UPPER(TRIM(D431)),1)="Z"),IF(MID("TRWAGMYFPDXBNJZSQVHLCKE",MOD(VALUE(SUBSTITUTE(SUBSTITUTE(SUBSTITUTE(LEFT(UPPER(TRIM(D431)),8),"X","0"),"Y","1"),"Z","2")),23)+1,1)=RIGHT(UPPER(TRIM(D431)),1),"OK","REVISAR"),IF(OR(RIGHT(UPPER(TRIM(D431)),1)=TEXT(MOD(10-MOD((VALUE(MID(UPPER(TRIM(D431)),3,1))+VALUE(MID(UPPER(TRIM(D431)),5,1))+VALUE(MID(UPPER(TRIM(D431)),7,1)))+(INT(2*VALUE(MID(UPPER(TRIM(D431)),2,1))/10)+MOD(2*VALUE(MID(UPPER(TRIM(D431)),2,1)),10))+(INT(2*VALUE(MID(UPPER(TRIM(D431)),4,1))/10)+MOD(2*VALUE(MID(UPPER(TRIM(D431)),4,1)),10))+(INT(2*VALUE(MID(UPPER(TRIM(D431)),6,1))/10)+MOD(2*VALUE(MID(UPPER(TRIM(D431)),6,1)),10))+(INT(2*VALUE(MID(UPPER(TRIM(D431)),8,1))/10)+MOD(2*VALUE(MID(UPPER(TRIM(D431)),8,1)),10)),10),10),"0"),RIGHT(UPPER(TRIM(D431)),1)=MID("JABCDEFGHI",MOD(10-MOD((VALUE(MID(UPPER(TRIM(D431)),3,1))+VALUE(MID(UPPER(TRIM(D431)),5,1))+VALUE(MID(UPPER(TRIM(D431)),7,1)))+(INT(2*VALUE(MID(UPPER(TRIM(D431)),2,1))/10)+MOD(2*VALUE(MID(UPPER(TRIM(D431)),2,1)),10))+(INT(2*VALUE(MID(UPPER(TRIM(D431)),4,1))/10)+MOD(2*VALUE(MID(UPPER(TRIM(D431)),4,1)),10))+(INT(2*VALUE(MID(UPPER(TRIM(D431)),6,1))/10)+MOD(2*VALUE(MID(UPPER(TRIM(D431)),6,1)),10))+(INT(2*VALUE(MID(UPPER(TRIM(D431)),8,1))/10)+MOD(2*VALUE(MID(UPPER(TRIM(D431)),8,1)),10)),10),10)+1,1)),"OK","REVISAR")),"REVISAR")))</f>
        <v/>
      </c>
      <c r="Q431">
        <f>IF(B431="","",IF(COUNTIFS($B$2:$B$501,B431,$D$2:$D$501,D431)&gt;1,"DUPLICADA",""))</f>
        <v/>
      </c>
      <c r="R431">
        <f>IF(A431="","",ROUNDUP(MONTH(A431)/3,0))</f>
        <v/>
      </c>
      <c r="S431" s="3" t="n"/>
    </row>
    <row r="432">
      <c r="A432" s="2" t="n"/>
      <c r="B432" s="3" t="n"/>
      <c r="C432" s="3" t="n"/>
      <c r="D432" s="3" t="n"/>
      <c r="E432" s="4" t="n"/>
      <c r="F432" s="4" t="n"/>
      <c r="G432" s="4" t="n"/>
      <c r="H432" s="4" t="n"/>
      <c r="I432" s="5">
        <f>IF(E432="","",ROUND(E432*0.21,2))</f>
        <v/>
      </c>
      <c r="J432" s="5">
        <f>IF(F432="","",ROUND(F432*0.1,2))</f>
        <v/>
      </c>
      <c r="K432" s="5">
        <f>IF(G432="","",ROUND(G432*0.04,2))</f>
        <v/>
      </c>
      <c r="L432" s="4" t="n"/>
      <c r="M432" s="4" t="n"/>
      <c r="N432" s="5">
        <f>IF(A432="","",SUM(E432:K432)-N(L432))</f>
        <v/>
      </c>
      <c r="O432">
        <f>IF(OR(A432="",M432=""),"",IF(ABS(M432-N432)&lt;=0.02,"OK","REVISAR"))</f>
        <v/>
      </c>
      <c r="P432">
        <f>IF(D432="","",IF(LEN(TRIM(D432))&lt;&gt;9,"REVISAR",IFERROR(IF(OR(ISNUMBER(VALUE(LEFT(UPPER(TRIM(D432)),1))),LEFT(UPPER(TRIM(D432)),1)="X",LEFT(UPPER(TRIM(D432)),1)="Y",LEFT(UPPER(TRIM(D432)),1)="Z"),IF(MID("TRWAGMYFPDXBNJZSQVHLCKE",MOD(VALUE(SUBSTITUTE(SUBSTITUTE(SUBSTITUTE(LEFT(UPPER(TRIM(D432)),8),"X","0"),"Y","1"),"Z","2")),23)+1,1)=RIGHT(UPPER(TRIM(D432)),1),"OK","REVISAR"),IF(OR(RIGHT(UPPER(TRIM(D432)),1)=TEXT(MOD(10-MOD((VALUE(MID(UPPER(TRIM(D432)),3,1))+VALUE(MID(UPPER(TRIM(D432)),5,1))+VALUE(MID(UPPER(TRIM(D432)),7,1)))+(INT(2*VALUE(MID(UPPER(TRIM(D432)),2,1))/10)+MOD(2*VALUE(MID(UPPER(TRIM(D432)),2,1)),10))+(INT(2*VALUE(MID(UPPER(TRIM(D432)),4,1))/10)+MOD(2*VALUE(MID(UPPER(TRIM(D432)),4,1)),10))+(INT(2*VALUE(MID(UPPER(TRIM(D432)),6,1))/10)+MOD(2*VALUE(MID(UPPER(TRIM(D432)),6,1)),10))+(INT(2*VALUE(MID(UPPER(TRIM(D432)),8,1))/10)+MOD(2*VALUE(MID(UPPER(TRIM(D432)),8,1)),10)),10),10),"0"),RIGHT(UPPER(TRIM(D432)),1)=MID("JABCDEFGHI",MOD(10-MOD((VALUE(MID(UPPER(TRIM(D432)),3,1))+VALUE(MID(UPPER(TRIM(D432)),5,1))+VALUE(MID(UPPER(TRIM(D432)),7,1)))+(INT(2*VALUE(MID(UPPER(TRIM(D432)),2,1))/10)+MOD(2*VALUE(MID(UPPER(TRIM(D432)),2,1)),10))+(INT(2*VALUE(MID(UPPER(TRIM(D432)),4,1))/10)+MOD(2*VALUE(MID(UPPER(TRIM(D432)),4,1)),10))+(INT(2*VALUE(MID(UPPER(TRIM(D432)),6,1))/10)+MOD(2*VALUE(MID(UPPER(TRIM(D432)),6,1)),10))+(INT(2*VALUE(MID(UPPER(TRIM(D432)),8,1))/10)+MOD(2*VALUE(MID(UPPER(TRIM(D432)),8,1)),10)),10),10)+1,1)),"OK","REVISAR")),"REVISAR")))</f>
        <v/>
      </c>
      <c r="Q432">
        <f>IF(B432="","",IF(COUNTIFS($B$2:$B$501,B432,$D$2:$D$501,D432)&gt;1,"DUPLICADA",""))</f>
        <v/>
      </c>
      <c r="R432">
        <f>IF(A432="","",ROUNDUP(MONTH(A432)/3,0))</f>
        <v/>
      </c>
      <c r="S432" s="3" t="n"/>
    </row>
    <row r="433">
      <c r="A433" s="2" t="n"/>
      <c r="B433" s="3" t="n"/>
      <c r="C433" s="3" t="n"/>
      <c r="D433" s="3" t="n"/>
      <c r="E433" s="4" t="n"/>
      <c r="F433" s="4" t="n"/>
      <c r="G433" s="4" t="n"/>
      <c r="H433" s="4" t="n"/>
      <c r="I433" s="5">
        <f>IF(E433="","",ROUND(E433*0.21,2))</f>
        <v/>
      </c>
      <c r="J433" s="5">
        <f>IF(F433="","",ROUND(F433*0.1,2))</f>
        <v/>
      </c>
      <c r="K433" s="5">
        <f>IF(G433="","",ROUND(G433*0.04,2))</f>
        <v/>
      </c>
      <c r="L433" s="4" t="n"/>
      <c r="M433" s="4" t="n"/>
      <c r="N433" s="5">
        <f>IF(A433="","",SUM(E433:K433)-N(L433))</f>
        <v/>
      </c>
      <c r="O433">
        <f>IF(OR(A433="",M433=""),"",IF(ABS(M433-N433)&lt;=0.02,"OK","REVISAR"))</f>
        <v/>
      </c>
      <c r="P433">
        <f>IF(D433="","",IF(LEN(TRIM(D433))&lt;&gt;9,"REVISAR",IFERROR(IF(OR(ISNUMBER(VALUE(LEFT(UPPER(TRIM(D433)),1))),LEFT(UPPER(TRIM(D433)),1)="X",LEFT(UPPER(TRIM(D433)),1)="Y",LEFT(UPPER(TRIM(D433)),1)="Z"),IF(MID("TRWAGMYFPDXBNJZSQVHLCKE",MOD(VALUE(SUBSTITUTE(SUBSTITUTE(SUBSTITUTE(LEFT(UPPER(TRIM(D433)),8),"X","0"),"Y","1"),"Z","2")),23)+1,1)=RIGHT(UPPER(TRIM(D433)),1),"OK","REVISAR"),IF(OR(RIGHT(UPPER(TRIM(D433)),1)=TEXT(MOD(10-MOD((VALUE(MID(UPPER(TRIM(D433)),3,1))+VALUE(MID(UPPER(TRIM(D433)),5,1))+VALUE(MID(UPPER(TRIM(D433)),7,1)))+(INT(2*VALUE(MID(UPPER(TRIM(D433)),2,1))/10)+MOD(2*VALUE(MID(UPPER(TRIM(D433)),2,1)),10))+(INT(2*VALUE(MID(UPPER(TRIM(D433)),4,1))/10)+MOD(2*VALUE(MID(UPPER(TRIM(D433)),4,1)),10))+(INT(2*VALUE(MID(UPPER(TRIM(D433)),6,1))/10)+MOD(2*VALUE(MID(UPPER(TRIM(D433)),6,1)),10))+(INT(2*VALUE(MID(UPPER(TRIM(D433)),8,1))/10)+MOD(2*VALUE(MID(UPPER(TRIM(D433)),8,1)),10)),10),10),"0"),RIGHT(UPPER(TRIM(D433)),1)=MID("JABCDEFGHI",MOD(10-MOD((VALUE(MID(UPPER(TRIM(D433)),3,1))+VALUE(MID(UPPER(TRIM(D433)),5,1))+VALUE(MID(UPPER(TRIM(D433)),7,1)))+(INT(2*VALUE(MID(UPPER(TRIM(D433)),2,1))/10)+MOD(2*VALUE(MID(UPPER(TRIM(D433)),2,1)),10))+(INT(2*VALUE(MID(UPPER(TRIM(D433)),4,1))/10)+MOD(2*VALUE(MID(UPPER(TRIM(D433)),4,1)),10))+(INT(2*VALUE(MID(UPPER(TRIM(D433)),6,1))/10)+MOD(2*VALUE(MID(UPPER(TRIM(D433)),6,1)),10))+(INT(2*VALUE(MID(UPPER(TRIM(D433)),8,1))/10)+MOD(2*VALUE(MID(UPPER(TRIM(D433)),8,1)),10)),10),10)+1,1)),"OK","REVISAR")),"REVISAR")))</f>
        <v/>
      </c>
      <c r="Q433">
        <f>IF(B433="","",IF(COUNTIFS($B$2:$B$501,B433,$D$2:$D$501,D433)&gt;1,"DUPLICADA",""))</f>
        <v/>
      </c>
      <c r="R433">
        <f>IF(A433="","",ROUNDUP(MONTH(A433)/3,0))</f>
        <v/>
      </c>
      <c r="S433" s="3" t="n"/>
    </row>
    <row r="434">
      <c r="A434" s="2" t="n"/>
      <c r="B434" s="3" t="n"/>
      <c r="C434" s="3" t="n"/>
      <c r="D434" s="3" t="n"/>
      <c r="E434" s="4" t="n"/>
      <c r="F434" s="4" t="n"/>
      <c r="G434" s="4" t="n"/>
      <c r="H434" s="4" t="n"/>
      <c r="I434" s="5">
        <f>IF(E434="","",ROUND(E434*0.21,2))</f>
        <v/>
      </c>
      <c r="J434" s="5">
        <f>IF(F434="","",ROUND(F434*0.1,2))</f>
        <v/>
      </c>
      <c r="K434" s="5">
        <f>IF(G434="","",ROUND(G434*0.04,2))</f>
        <v/>
      </c>
      <c r="L434" s="4" t="n"/>
      <c r="M434" s="4" t="n"/>
      <c r="N434" s="5">
        <f>IF(A434="","",SUM(E434:K434)-N(L434))</f>
        <v/>
      </c>
      <c r="O434">
        <f>IF(OR(A434="",M434=""),"",IF(ABS(M434-N434)&lt;=0.02,"OK","REVISAR"))</f>
        <v/>
      </c>
      <c r="P434">
        <f>IF(D434="","",IF(LEN(TRIM(D434))&lt;&gt;9,"REVISAR",IFERROR(IF(OR(ISNUMBER(VALUE(LEFT(UPPER(TRIM(D434)),1))),LEFT(UPPER(TRIM(D434)),1)="X",LEFT(UPPER(TRIM(D434)),1)="Y",LEFT(UPPER(TRIM(D434)),1)="Z"),IF(MID("TRWAGMYFPDXBNJZSQVHLCKE",MOD(VALUE(SUBSTITUTE(SUBSTITUTE(SUBSTITUTE(LEFT(UPPER(TRIM(D434)),8),"X","0"),"Y","1"),"Z","2")),23)+1,1)=RIGHT(UPPER(TRIM(D434)),1),"OK","REVISAR"),IF(OR(RIGHT(UPPER(TRIM(D434)),1)=TEXT(MOD(10-MOD((VALUE(MID(UPPER(TRIM(D434)),3,1))+VALUE(MID(UPPER(TRIM(D434)),5,1))+VALUE(MID(UPPER(TRIM(D434)),7,1)))+(INT(2*VALUE(MID(UPPER(TRIM(D434)),2,1))/10)+MOD(2*VALUE(MID(UPPER(TRIM(D434)),2,1)),10))+(INT(2*VALUE(MID(UPPER(TRIM(D434)),4,1))/10)+MOD(2*VALUE(MID(UPPER(TRIM(D434)),4,1)),10))+(INT(2*VALUE(MID(UPPER(TRIM(D434)),6,1))/10)+MOD(2*VALUE(MID(UPPER(TRIM(D434)),6,1)),10))+(INT(2*VALUE(MID(UPPER(TRIM(D434)),8,1))/10)+MOD(2*VALUE(MID(UPPER(TRIM(D434)),8,1)),10)),10),10),"0"),RIGHT(UPPER(TRIM(D434)),1)=MID("JABCDEFGHI",MOD(10-MOD((VALUE(MID(UPPER(TRIM(D434)),3,1))+VALUE(MID(UPPER(TRIM(D434)),5,1))+VALUE(MID(UPPER(TRIM(D434)),7,1)))+(INT(2*VALUE(MID(UPPER(TRIM(D434)),2,1))/10)+MOD(2*VALUE(MID(UPPER(TRIM(D434)),2,1)),10))+(INT(2*VALUE(MID(UPPER(TRIM(D434)),4,1))/10)+MOD(2*VALUE(MID(UPPER(TRIM(D434)),4,1)),10))+(INT(2*VALUE(MID(UPPER(TRIM(D434)),6,1))/10)+MOD(2*VALUE(MID(UPPER(TRIM(D434)),6,1)),10))+(INT(2*VALUE(MID(UPPER(TRIM(D434)),8,1))/10)+MOD(2*VALUE(MID(UPPER(TRIM(D434)),8,1)),10)),10),10)+1,1)),"OK","REVISAR")),"REVISAR")))</f>
        <v/>
      </c>
      <c r="Q434">
        <f>IF(B434="","",IF(COUNTIFS($B$2:$B$501,B434,$D$2:$D$501,D434)&gt;1,"DUPLICADA",""))</f>
        <v/>
      </c>
      <c r="R434">
        <f>IF(A434="","",ROUNDUP(MONTH(A434)/3,0))</f>
        <v/>
      </c>
      <c r="S434" s="3" t="n"/>
    </row>
    <row r="435">
      <c r="A435" s="2" t="n"/>
      <c r="B435" s="3" t="n"/>
      <c r="C435" s="3" t="n"/>
      <c r="D435" s="3" t="n"/>
      <c r="E435" s="4" t="n"/>
      <c r="F435" s="4" t="n"/>
      <c r="G435" s="4" t="n"/>
      <c r="H435" s="4" t="n"/>
      <c r="I435" s="5">
        <f>IF(E435="","",ROUND(E435*0.21,2))</f>
        <v/>
      </c>
      <c r="J435" s="5">
        <f>IF(F435="","",ROUND(F435*0.1,2))</f>
        <v/>
      </c>
      <c r="K435" s="5">
        <f>IF(G435="","",ROUND(G435*0.04,2))</f>
        <v/>
      </c>
      <c r="L435" s="4" t="n"/>
      <c r="M435" s="4" t="n"/>
      <c r="N435" s="5">
        <f>IF(A435="","",SUM(E435:K435)-N(L435))</f>
        <v/>
      </c>
      <c r="O435">
        <f>IF(OR(A435="",M435=""),"",IF(ABS(M435-N435)&lt;=0.02,"OK","REVISAR"))</f>
        <v/>
      </c>
      <c r="P435">
        <f>IF(D435="","",IF(LEN(TRIM(D435))&lt;&gt;9,"REVISAR",IFERROR(IF(OR(ISNUMBER(VALUE(LEFT(UPPER(TRIM(D435)),1))),LEFT(UPPER(TRIM(D435)),1)="X",LEFT(UPPER(TRIM(D435)),1)="Y",LEFT(UPPER(TRIM(D435)),1)="Z"),IF(MID("TRWAGMYFPDXBNJZSQVHLCKE",MOD(VALUE(SUBSTITUTE(SUBSTITUTE(SUBSTITUTE(LEFT(UPPER(TRIM(D435)),8),"X","0"),"Y","1"),"Z","2")),23)+1,1)=RIGHT(UPPER(TRIM(D435)),1),"OK","REVISAR"),IF(OR(RIGHT(UPPER(TRIM(D435)),1)=TEXT(MOD(10-MOD((VALUE(MID(UPPER(TRIM(D435)),3,1))+VALUE(MID(UPPER(TRIM(D435)),5,1))+VALUE(MID(UPPER(TRIM(D435)),7,1)))+(INT(2*VALUE(MID(UPPER(TRIM(D435)),2,1))/10)+MOD(2*VALUE(MID(UPPER(TRIM(D435)),2,1)),10))+(INT(2*VALUE(MID(UPPER(TRIM(D435)),4,1))/10)+MOD(2*VALUE(MID(UPPER(TRIM(D435)),4,1)),10))+(INT(2*VALUE(MID(UPPER(TRIM(D435)),6,1))/10)+MOD(2*VALUE(MID(UPPER(TRIM(D435)),6,1)),10))+(INT(2*VALUE(MID(UPPER(TRIM(D435)),8,1))/10)+MOD(2*VALUE(MID(UPPER(TRIM(D435)),8,1)),10)),10),10),"0"),RIGHT(UPPER(TRIM(D435)),1)=MID("JABCDEFGHI",MOD(10-MOD((VALUE(MID(UPPER(TRIM(D435)),3,1))+VALUE(MID(UPPER(TRIM(D435)),5,1))+VALUE(MID(UPPER(TRIM(D435)),7,1)))+(INT(2*VALUE(MID(UPPER(TRIM(D435)),2,1))/10)+MOD(2*VALUE(MID(UPPER(TRIM(D435)),2,1)),10))+(INT(2*VALUE(MID(UPPER(TRIM(D435)),4,1))/10)+MOD(2*VALUE(MID(UPPER(TRIM(D435)),4,1)),10))+(INT(2*VALUE(MID(UPPER(TRIM(D435)),6,1))/10)+MOD(2*VALUE(MID(UPPER(TRIM(D435)),6,1)),10))+(INT(2*VALUE(MID(UPPER(TRIM(D435)),8,1))/10)+MOD(2*VALUE(MID(UPPER(TRIM(D435)),8,1)),10)),10),10)+1,1)),"OK","REVISAR")),"REVISAR")))</f>
        <v/>
      </c>
      <c r="Q435">
        <f>IF(B435="","",IF(COUNTIFS($B$2:$B$501,B435,$D$2:$D$501,D435)&gt;1,"DUPLICADA",""))</f>
        <v/>
      </c>
      <c r="R435">
        <f>IF(A435="","",ROUNDUP(MONTH(A435)/3,0))</f>
        <v/>
      </c>
      <c r="S435" s="3" t="n"/>
    </row>
    <row r="436">
      <c r="A436" s="2" t="n"/>
      <c r="B436" s="3" t="n"/>
      <c r="C436" s="3" t="n"/>
      <c r="D436" s="3" t="n"/>
      <c r="E436" s="4" t="n"/>
      <c r="F436" s="4" t="n"/>
      <c r="G436" s="4" t="n"/>
      <c r="H436" s="4" t="n"/>
      <c r="I436" s="5">
        <f>IF(E436="","",ROUND(E436*0.21,2))</f>
        <v/>
      </c>
      <c r="J436" s="5">
        <f>IF(F436="","",ROUND(F436*0.1,2))</f>
        <v/>
      </c>
      <c r="K436" s="5">
        <f>IF(G436="","",ROUND(G436*0.04,2))</f>
        <v/>
      </c>
      <c r="L436" s="4" t="n"/>
      <c r="M436" s="4" t="n"/>
      <c r="N436" s="5">
        <f>IF(A436="","",SUM(E436:K436)-N(L436))</f>
        <v/>
      </c>
      <c r="O436">
        <f>IF(OR(A436="",M436=""),"",IF(ABS(M436-N436)&lt;=0.02,"OK","REVISAR"))</f>
        <v/>
      </c>
      <c r="P436">
        <f>IF(D436="","",IF(LEN(TRIM(D436))&lt;&gt;9,"REVISAR",IFERROR(IF(OR(ISNUMBER(VALUE(LEFT(UPPER(TRIM(D436)),1))),LEFT(UPPER(TRIM(D436)),1)="X",LEFT(UPPER(TRIM(D436)),1)="Y",LEFT(UPPER(TRIM(D436)),1)="Z"),IF(MID("TRWAGMYFPDXBNJZSQVHLCKE",MOD(VALUE(SUBSTITUTE(SUBSTITUTE(SUBSTITUTE(LEFT(UPPER(TRIM(D436)),8),"X","0"),"Y","1"),"Z","2")),23)+1,1)=RIGHT(UPPER(TRIM(D436)),1),"OK","REVISAR"),IF(OR(RIGHT(UPPER(TRIM(D436)),1)=TEXT(MOD(10-MOD((VALUE(MID(UPPER(TRIM(D436)),3,1))+VALUE(MID(UPPER(TRIM(D436)),5,1))+VALUE(MID(UPPER(TRIM(D436)),7,1)))+(INT(2*VALUE(MID(UPPER(TRIM(D436)),2,1))/10)+MOD(2*VALUE(MID(UPPER(TRIM(D436)),2,1)),10))+(INT(2*VALUE(MID(UPPER(TRIM(D436)),4,1))/10)+MOD(2*VALUE(MID(UPPER(TRIM(D436)),4,1)),10))+(INT(2*VALUE(MID(UPPER(TRIM(D436)),6,1))/10)+MOD(2*VALUE(MID(UPPER(TRIM(D436)),6,1)),10))+(INT(2*VALUE(MID(UPPER(TRIM(D436)),8,1))/10)+MOD(2*VALUE(MID(UPPER(TRIM(D436)),8,1)),10)),10),10),"0"),RIGHT(UPPER(TRIM(D436)),1)=MID("JABCDEFGHI",MOD(10-MOD((VALUE(MID(UPPER(TRIM(D436)),3,1))+VALUE(MID(UPPER(TRIM(D436)),5,1))+VALUE(MID(UPPER(TRIM(D436)),7,1)))+(INT(2*VALUE(MID(UPPER(TRIM(D436)),2,1))/10)+MOD(2*VALUE(MID(UPPER(TRIM(D436)),2,1)),10))+(INT(2*VALUE(MID(UPPER(TRIM(D436)),4,1))/10)+MOD(2*VALUE(MID(UPPER(TRIM(D436)),4,1)),10))+(INT(2*VALUE(MID(UPPER(TRIM(D436)),6,1))/10)+MOD(2*VALUE(MID(UPPER(TRIM(D436)),6,1)),10))+(INT(2*VALUE(MID(UPPER(TRIM(D436)),8,1))/10)+MOD(2*VALUE(MID(UPPER(TRIM(D436)),8,1)),10)),10),10)+1,1)),"OK","REVISAR")),"REVISAR")))</f>
        <v/>
      </c>
      <c r="Q436">
        <f>IF(B436="","",IF(COUNTIFS($B$2:$B$501,B436,$D$2:$D$501,D436)&gt;1,"DUPLICADA",""))</f>
        <v/>
      </c>
      <c r="R436">
        <f>IF(A436="","",ROUNDUP(MONTH(A436)/3,0))</f>
        <v/>
      </c>
      <c r="S436" s="3" t="n"/>
    </row>
    <row r="437">
      <c r="A437" s="2" t="n"/>
      <c r="B437" s="3" t="n"/>
      <c r="C437" s="3" t="n"/>
      <c r="D437" s="3" t="n"/>
      <c r="E437" s="4" t="n"/>
      <c r="F437" s="4" t="n"/>
      <c r="G437" s="4" t="n"/>
      <c r="H437" s="4" t="n"/>
      <c r="I437" s="5">
        <f>IF(E437="","",ROUND(E437*0.21,2))</f>
        <v/>
      </c>
      <c r="J437" s="5">
        <f>IF(F437="","",ROUND(F437*0.1,2))</f>
        <v/>
      </c>
      <c r="K437" s="5">
        <f>IF(G437="","",ROUND(G437*0.04,2))</f>
        <v/>
      </c>
      <c r="L437" s="4" t="n"/>
      <c r="M437" s="4" t="n"/>
      <c r="N437" s="5">
        <f>IF(A437="","",SUM(E437:K437)-N(L437))</f>
        <v/>
      </c>
      <c r="O437">
        <f>IF(OR(A437="",M437=""),"",IF(ABS(M437-N437)&lt;=0.02,"OK","REVISAR"))</f>
        <v/>
      </c>
      <c r="P437">
        <f>IF(D437="","",IF(LEN(TRIM(D437))&lt;&gt;9,"REVISAR",IFERROR(IF(OR(ISNUMBER(VALUE(LEFT(UPPER(TRIM(D437)),1))),LEFT(UPPER(TRIM(D437)),1)="X",LEFT(UPPER(TRIM(D437)),1)="Y",LEFT(UPPER(TRIM(D437)),1)="Z"),IF(MID("TRWAGMYFPDXBNJZSQVHLCKE",MOD(VALUE(SUBSTITUTE(SUBSTITUTE(SUBSTITUTE(LEFT(UPPER(TRIM(D437)),8),"X","0"),"Y","1"),"Z","2")),23)+1,1)=RIGHT(UPPER(TRIM(D437)),1),"OK","REVISAR"),IF(OR(RIGHT(UPPER(TRIM(D437)),1)=TEXT(MOD(10-MOD((VALUE(MID(UPPER(TRIM(D437)),3,1))+VALUE(MID(UPPER(TRIM(D437)),5,1))+VALUE(MID(UPPER(TRIM(D437)),7,1)))+(INT(2*VALUE(MID(UPPER(TRIM(D437)),2,1))/10)+MOD(2*VALUE(MID(UPPER(TRIM(D437)),2,1)),10))+(INT(2*VALUE(MID(UPPER(TRIM(D437)),4,1))/10)+MOD(2*VALUE(MID(UPPER(TRIM(D437)),4,1)),10))+(INT(2*VALUE(MID(UPPER(TRIM(D437)),6,1))/10)+MOD(2*VALUE(MID(UPPER(TRIM(D437)),6,1)),10))+(INT(2*VALUE(MID(UPPER(TRIM(D437)),8,1))/10)+MOD(2*VALUE(MID(UPPER(TRIM(D437)),8,1)),10)),10),10),"0"),RIGHT(UPPER(TRIM(D437)),1)=MID("JABCDEFGHI",MOD(10-MOD((VALUE(MID(UPPER(TRIM(D437)),3,1))+VALUE(MID(UPPER(TRIM(D437)),5,1))+VALUE(MID(UPPER(TRIM(D437)),7,1)))+(INT(2*VALUE(MID(UPPER(TRIM(D437)),2,1))/10)+MOD(2*VALUE(MID(UPPER(TRIM(D437)),2,1)),10))+(INT(2*VALUE(MID(UPPER(TRIM(D437)),4,1))/10)+MOD(2*VALUE(MID(UPPER(TRIM(D437)),4,1)),10))+(INT(2*VALUE(MID(UPPER(TRIM(D437)),6,1))/10)+MOD(2*VALUE(MID(UPPER(TRIM(D437)),6,1)),10))+(INT(2*VALUE(MID(UPPER(TRIM(D437)),8,1))/10)+MOD(2*VALUE(MID(UPPER(TRIM(D437)),8,1)),10)),10),10)+1,1)),"OK","REVISAR")),"REVISAR")))</f>
        <v/>
      </c>
      <c r="Q437">
        <f>IF(B437="","",IF(COUNTIFS($B$2:$B$501,B437,$D$2:$D$501,D437)&gt;1,"DUPLICADA",""))</f>
        <v/>
      </c>
      <c r="R437">
        <f>IF(A437="","",ROUNDUP(MONTH(A437)/3,0))</f>
        <v/>
      </c>
      <c r="S437" s="3" t="n"/>
    </row>
    <row r="438">
      <c r="A438" s="2" t="n"/>
      <c r="B438" s="3" t="n"/>
      <c r="C438" s="3" t="n"/>
      <c r="D438" s="3" t="n"/>
      <c r="E438" s="4" t="n"/>
      <c r="F438" s="4" t="n"/>
      <c r="G438" s="4" t="n"/>
      <c r="H438" s="4" t="n"/>
      <c r="I438" s="5">
        <f>IF(E438="","",ROUND(E438*0.21,2))</f>
        <v/>
      </c>
      <c r="J438" s="5">
        <f>IF(F438="","",ROUND(F438*0.1,2))</f>
        <v/>
      </c>
      <c r="K438" s="5">
        <f>IF(G438="","",ROUND(G438*0.04,2))</f>
        <v/>
      </c>
      <c r="L438" s="4" t="n"/>
      <c r="M438" s="4" t="n"/>
      <c r="N438" s="5">
        <f>IF(A438="","",SUM(E438:K438)-N(L438))</f>
        <v/>
      </c>
      <c r="O438">
        <f>IF(OR(A438="",M438=""),"",IF(ABS(M438-N438)&lt;=0.02,"OK","REVISAR"))</f>
        <v/>
      </c>
      <c r="P438">
        <f>IF(D438="","",IF(LEN(TRIM(D438))&lt;&gt;9,"REVISAR",IFERROR(IF(OR(ISNUMBER(VALUE(LEFT(UPPER(TRIM(D438)),1))),LEFT(UPPER(TRIM(D438)),1)="X",LEFT(UPPER(TRIM(D438)),1)="Y",LEFT(UPPER(TRIM(D438)),1)="Z"),IF(MID("TRWAGMYFPDXBNJZSQVHLCKE",MOD(VALUE(SUBSTITUTE(SUBSTITUTE(SUBSTITUTE(LEFT(UPPER(TRIM(D438)),8),"X","0"),"Y","1"),"Z","2")),23)+1,1)=RIGHT(UPPER(TRIM(D438)),1),"OK","REVISAR"),IF(OR(RIGHT(UPPER(TRIM(D438)),1)=TEXT(MOD(10-MOD((VALUE(MID(UPPER(TRIM(D438)),3,1))+VALUE(MID(UPPER(TRIM(D438)),5,1))+VALUE(MID(UPPER(TRIM(D438)),7,1)))+(INT(2*VALUE(MID(UPPER(TRIM(D438)),2,1))/10)+MOD(2*VALUE(MID(UPPER(TRIM(D438)),2,1)),10))+(INT(2*VALUE(MID(UPPER(TRIM(D438)),4,1))/10)+MOD(2*VALUE(MID(UPPER(TRIM(D438)),4,1)),10))+(INT(2*VALUE(MID(UPPER(TRIM(D438)),6,1))/10)+MOD(2*VALUE(MID(UPPER(TRIM(D438)),6,1)),10))+(INT(2*VALUE(MID(UPPER(TRIM(D438)),8,1))/10)+MOD(2*VALUE(MID(UPPER(TRIM(D438)),8,1)),10)),10),10),"0"),RIGHT(UPPER(TRIM(D438)),1)=MID("JABCDEFGHI",MOD(10-MOD((VALUE(MID(UPPER(TRIM(D438)),3,1))+VALUE(MID(UPPER(TRIM(D438)),5,1))+VALUE(MID(UPPER(TRIM(D438)),7,1)))+(INT(2*VALUE(MID(UPPER(TRIM(D438)),2,1))/10)+MOD(2*VALUE(MID(UPPER(TRIM(D438)),2,1)),10))+(INT(2*VALUE(MID(UPPER(TRIM(D438)),4,1))/10)+MOD(2*VALUE(MID(UPPER(TRIM(D438)),4,1)),10))+(INT(2*VALUE(MID(UPPER(TRIM(D438)),6,1))/10)+MOD(2*VALUE(MID(UPPER(TRIM(D438)),6,1)),10))+(INT(2*VALUE(MID(UPPER(TRIM(D438)),8,1))/10)+MOD(2*VALUE(MID(UPPER(TRIM(D438)),8,1)),10)),10),10)+1,1)),"OK","REVISAR")),"REVISAR")))</f>
        <v/>
      </c>
      <c r="Q438">
        <f>IF(B438="","",IF(COUNTIFS($B$2:$B$501,B438,$D$2:$D$501,D438)&gt;1,"DUPLICADA",""))</f>
        <v/>
      </c>
      <c r="R438">
        <f>IF(A438="","",ROUNDUP(MONTH(A438)/3,0))</f>
        <v/>
      </c>
      <c r="S438" s="3" t="n"/>
    </row>
    <row r="439">
      <c r="A439" s="2" t="n"/>
      <c r="B439" s="3" t="n"/>
      <c r="C439" s="3" t="n"/>
      <c r="D439" s="3" t="n"/>
      <c r="E439" s="4" t="n"/>
      <c r="F439" s="4" t="n"/>
      <c r="G439" s="4" t="n"/>
      <c r="H439" s="4" t="n"/>
      <c r="I439" s="5">
        <f>IF(E439="","",ROUND(E439*0.21,2))</f>
        <v/>
      </c>
      <c r="J439" s="5">
        <f>IF(F439="","",ROUND(F439*0.1,2))</f>
        <v/>
      </c>
      <c r="K439" s="5">
        <f>IF(G439="","",ROUND(G439*0.04,2))</f>
        <v/>
      </c>
      <c r="L439" s="4" t="n"/>
      <c r="M439" s="4" t="n"/>
      <c r="N439" s="5">
        <f>IF(A439="","",SUM(E439:K439)-N(L439))</f>
        <v/>
      </c>
      <c r="O439">
        <f>IF(OR(A439="",M439=""),"",IF(ABS(M439-N439)&lt;=0.02,"OK","REVISAR"))</f>
        <v/>
      </c>
      <c r="P439">
        <f>IF(D439="","",IF(LEN(TRIM(D439))&lt;&gt;9,"REVISAR",IFERROR(IF(OR(ISNUMBER(VALUE(LEFT(UPPER(TRIM(D439)),1))),LEFT(UPPER(TRIM(D439)),1)="X",LEFT(UPPER(TRIM(D439)),1)="Y",LEFT(UPPER(TRIM(D439)),1)="Z"),IF(MID("TRWAGMYFPDXBNJZSQVHLCKE",MOD(VALUE(SUBSTITUTE(SUBSTITUTE(SUBSTITUTE(LEFT(UPPER(TRIM(D439)),8),"X","0"),"Y","1"),"Z","2")),23)+1,1)=RIGHT(UPPER(TRIM(D439)),1),"OK","REVISAR"),IF(OR(RIGHT(UPPER(TRIM(D439)),1)=TEXT(MOD(10-MOD((VALUE(MID(UPPER(TRIM(D439)),3,1))+VALUE(MID(UPPER(TRIM(D439)),5,1))+VALUE(MID(UPPER(TRIM(D439)),7,1)))+(INT(2*VALUE(MID(UPPER(TRIM(D439)),2,1))/10)+MOD(2*VALUE(MID(UPPER(TRIM(D439)),2,1)),10))+(INT(2*VALUE(MID(UPPER(TRIM(D439)),4,1))/10)+MOD(2*VALUE(MID(UPPER(TRIM(D439)),4,1)),10))+(INT(2*VALUE(MID(UPPER(TRIM(D439)),6,1))/10)+MOD(2*VALUE(MID(UPPER(TRIM(D439)),6,1)),10))+(INT(2*VALUE(MID(UPPER(TRIM(D439)),8,1))/10)+MOD(2*VALUE(MID(UPPER(TRIM(D439)),8,1)),10)),10),10),"0"),RIGHT(UPPER(TRIM(D439)),1)=MID("JABCDEFGHI",MOD(10-MOD((VALUE(MID(UPPER(TRIM(D439)),3,1))+VALUE(MID(UPPER(TRIM(D439)),5,1))+VALUE(MID(UPPER(TRIM(D439)),7,1)))+(INT(2*VALUE(MID(UPPER(TRIM(D439)),2,1))/10)+MOD(2*VALUE(MID(UPPER(TRIM(D439)),2,1)),10))+(INT(2*VALUE(MID(UPPER(TRIM(D439)),4,1))/10)+MOD(2*VALUE(MID(UPPER(TRIM(D439)),4,1)),10))+(INT(2*VALUE(MID(UPPER(TRIM(D439)),6,1))/10)+MOD(2*VALUE(MID(UPPER(TRIM(D439)),6,1)),10))+(INT(2*VALUE(MID(UPPER(TRIM(D439)),8,1))/10)+MOD(2*VALUE(MID(UPPER(TRIM(D439)),8,1)),10)),10),10)+1,1)),"OK","REVISAR")),"REVISAR")))</f>
        <v/>
      </c>
      <c r="Q439">
        <f>IF(B439="","",IF(COUNTIFS($B$2:$B$501,B439,$D$2:$D$501,D439)&gt;1,"DUPLICADA",""))</f>
        <v/>
      </c>
      <c r="R439">
        <f>IF(A439="","",ROUNDUP(MONTH(A439)/3,0))</f>
        <v/>
      </c>
      <c r="S439" s="3" t="n"/>
    </row>
    <row r="440">
      <c r="A440" s="2" t="n"/>
      <c r="B440" s="3" t="n"/>
      <c r="C440" s="3" t="n"/>
      <c r="D440" s="3" t="n"/>
      <c r="E440" s="4" t="n"/>
      <c r="F440" s="4" t="n"/>
      <c r="G440" s="4" t="n"/>
      <c r="H440" s="4" t="n"/>
      <c r="I440" s="5">
        <f>IF(E440="","",ROUND(E440*0.21,2))</f>
        <v/>
      </c>
      <c r="J440" s="5">
        <f>IF(F440="","",ROUND(F440*0.1,2))</f>
        <v/>
      </c>
      <c r="K440" s="5">
        <f>IF(G440="","",ROUND(G440*0.04,2))</f>
        <v/>
      </c>
      <c r="L440" s="4" t="n"/>
      <c r="M440" s="4" t="n"/>
      <c r="N440" s="5">
        <f>IF(A440="","",SUM(E440:K440)-N(L440))</f>
        <v/>
      </c>
      <c r="O440">
        <f>IF(OR(A440="",M440=""),"",IF(ABS(M440-N440)&lt;=0.02,"OK","REVISAR"))</f>
        <v/>
      </c>
      <c r="P440">
        <f>IF(D440="","",IF(LEN(TRIM(D440))&lt;&gt;9,"REVISAR",IFERROR(IF(OR(ISNUMBER(VALUE(LEFT(UPPER(TRIM(D440)),1))),LEFT(UPPER(TRIM(D440)),1)="X",LEFT(UPPER(TRIM(D440)),1)="Y",LEFT(UPPER(TRIM(D440)),1)="Z"),IF(MID("TRWAGMYFPDXBNJZSQVHLCKE",MOD(VALUE(SUBSTITUTE(SUBSTITUTE(SUBSTITUTE(LEFT(UPPER(TRIM(D440)),8),"X","0"),"Y","1"),"Z","2")),23)+1,1)=RIGHT(UPPER(TRIM(D440)),1),"OK","REVISAR"),IF(OR(RIGHT(UPPER(TRIM(D440)),1)=TEXT(MOD(10-MOD((VALUE(MID(UPPER(TRIM(D440)),3,1))+VALUE(MID(UPPER(TRIM(D440)),5,1))+VALUE(MID(UPPER(TRIM(D440)),7,1)))+(INT(2*VALUE(MID(UPPER(TRIM(D440)),2,1))/10)+MOD(2*VALUE(MID(UPPER(TRIM(D440)),2,1)),10))+(INT(2*VALUE(MID(UPPER(TRIM(D440)),4,1))/10)+MOD(2*VALUE(MID(UPPER(TRIM(D440)),4,1)),10))+(INT(2*VALUE(MID(UPPER(TRIM(D440)),6,1))/10)+MOD(2*VALUE(MID(UPPER(TRIM(D440)),6,1)),10))+(INT(2*VALUE(MID(UPPER(TRIM(D440)),8,1))/10)+MOD(2*VALUE(MID(UPPER(TRIM(D440)),8,1)),10)),10),10),"0"),RIGHT(UPPER(TRIM(D440)),1)=MID("JABCDEFGHI",MOD(10-MOD((VALUE(MID(UPPER(TRIM(D440)),3,1))+VALUE(MID(UPPER(TRIM(D440)),5,1))+VALUE(MID(UPPER(TRIM(D440)),7,1)))+(INT(2*VALUE(MID(UPPER(TRIM(D440)),2,1))/10)+MOD(2*VALUE(MID(UPPER(TRIM(D440)),2,1)),10))+(INT(2*VALUE(MID(UPPER(TRIM(D440)),4,1))/10)+MOD(2*VALUE(MID(UPPER(TRIM(D440)),4,1)),10))+(INT(2*VALUE(MID(UPPER(TRIM(D440)),6,1))/10)+MOD(2*VALUE(MID(UPPER(TRIM(D440)),6,1)),10))+(INT(2*VALUE(MID(UPPER(TRIM(D440)),8,1))/10)+MOD(2*VALUE(MID(UPPER(TRIM(D440)),8,1)),10)),10),10)+1,1)),"OK","REVISAR")),"REVISAR")))</f>
        <v/>
      </c>
      <c r="Q440">
        <f>IF(B440="","",IF(COUNTIFS($B$2:$B$501,B440,$D$2:$D$501,D440)&gt;1,"DUPLICADA",""))</f>
        <v/>
      </c>
      <c r="R440">
        <f>IF(A440="","",ROUNDUP(MONTH(A440)/3,0))</f>
        <v/>
      </c>
      <c r="S440" s="3" t="n"/>
    </row>
    <row r="441">
      <c r="A441" s="2" t="n"/>
      <c r="B441" s="3" t="n"/>
      <c r="C441" s="3" t="n"/>
      <c r="D441" s="3" t="n"/>
      <c r="E441" s="4" t="n"/>
      <c r="F441" s="4" t="n"/>
      <c r="G441" s="4" t="n"/>
      <c r="H441" s="4" t="n"/>
      <c r="I441" s="5">
        <f>IF(E441="","",ROUND(E441*0.21,2))</f>
        <v/>
      </c>
      <c r="J441" s="5">
        <f>IF(F441="","",ROUND(F441*0.1,2))</f>
        <v/>
      </c>
      <c r="K441" s="5">
        <f>IF(G441="","",ROUND(G441*0.04,2))</f>
        <v/>
      </c>
      <c r="L441" s="4" t="n"/>
      <c r="M441" s="4" t="n"/>
      <c r="N441" s="5">
        <f>IF(A441="","",SUM(E441:K441)-N(L441))</f>
        <v/>
      </c>
      <c r="O441">
        <f>IF(OR(A441="",M441=""),"",IF(ABS(M441-N441)&lt;=0.02,"OK","REVISAR"))</f>
        <v/>
      </c>
      <c r="P441">
        <f>IF(D441="","",IF(LEN(TRIM(D441))&lt;&gt;9,"REVISAR",IFERROR(IF(OR(ISNUMBER(VALUE(LEFT(UPPER(TRIM(D441)),1))),LEFT(UPPER(TRIM(D441)),1)="X",LEFT(UPPER(TRIM(D441)),1)="Y",LEFT(UPPER(TRIM(D441)),1)="Z"),IF(MID("TRWAGMYFPDXBNJZSQVHLCKE",MOD(VALUE(SUBSTITUTE(SUBSTITUTE(SUBSTITUTE(LEFT(UPPER(TRIM(D441)),8),"X","0"),"Y","1"),"Z","2")),23)+1,1)=RIGHT(UPPER(TRIM(D441)),1),"OK","REVISAR"),IF(OR(RIGHT(UPPER(TRIM(D441)),1)=TEXT(MOD(10-MOD((VALUE(MID(UPPER(TRIM(D441)),3,1))+VALUE(MID(UPPER(TRIM(D441)),5,1))+VALUE(MID(UPPER(TRIM(D441)),7,1)))+(INT(2*VALUE(MID(UPPER(TRIM(D441)),2,1))/10)+MOD(2*VALUE(MID(UPPER(TRIM(D441)),2,1)),10))+(INT(2*VALUE(MID(UPPER(TRIM(D441)),4,1))/10)+MOD(2*VALUE(MID(UPPER(TRIM(D441)),4,1)),10))+(INT(2*VALUE(MID(UPPER(TRIM(D441)),6,1))/10)+MOD(2*VALUE(MID(UPPER(TRIM(D441)),6,1)),10))+(INT(2*VALUE(MID(UPPER(TRIM(D441)),8,1))/10)+MOD(2*VALUE(MID(UPPER(TRIM(D441)),8,1)),10)),10),10),"0"),RIGHT(UPPER(TRIM(D441)),1)=MID("JABCDEFGHI",MOD(10-MOD((VALUE(MID(UPPER(TRIM(D441)),3,1))+VALUE(MID(UPPER(TRIM(D441)),5,1))+VALUE(MID(UPPER(TRIM(D441)),7,1)))+(INT(2*VALUE(MID(UPPER(TRIM(D441)),2,1))/10)+MOD(2*VALUE(MID(UPPER(TRIM(D441)),2,1)),10))+(INT(2*VALUE(MID(UPPER(TRIM(D441)),4,1))/10)+MOD(2*VALUE(MID(UPPER(TRIM(D441)),4,1)),10))+(INT(2*VALUE(MID(UPPER(TRIM(D441)),6,1))/10)+MOD(2*VALUE(MID(UPPER(TRIM(D441)),6,1)),10))+(INT(2*VALUE(MID(UPPER(TRIM(D441)),8,1))/10)+MOD(2*VALUE(MID(UPPER(TRIM(D441)),8,1)),10)),10),10)+1,1)),"OK","REVISAR")),"REVISAR")))</f>
        <v/>
      </c>
      <c r="Q441">
        <f>IF(B441="","",IF(COUNTIFS($B$2:$B$501,B441,$D$2:$D$501,D441)&gt;1,"DUPLICADA",""))</f>
        <v/>
      </c>
      <c r="R441">
        <f>IF(A441="","",ROUNDUP(MONTH(A441)/3,0))</f>
        <v/>
      </c>
      <c r="S441" s="3" t="n"/>
    </row>
    <row r="442">
      <c r="A442" s="2" t="n"/>
      <c r="B442" s="3" t="n"/>
      <c r="C442" s="3" t="n"/>
      <c r="D442" s="3" t="n"/>
      <c r="E442" s="4" t="n"/>
      <c r="F442" s="4" t="n"/>
      <c r="G442" s="4" t="n"/>
      <c r="H442" s="4" t="n"/>
      <c r="I442" s="5">
        <f>IF(E442="","",ROUND(E442*0.21,2))</f>
        <v/>
      </c>
      <c r="J442" s="5">
        <f>IF(F442="","",ROUND(F442*0.1,2))</f>
        <v/>
      </c>
      <c r="K442" s="5">
        <f>IF(G442="","",ROUND(G442*0.04,2))</f>
        <v/>
      </c>
      <c r="L442" s="4" t="n"/>
      <c r="M442" s="4" t="n"/>
      <c r="N442" s="5">
        <f>IF(A442="","",SUM(E442:K442)-N(L442))</f>
        <v/>
      </c>
      <c r="O442">
        <f>IF(OR(A442="",M442=""),"",IF(ABS(M442-N442)&lt;=0.02,"OK","REVISAR"))</f>
        <v/>
      </c>
      <c r="P442">
        <f>IF(D442="","",IF(LEN(TRIM(D442))&lt;&gt;9,"REVISAR",IFERROR(IF(OR(ISNUMBER(VALUE(LEFT(UPPER(TRIM(D442)),1))),LEFT(UPPER(TRIM(D442)),1)="X",LEFT(UPPER(TRIM(D442)),1)="Y",LEFT(UPPER(TRIM(D442)),1)="Z"),IF(MID("TRWAGMYFPDXBNJZSQVHLCKE",MOD(VALUE(SUBSTITUTE(SUBSTITUTE(SUBSTITUTE(LEFT(UPPER(TRIM(D442)),8),"X","0"),"Y","1"),"Z","2")),23)+1,1)=RIGHT(UPPER(TRIM(D442)),1),"OK","REVISAR"),IF(OR(RIGHT(UPPER(TRIM(D442)),1)=TEXT(MOD(10-MOD((VALUE(MID(UPPER(TRIM(D442)),3,1))+VALUE(MID(UPPER(TRIM(D442)),5,1))+VALUE(MID(UPPER(TRIM(D442)),7,1)))+(INT(2*VALUE(MID(UPPER(TRIM(D442)),2,1))/10)+MOD(2*VALUE(MID(UPPER(TRIM(D442)),2,1)),10))+(INT(2*VALUE(MID(UPPER(TRIM(D442)),4,1))/10)+MOD(2*VALUE(MID(UPPER(TRIM(D442)),4,1)),10))+(INT(2*VALUE(MID(UPPER(TRIM(D442)),6,1))/10)+MOD(2*VALUE(MID(UPPER(TRIM(D442)),6,1)),10))+(INT(2*VALUE(MID(UPPER(TRIM(D442)),8,1))/10)+MOD(2*VALUE(MID(UPPER(TRIM(D442)),8,1)),10)),10),10),"0"),RIGHT(UPPER(TRIM(D442)),1)=MID("JABCDEFGHI",MOD(10-MOD((VALUE(MID(UPPER(TRIM(D442)),3,1))+VALUE(MID(UPPER(TRIM(D442)),5,1))+VALUE(MID(UPPER(TRIM(D442)),7,1)))+(INT(2*VALUE(MID(UPPER(TRIM(D442)),2,1))/10)+MOD(2*VALUE(MID(UPPER(TRIM(D442)),2,1)),10))+(INT(2*VALUE(MID(UPPER(TRIM(D442)),4,1))/10)+MOD(2*VALUE(MID(UPPER(TRIM(D442)),4,1)),10))+(INT(2*VALUE(MID(UPPER(TRIM(D442)),6,1))/10)+MOD(2*VALUE(MID(UPPER(TRIM(D442)),6,1)),10))+(INT(2*VALUE(MID(UPPER(TRIM(D442)),8,1))/10)+MOD(2*VALUE(MID(UPPER(TRIM(D442)),8,1)),10)),10),10)+1,1)),"OK","REVISAR")),"REVISAR")))</f>
        <v/>
      </c>
      <c r="Q442">
        <f>IF(B442="","",IF(COUNTIFS($B$2:$B$501,B442,$D$2:$D$501,D442)&gt;1,"DUPLICADA",""))</f>
        <v/>
      </c>
      <c r="R442">
        <f>IF(A442="","",ROUNDUP(MONTH(A442)/3,0))</f>
        <v/>
      </c>
      <c r="S442" s="3" t="n"/>
    </row>
    <row r="443">
      <c r="A443" s="2" t="n"/>
      <c r="B443" s="3" t="n"/>
      <c r="C443" s="3" t="n"/>
      <c r="D443" s="3" t="n"/>
      <c r="E443" s="4" t="n"/>
      <c r="F443" s="4" t="n"/>
      <c r="G443" s="4" t="n"/>
      <c r="H443" s="4" t="n"/>
      <c r="I443" s="5">
        <f>IF(E443="","",ROUND(E443*0.21,2))</f>
        <v/>
      </c>
      <c r="J443" s="5">
        <f>IF(F443="","",ROUND(F443*0.1,2))</f>
        <v/>
      </c>
      <c r="K443" s="5">
        <f>IF(G443="","",ROUND(G443*0.04,2))</f>
        <v/>
      </c>
      <c r="L443" s="4" t="n"/>
      <c r="M443" s="4" t="n"/>
      <c r="N443" s="5">
        <f>IF(A443="","",SUM(E443:K443)-N(L443))</f>
        <v/>
      </c>
      <c r="O443">
        <f>IF(OR(A443="",M443=""),"",IF(ABS(M443-N443)&lt;=0.02,"OK","REVISAR"))</f>
        <v/>
      </c>
      <c r="P443">
        <f>IF(D443="","",IF(LEN(TRIM(D443))&lt;&gt;9,"REVISAR",IFERROR(IF(OR(ISNUMBER(VALUE(LEFT(UPPER(TRIM(D443)),1))),LEFT(UPPER(TRIM(D443)),1)="X",LEFT(UPPER(TRIM(D443)),1)="Y",LEFT(UPPER(TRIM(D443)),1)="Z"),IF(MID("TRWAGMYFPDXBNJZSQVHLCKE",MOD(VALUE(SUBSTITUTE(SUBSTITUTE(SUBSTITUTE(LEFT(UPPER(TRIM(D443)),8),"X","0"),"Y","1"),"Z","2")),23)+1,1)=RIGHT(UPPER(TRIM(D443)),1),"OK","REVISAR"),IF(OR(RIGHT(UPPER(TRIM(D443)),1)=TEXT(MOD(10-MOD((VALUE(MID(UPPER(TRIM(D443)),3,1))+VALUE(MID(UPPER(TRIM(D443)),5,1))+VALUE(MID(UPPER(TRIM(D443)),7,1)))+(INT(2*VALUE(MID(UPPER(TRIM(D443)),2,1))/10)+MOD(2*VALUE(MID(UPPER(TRIM(D443)),2,1)),10))+(INT(2*VALUE(MID(UPPER(TRIM(D443)),4,1))/10)+MOD(2*VALUE(MID(UPPER(TRIM(D443)),4,1)),10))+(INT(2*VALUE(MID(UPPER(TRIM(D443)),6,1))/10)+MOD(2*VALUE(MID(UPPER(TRIM(D443)),6,1)),10))+(INT(2*VALUE(MID(UPPER(TRIM(D443)),8,1))/10)+MOD(2*VALUE(MID(UPPER(TRIM(D443)),8,1)),10)),10),10),"0"),RIGHT(UPPER(TRIM(D443)),1)=MID("JABCDEFGHI",MOD(10-MOD((VALUE(MID(UPPER(TRIM(D443)),3,1))+VALUE(MID(UPPER(TRIM(D443)),5,1))+VALUE(MID(UPPER(TRIM(D443)),7,1)))+(INT(2*VALUE(MID(UPPER(TRIM(D443)),2,1))/10)+MOD(2*VALUE(MID(UPPER(TRIM(D443)),2,1)),10))+(INT(2*VALUE(MID(UPPER(TRIM(D443)),4,1))/10)+MOD(2*VALUE(MID(UPPER(TRIM(D443)),4,1)),10))+(INT(2*VALUE(MID(UPPER(TRIM(D443)),6,1))/10)+MOD(2*VALUE(MID(UPPER(TRIM(D443)),6,1)),10))+(INT(2*VALUE(MID(UPPER(TRIM(D443)),8,1))/10)+MOD(2*VALUE(MID(UPPER(TRIM(D443)),8,1)),10)),10),10)+1,1)),"OK","REVISAR")),"REVISAR")))</f>
        <v/>
      </c>
      <c r="Q443">
        <f>IF(B443="","",IF(COUNTIFS($B$2:$B$501,B443,$D$2:$D$501,D443)&gt;1,"DUPLICADA",""))</f>
        <v/>
      </c>
      <c r="R443">
        <f>IF(A443="","",ROUNDUP(MONTH(A443)/3,0))</f>
        <v/>
      </c>
      <c r="S443" s="3" t="n"/>
    </row>
    <row r="444">
      <c r="A444" s="2" t="n"/>
      <c r="B444" s="3" t="n"/>
      <c r="C444" s="3" t="n"/>
      <c r="D444" s="3" t="n"/>
      <c r="E444" s="4" t="n"/>
      <c r="F444" s="4" t="n"/>
      <c r="G444" s="4" t="n"/>
      <c r="H444" s="4" t="n"/>
      <c r="I444" s="5">
        <f>IF(E444="","",ROUND(E444*0.21,2))</f>
        <v/>
      </c>
      <c r="J444" s="5">
        <f>IF(F444="","",ROUND(F444*0.1,2))</f>
        <v/>
      </c>
      <c r="K444" s="5">
        <f>IF(G444="","",ROUND(G444*0.04,2))</f>
        <v/>
      </c>
      <c r="L444" s="4" t="n"/>
      <c r="M444" s="4" t="n"/>
      <c r="N444" s="5">
        <f>IF(A444="","",SUM(E444:K444)-N(L444))</f>
        <v/>
      </c>
      <c r="O444">
        <f>IF(OR(A444="",M444=""),"",IF(ABS(M444-N444)&lt;=0.02,"OK","REVISAR"))</f>
        <v/>
      </c>
      <c r="P444">
        <f>IF(D444="","",IF(LEN(TRIM(D444))&lt;&gt;9,"REVISAR",IFERROR(IF(OR(ISNUMBER(VALUE(LEFT(UPPER(TRIM(D444)),1))),LEFT(UPPER(TRIM(D444)),1)="X",LEFT(UPPER(TRIM(D444)),1)="Y",LEFT(UPPER(TRIM(D444)),1)="Z"),IF(MID("TRWAGMYFPDXBNJZSQVHLCKE",MOD(VALUE(SUBSTITUTE(SUBSTITUTE(SUBSTITUTE(LEFT(UPPER(TRIM(D444)),8),"X","0"),"Y","1"),"Z","2")),23)+1,1)=RIGHT(UPPER(TRIM(D444)),1),"OK","REVISAR"),IF(OR(RIGHT(UPPER(TRIM(D444)),1)=TEXT(MOD(10-MOD((VALUE(MID(UPPER(TRIM(D444)),3,1))+VALUE(MID(UPPER(TRIM(D444)),5,1))+VALUE(MID(UPPER(TRIM(D444)),7,1)))+(INT(2*VALUE(MID(UPPER(TRIM(D444)),2,1))/10)+MOD(2*VALUE(MID(UPPER(TRIM(D444)),2,1)),10))+(INT(2*VALUE(MID(UPPER(TRIM(D444)),4,1))/10)+MOD(2*VALUE(MID(UPPER(TRIM(D444)),4,1)),10))+(INT(2*VALUE(MID(UPPER(TRIM(D444)),6,1))/10)+MOD(2*VALUE(MID(UPPER(TRIM(D444)),6,1)),10))+(INT(2*VALUE(MID(UPPER(TRIM(D444)),8,1))/10)+MOD(2*VALUE(MID(UPPER(TRIM(D444)),8,1)),10)),10),10),"0"),RIGHT(UPPER(TRIM(D444)),1)=MID("JABCDEFGHI",MOD(10-MOD((VALUE(MID(UPPER(TRIM(D444)),3,1))+VALUE(MID(UPPER(TRIM(D444)),5,1))+VALUE(MID(UPPER(TRIM(D444)),7,1)))+(INT(2*VALUE(MID(UPPER(TRIM(D444)),2,1))/10)+MOD(2*VALUE(MID(UPPER(TRIM(D444)),2,1)),10))+(INT(2*VALUE(MID(UPPER(TRIM(D444)),4,1))/10)+MOD(2*VALUE(MID(UPPER(TRIM(D444)),4,1)),10))+(INT(2*VALUE(MID(UPPER(TRIM(D444)),6,1))/10)+MOD(2*VALUE(MID(UPPER(TRIM(D444)),6,1)),10))+(INT(2*VALUE(MID(UPPER(TRIM(D444)),8,1))/10)+MOD(2*VALUE(MID(UPPER(TRIM(D444)),8,1)),10)),10),10)+1,1)),"OK","REVISAR")),"REVISAR")))</f>
        <v/>
      </c>
      <c r="Q444">
        <f>IF(B444="","",IF(COUNTIFS($B$2:$B$501,B444,$D$2:$D$501,D444)&gt;1,"DUPLICADA",""))</f>
        <v/>
      </c>
      <c r="R444">
        <f>IF(A444="","",ROUNDUP(MONTH(A444)/3,0))</f>
        <v/>
      </c>
      <c r="S444" s="3" t="n"/>
    </row>
    <row r="445">
      <c r="A445" s="2" t="n"/>
      <c r="B445" s="3" t="n"/>
      <c r="C445" s="3" t="n"/>
      <c r="D445" s="3" t="n"/>
      <c r="E445" s="4" t="n"/>
      <c r="F445" s="4" t="n"/>
      <c r="G445" s="4" t="n"/>
      <c r="H445" s="4" t="n"/>
      <c r="I445" s="5">
        <f>IF(E445="","",ROUND(E445*0.21,2))</f>
        <v/>
      </c>
      <c r="J445" s="5">
        <f>IF(F445="","",ROUND(F445*0.1,2))</f>
        <v/>
      </c>
      <c r="K445" s="5">
        <f>IF(G445="","",ROUND(G445*0.04,2))</f>
        <v/>
      </c>
      <c r="L445" s="4" t="n"/>
      <c r="M445" s="4" t="n"/>
      <c r="N445" s="5">
        <f>IF(A445="","",SUM(E445:K445)-N(L445))</f>
        <v/>
      </c>
      <c r="O445">
        <f>IF(OR(A445="",M445=""),"",IF(ABS(M445-N445)&lt;=0.02,"OK","REVISAR"))</f>
        <v/>
      </c>
      <c r="P445">
        <f>IF(D445="","",IF(LEN(TRIM(D445))&lt;&gt;9,"REVISAR",IFERROR(IF(OR(ISNUMBER(VALUE(LEFT(UPPER(TRIM(D445)),1))),LEFT(UPPER(TRIM(D445)),1)="X",LEFT(UPPER(TRIM(D445)),1)="Y",LEFT(UPPER(TRIM(D445)),1)="Z"),IF(MID("TRWAGMYFPDXBNJZSQVHLCKE",MOD(VALUE(SUBSTITUTE(SUBSTITUTE(SUBSTITUTE(LEFT(UPPER(TRIM(D445)),8),"X","0"),"Y","1"),"Z","2")),23)+1,1)=RIGHT(UPPER(TRIM(D445)),1),"OK","REVISAR"),IF(OR(RIGHT(UPPER(TRIM(D445)),1)=TEXT(MOD(10-MOD((VALUE(MID(UPPER(TRIM(D445)),3,1))+VALUE(MID(UPPER(TRIM(D445)),5,1))+VALUE(MID(UPPER(TRIM(D445)),7,1)))+(INT(2*VALUE(MID(UPPER(TRIM(D445)),2,1))/10)+MOD(2*VALUE(MID(UPPER(TRIM(D445)),2,1)),10))+(INT(2*VALUE(MID(UPPER(TRIM(D445)),4,1))/10)+MOD(2*VALUE(MID(UPPER(TRIM(D445)),4,1)),10))+(INT(2*VALUE(MID(UPPER(TRIM(D445)),6,1))/10)+MOD(2*VALUE(MID(UPPER(TRIM(D445)),6,1)),10))+(INT(2*VALUE(MID(UPPER(TRIM(D445)),8,1))/10)+MOD(2*VALUE(MID(UPPER(TRIM(D445)),8,1)),10)),10),10),"0"),RIGHT(UPPER(TRIM(D445)),1)=MID("JABCDEFGHI",MOD(10-MOD((VALUE(MID(UPPER(TRIM(D445)),3,1))+VALUE(MID(UPPER(TRIM(D445)),5,1))+VALUE(MID(UPPER(TRIM(D445)),7,1)))+(INT(2*VALUE(MID(UPPER(TRIM(D445)),2,1))/10)+MOD(2*VALUE(MID(UPPER(TRIM(D445)),2,1)),10))+(INT(2*VALUE(MID(UPPER(TRIM(D445)),4,1))/10)+MOD(2*VALUE(MID(UPPER(TRIM(D445)),4,1)),10))+(INT(2*VALUE(MID(UPPER(TRIM(D445)),6,1))/10)+MOD(2*VALUE(MID(UPPER(TRIM(D445)),6,1)),10))+(INT(2*VALUE(MID(UPPER(TRIM(D445)),8,1))/10)+MOD(2*VALUE(MID(UPPER(TRIM(D445)),8,1)),10)),10),10)+1,1)),"OK","REVISAR")),"REVISAR")))</f>
        <v/>
      </c>
      <c r="Q445">
        <f>IF(B445="","",IF(COUNTIFS($B$2:$B$501,B445,$D$2:$D$501,D445)&gt;1,"DUPLICADA",""))</f>
        <v/>
      </c>
      <c r="R445">
        <f>IF(A445="","",ROUNDUP(MONTH(A445)/3,0))</f>
        <v/>
      </c>
      <c r="S445" s="3" t="n"/>
    </row>
    <row r="446">
      <c r="A446" s="2" t="n"/>
      <c r="B446" s="3" t="n"/>
      <c r="C446" s="3" t="n"/>
      <c r="D446" s="3" t="n"/>
      <c r="E446" s="4" t="n"/>
      <c r="F446" s="4" t="n"/>
      <c r="G446" s="4" t="n"/>
      <c r="H446" s="4" t="n"/>
      <c r="I446" s="5">
        <f>IF(E446="","",ROUND(E446*0.21,2))</f>
        <v/>
      </c>
      <c r="J446" s="5">
        <f>IF(F446="","",ROUND(F446*0.1,2))</f>
        <v/>
      </c>
      <c r="K446" s="5">
        <f>IF(G446="","",ROUND(G446*0.04,2))</f>
        <v/>
      </c>
      <c r="L446" s="4" t="n"/>
      <c r="M446" s="4" t="n"/>
      <c r="N446" s="5">
        <f>IF(A446="","",SUM(E446:K446)-N(L446))</f>
        <v/>
      </c>
      <c r="O446">
        <f>IF(OR(A446="",M446=""),"",IF(ABS(M446-N446)&lt;=0.02,"OK","REVISAR"))</f>
        <v/>
      </c>
      <c r="P446">
        <f>IF(D446="","",IF(LEN(TRIM(D446))&lt;&gt;9,"REVISAR",IFERROR(IF(OR(ISNUMBER(VALUE(LEFT(UPPER(TRIM(D446)),1))),LEFT(UPPER(TRIM(D446)),1)="X",LEFT(UPPER(TRIM(D446)),1)="Y",LEFT(UPPER(TRIM(D446)),1)="Z"),IF(MID("TRWAGMYFPDXBNJZSQVHLCKE",MOD(VALUE(SUBSTITUTE(SUBSTITUTE(SUBSTITUTE(LEFT(UPPER(TRIM(D446)),8),"X","0"),"Y","1"),"Z","2")),23)+1,1)=RIGHT(UPPER(TRIM(D446)),1),"OK","REVISAR"),IF(OR(RIGHT(UPPER(TRIM(D446)),1)=TEXT(MOD(10-MOD((VALUE(MID(UPPER(TRIM(D446)),3,1))+VALUE(MID(UPPER(TRIM(D446)),5,1))+VALUE(MID(UPPER(TRIM(D446)),7,1)))+(INT(2*VALUE(MID(UPPER(TRIM(D446)),2,1))/10)+MOD(2*VALUE(MID(UPPER(TRIM(D446)),2,1)),10))+(INT(2*VALUE(MID(UPPER(TRIM(D446)),4,1))/10)+MOD(2*VALUE(MID(UPPER(TRIM(D446)),4,1)),10))+(INT(2*VALUE(MID(UPPER(TRIM(D446)),6,1))/10)+MOD(2*VALUE(MID(UPPER(TRIM(D446)),6,1)),10))+(INT(2*VALUE(MID(UPPER(TRIM(D446)),8,1))/10)+MOD(2*VALUE(MID(UPPER(TRIM(D446)),8,1)),10)),10),10),"0"),RIGHT(UPPER(TRIM(D446)),1)=MID("JABCDEFGHI",MOD(10-MOD((VALUE(MID(UPPER(TRIM(D446)),3,1))+VALUE(MID(UPPER(TRIM(D446)),5,1))+VALUE(MID(UPPER(TRIM(D446)),7,1)))+(INT(2*VALUE(MID(UPPER(TRIM(D446)),2,1))/10)+MOD(2*VALUE(MID(UPPER(TRIM(D446)),2,1)),10))+(INT(2*VALUE(MID(UPPER(TRIM(D446)),4,1))/10)+MOD(2*VALUE(MID(UPPER(TRIM(D446)),4,1)),10))+(INT(2*VALUE(MID(UPPER(TRIM(D446)),6,1))/10)+MOD(2*VALUE(MID(UPPER(TRIM(D446)),6,1)),10))+(INT(2*VALUE(MID(UPPER(TRIM(D446)),8,1))/10)+MOD(2*VALUE(MID(UPPER(TRIM(D446)),8,1)),10)),10),10)+1,1)),"OK","REVISAR")),"REVISAR")))</f>
        <v/>
      </c>
      <c r="Q446">
        <f>IF(B446="","",IF(COUNTIFS($B$2:$B$501,B446,$D$2:$D$501,D446)&gt;1,"DUPLICADA",""))</f>
        <v/>
      </c>
      <c r="R446">
        <f>IF(A446="","",ROUNDUP(MONTH(A446)/3,0))</f>
        <v/>
      </c>
      <c r="S446" s="3" t="n"/>
    </row>
    <row r="447">
      <c r="A447" s="2" t="n"/>
      <c r="B447" s="3" t="n"/>
      <c r="C447" s="3" t="n"/>
      <c r="D447" s="3" t="n"/>
      <c r="E447" s="4" t="n"/>
      <c r="F447" s="4" t="n"/>
      <c r="G447" s="4" t="n"/>
      <c r="H447" s="4" t="n"/>
      <c r="I447" s="5">
        <f>IF(E447="","",ROUND(E447*0.21,2))</f>
        <v/>
      </c>
      <c r="J447" s="5">
        <f>IF(F447="","",ROUND(F447*0.1,2))</f>
        <v/>
      </c>
      <c r="K447" s="5">
        <f>IF(G447="","",ROUND(G447*0.04,2))</f>
        <v/>
      </c>
      <c r="L447" s="4" t="n"/>
      <c r="M447" s="4" t="n"/>
      <c r="N447" s="5">
        <f>IF(A447="","",SUM(E447:K447)-N(L447))</f>
        <v/>
      </c>
      <c r="O447">
        <f>IF(OR(A447="",M447=""),"",IF(ABS(M447-N447)&lt;=0.02,"OK","REVISAR"))</f>
        <v/>
      </c>
      <c r="P447">
        <f>IF(D447="","",IF(LEN(TRIM(D447))&lt;&gt;9,"REVISAR",IFERROR(IF(OR(ISNUMBER(VALUE(LEFT(UPPER(TRIM(D447)),1))),LEFT(UPPER(TRIM(D447)),1)="X",LEFT(UPPER(TRIM(D447)),1)="Y",LEFT(UPPER(TRIM(D447)),1)="Z"),IF(MID("TRWAGMYFPDXBNJZSQVHLCKE",MOD(VALUE(SUBSTITUTE(SUBSTITUTE(SUBSTITUTE(LEFT(UPPER(TRIM(D447)),8),"X","0"),"Y","1"),"Z","2")),23)+1,1)=RIGHT(UPPER(TRIM(D447)),1),"OK","REVISAR"),IF(OR(RIGHT(UPPER(TRIM(D447)),1)=TEXT(MOD(10-MOD((VALUE(MID(UPPER(TRIM(D447)),3,1))+VALUE(MID(UPPER(TRIM(D447)),5,1))+VALUE(MID(UPPER(TRIM(D447)),7,1)))+(INT(2*VALUE(MID(UPPER(TRIM(D447)),2,1))/10)+MOD(2*VALUE(MID(UPPER(TRIM(D447)),2,1)),10))+(INT(2*VALUE(MID(UPPER(TRIM(D447)),4,1))/10)+MOD(2*VALUE(MID(UPPER(TRIM(D447)),4,1)),10))+(INT(2*VALUE(MID(UPPER(TRIM(D447)),6,1))/10)+MOD(2*VALUE(MID(UPPER(TRIM(D447)),6,1)),10))+(INT(2*VALUE(MID(UPPER(TRIM(D447)),8,1))/10)+MOD(2*VALUE(MID(UPPER(TRIM(D447)),8,1)),10)),10),10),"0"),RIGHT(UPPER(TRIM(D447)),1)=MID("JABCDEFGHI",MOD(10-MOD((VALUE(MID(UPPER(TRIM(D447)),3,1))+VALUE(MID(UPPER(TRIM(D447)),5,1))+VALUE(MID(UPPER(TRIM(D447)),7,1)))+(INT(2*VALUE(MID(UPPER(TRIM(D447)),2,1))/10)+MOD(2*VALUE(MID(UPPER(TRIM(D447)),2,1)),10))+(INT(2*VALUE(MID(UPPER(TRIM(D447)),4,1))/10)+MOD(2*VALUE(MID(UPPER(TRIM(D447)),4,1)),10))+(INT(2*VALUE(MID(UPPER(TRIM(D447)),6,1))/10)+MOD(2*VALUE(MID(UPPER(TRIM(D447)),6,1)),10))+(INT(2*VALUE(MID(UPPER(TRIM(D447)),8,1))/10)+MOD(2*VALUE(MID(UPPER(TRIM(D447)),8,1)),10)),10),10)+1,1)),"OK","REVISAR")),"REVISAR")))</f>
        <v/>
      </c>
      <c r="Q447">
        <f>IF(B447="","",IF(COUNTIFS($B$2:$B$501,B447,$D$2:$D$501,D447)&gt;1,"DUPLICADA",""))</f>
        <v/>
      </c>
      <c r="R447">
        <f>IF(A447="","",ROUNDUP(MONTH(A447)/3,0))</f>
        <v/>
      </c>
      <c r="S447" s="3" t="n"/>
    </row>
    <row r="448">
      <c r="A448" s="2" t="n"/>
      <c r="B448" s="3" t="n"/>
      <c r="C448" s="3" t="n"/>
      <c r="D448" s="3" t="n"/>
      <c r="E448" s="4" t="n"/>
      <c r="F448" s="4" t="n"/>
      <c r="G448" s="4" t="n"/>
      <c r="H448" s="4" t="n"/>
      <c r="I448" s="5">
        <f>IF(E448="","",ROUND(E448*0.21,2))</f>
        <v/>
      </c>
      <c r="J448" s="5">
        <f>IF(F448="","",ROUND(F448*0.1,2))</f>
        <v/>
      </c>
      <c r="K448" s="5">
        <f>IF(G448="","",ROUND(G448*0.04,2))</f>
        <v/>
      </c>
      <c r="L448" s="4" t="n"/>
      <c r="M448" s="4" t="n"/>
      <c r="N448" s="5">
        <f>IF(A448="","",SUM(E448:K448)-N(L448))</f>
        <v/>
      </c>
      <c r="O448">
        <f>IF(OR(A448="",M448=""),"",IF(ABS(M448-N448)&lt;=0.02,"OK","REVISAR"))</f>
        <v/>
      </c>
      <c r="P448">
        <f>IF(D448="","",IF(LEN(TRIM(D448))&lt;&gt;9,"REVISAR",IFERROR(IF(OR(ISNUMBER(VALUE(LEFT(UPPER(TRIM(D448)),1))),LEFT(UPPER(TRIM(D448)),1)="X",LEFT(UPPER(TRIM(D448)),1)="Y",LEFT(UPPER(TRIM(D448)),1)="Z"),IF(MID("TRWAGMYFPDXBNJZSQVHLCKE",MOD(VALUE(SUBSTITUTE(SUBSTITUTE(SUBSTITUTE(LEFT(UPPER(TRIM(D448)),8),"X","0"),"Y","1"),"Z","2")),23)+1,1)=RIGHT(UPPER(TRIM(D448)),1),"OK","REVISAR"),IF(OR(RIGHT(UPPER(TRIM(D448)),1)=TEXT(MOD(10-MOD((VALUE(MID(UPPER(TRIM(D448)),3,1))+VALUE(MID(UPPER(TRIM(D448)),5,1))+VALUE(MID(UPPER(TRIM(D448)),7,1)))+(INT(2*VALUE(MID(UPPER(TRIM(D448)),2,1))/10)+MOD(2*VALUE(MID(UPPER(TRIM(D448)),2,1)),10))+(INT(2*VALUE(MID(UPPER(TRIM(D448)),4,1))/10)+MOD(2*VALUE(MID(UPPER(TRIM(D448)),4,1)),10))+(INT(2*VALUE(MID(UPPER(TRIM(D448)),6,1))/10)+MOD(2*VALUE(MID(UPPER(TRIM(D448)),6,1)),10))+(INT(2*VALUE(MID(UPPER(TRIM(D448)),8,1))/10)+MOD(2*VALUE(MID(UPPER(TRIM(D448)),8,1)),10)),10),10),"0"),RIGHT(UPPER(TRIM(D448)),1)=MID("JABCDEFGHI",MOD(10-MOD((VALUE(MID(UPPER(TRIM(D448)),3,1))+VALUE(MID(UPPER(TRIM(D448)),5,1))+VALUE(MID(UPPER(TRIM(D448)),7,1)))+(INT(2*VALUE(MID(UPPER(TRIM(D448)),2,1))/10)+MOD(2*VALUE(MID(UPPER(TRIM(D448)),2,1)),10))+(INT(2*VALUE(MID(UPPER(TRIM(D448)),4,1))/10)+MOD(2*VALUE(MID(UPPER(TRIM(D448)),4,1)),10))+(INT(2*VALUE(MID(UPPER(TRIM(D448)),6,1))/10)+MOD(2*VALUE(MID(UPPER(TRIM(D448)),6,1)),10))+(INT(2*VALUE(MID(UPPER(TRIM(D448)),8,1))/10)+MOD(2*VALUE(MID(UPPER(TRIM(D448)),8,1)),10)),10),10)+1,1)),"OK","REVISAR")),"REVISAR")))</f>
        <v/>
      </c>
      <c r="Q448">
        <f>IF(B448="","",IF(COUNTIFS($B$2:$B$501,B448,$D$2:$D$501,D448)&gt;1,"DUPLICADA",""))</f>
        <v/>
      </c>
      <c r="R448">
        <f>IF(A448="","",ROUNDUP(MONTH(A448)/3,0))</f>
        <v/>
      </c>
      <c r="S448" s="3" t="n"/>
    </row>
    <row r="449">
      <c r="A449" s="2" t="n"/>
      <c r="B449" s="3" t="n"/>
      <c r="C449" s="3" t="n"/>
      <c r="D449" s="3" t="n"/>
      <c r="E449" s="4" t="n"/>
      <c r="F449" s="4" t="n"/>
      <c r="G449" s="4" t="n"/>
      <c r="H449" s="4" t="n"/>
      <c r="I449" s="5">
        <f>IF(E449="","",ROUND(E449*0.21,2))</f>
        <v/>
      </c>
      <c r="J449" s="5">
        <f>IF(F449="","",ROUND(F449*0.1,2))</f>
        <v/>
      </c>
      <c r="K449" s="5">
        <f>IF(G449="","",ROUND(G449*0.04,2))</f>
        <v/>
      </c>
      <c r="L449" s="4" t="n"/>
      <c r="M449" s="4" t="n"/>
      <c r="N449" s="5">
        <f>IF(A449="","",SUM(E449:K449)-N(L449))</f>
        <v/>
      </c>
      <c r="O449">
        <f>IF(OR(A449="",M449=""),"",IF(ABS(M449-N449)&lt;=0.02,"OK","REVISAR"))</f>
        <v/>
      </c>
      <c r="P449">
        <f>IF(D449="","",IF(LEN(TRIM(D449))&lt;&gt;9,"REVISAR",IFERROR(IF(OR(ISNUMBER(VALUE(LEFT(UPPER(TRIM(D449)),1))),LEFT(UPPER(TRIM(D449)),1)="X",LEFT(UPPER(TRIM(D449)),1)="Y",LEFT(UPPER(TRIM(D449)),1)="Z"),IF(MID("TRWAGMYFPDXBNJZSQVHLCKE",MOD(VALUE(SUBSTITUTE(SUBSTITUTE(SUBSTITUTE(LEFT(UPPER(TRIM(D449)),8),"X","0"),"Y","1"),"Z","2")),23)+1,1)=RIGHT(UPPER(TRIM(D449)),1),"OK","REVISAR"),IF(OR(RIGHT(UPPER(TRIM(D449)),1)=TEXT(MOD(10-MOD((VALUE(MID(UPPER(TRIM(D449)),3,1))+VALUE(MID(UPPER(TRIM(D449)),5,1))+VALUE(MID(UPPER(TRIM(D449)),7,1)))+(INT(2*VALUE(MID(UPPER(TRIM(D449)),2,1))/10)+MOD(2*VALUE(MID(UPPER(TRIM(D449)),2,1)),10))+(INT(2*VALUE(MID(UPPER(TRIM(D449)),4,1))/10)+MOD(2*VALUE(MID(UPPER(TRIM(D449)),4,1)),10))+(INT(2*VALUE(MID(UPPER(TRIM(D449)),6,1))/10)+MOD(2*VALUE(MID(UPPER(TRIM(D449)),6,1)),10))+(INT(2*VALUE(MID(UPPER(TRIM(D449)),8,1))/10)+MOD(2*VALUE(MID(UPPER(TRIM(D449)),8,1)),10)),10),10),"0"),RIGHT(UPPER(TRIM(D449)),1)=MID("JABCDEFGHI",MOD(10-MOD((VALUE(MID(UPPER(TRIM(D449)),3,1))+VALUE(MID(UPPER(TRIM(D449)),5,1))+VALUE(MID(UPPER(TRIM(D449)),7,1)))+(INT(2*VALUE(MID(UPPER(TRIM(D449)),2,1))/10)+MOD(2*VALUE(MID(UPPER(TRIM(D449)),2,1)),10))+(INT(2*VALUE(MID(UPPER(TRIM(D449)),4,1))/10)+MOD(2*VALUE(MID(UPPER(TRIM(D449)),4,1)),10))+(INT(2*VALUE(MID(UPPER(TRIM(D449)),6,1))/10)+MOD(2*VALUE(MID(UPPER(TRIM(D449)),6,1)),10))+(INT(2*VALUE(MID(UPPER(TRIM(D449)),8,1))/10)+MOD(2*VALUE(MID(UPPER(TRIM(D449)),8,1)),10)),10),10)+1,1)),"OK","REVISAR")),"REVISAR")))</f>
        <v/>
      </c>
      <c r="Q449">
        <f>IF(B449="","",IF(COUNTIFS($B$2:$B$501,B449,$D$2:$D$501,D449)&gt;1,"DUPLICADA",""))</f>
        <v/>
      </c>
      <c r="R449">
        <f>IF(A449="","",ROUNDUP(MONTH(A449)/3,0))</f>
        <v/>
      </c>
      <c r="S449" s="3" t="n"/>
    </row>
    <row r="450">
      <c r="A450" s="2" t="n"/>
      <c r="B450" s="3" t="n"/>
      <c r="C450" s="3" t="n"/>
      <c r="D450" s="3" t="n"/>
      <c r="E450" s="4" t="n"/>
      <c r="F450" s="4" t="n"/>
      <c r="G450" s="4" t="n"/>
      <c r="H450" s="4" t="n"/>
      <c r="I450" s="5">
        <f>IF(E450="","",ROUND(E450*0.21,2))</f>
        <v/>
      </c>
      <c r="J450" s="5">
        <f>IF(F450="","",ROUND(F450*0.1,2))</f>
        <v/>
      </c>
      <c r="K450" s="5">
        <f>IF(G450="","",ROUND(G450*0.04,2))</f>
        <v/>
      </c>
      <c r="L450" s="4" t="n"/>
      <c r="M450" s="4" t="n"/>
      <c r="N450" s="5">
        <f>IF(A450="","",SUM(E450:K450)-N(L450))</f>
        <v/>
      </c>
      <c r="O450">
        <f>IF(OR(A450="",M450=""),"",IF(ABS(M450-N450)&lt;=0.02,"OK","REVISAR"))</f>
        <v/>
      </c>
      <c r="P450">
        <f>IF(D450="","",IF(LEN(TRIM(D450))&lt;&gt;9,"REVISAR",IFERROR(IF(OR(ISNUMBER(VALUE(LEFT(UPPER(TRIM(D450)),1))),LEFT(UPPER(TRIM(D450)),1)="X",LEFT(UPPER(TRIM(D450)),1)="Y",LEFT(UPPER(TRIM(D450)),1)="Z"),IF(MID("TRWAGMYFPDXBNJZSQVHLCKE",MOD(VALUE(SUBSTITUTE(SUBSTITUTE(SUBSTITUTE(LEFT(UPPER(TRIM(D450)),8),"X","0"),"Y","1"),"Z","2")),23)+1,1)=RIGHT(UPPER(TRIM(D450)),1),"OK","REVISAR"),IF(OR(RIGHT(UPPER(TRIM(D450)),1)=TEXT(MOD(10-MOD((VALUE(MID(UPPER(TRIM(D450)),3,1))+VALUE(MID(UPPER(TRIM(D450)),5,1))+VALUE(MID(UPPER(TRIM(D450)),7,1)))+(INT(2*VALUE(MID(UPPER(TRIM(D450)),2,1))/10)+MOD(2*VALUE(MID(UPPER(TRIM(D450)),2,1)),10))+(INT(2*VALUE(MID(UPPER(TRIM(D450)),4,1))/10)+MOD(2*VALUE(MID(UPPER(TRIM(D450)),4,1)),10))+(INT(2*VALUE(MID(UPPER(TRIM(D450)),6,1))/10)+MOD(2*VALUE(MID(UPPER(TRIM(D450)),6,1)),10))+(INT(2*VALUE(MID(UPPER(TRIM(D450)),8,1))/10)+MOD(2*VALUE(MID(UPPER(TRIM(D450)),8,1)),10)),10),10),"0"),RIGHT(UPPER(TRIM(D450)),1)=MID("JABCDEFGHI",MOD(10-MOD((VALUE(MID(UPPER(TRIM(D450)),3,1))+VALUE(MID(UPPER(TRIM(D450)),5,1))+VALUE(MID(UPPER(TRIM(D450)),7,1)))+(INT(2*VALUE(MID(UPPER(TRIM(D450)),2,1))/10)+MOD(2*VALUE(MID(UPPER(TRIM(D450)),2,1)),10))+(INT(2*VALUE(MID(UPPER(TRIM(D450)),4,1))/10)+MOD(2*VALUE(MID(UPPER(TRIM(D450)),4,1)),10))+(INT(2*VALUE(MID(UPPER(TRIM(D450)),6,1))/10)+MOD(2*VALUE(MID(UPPER(TRIM(D450)),6,1)),10))+(INT(2*VALUE(MID(UPPER(TRIM(D450)),8,1))/10)+MOD(2*VALUE(MID(UPPER(TRIM(D450)),8,1)),10)),10),10)+1,1)),"OK","REVISAR")),"REVISAR")))</f>
        <v/>
      </c>
      <c r="Q450">
        <f>IF(B450="","",IF(COUNTIFS($B$2:$B$501,B450,$D$2:$D$501,D450)&gt;1,"DUPLICADA",""))</f>
        <v/>
      </c>
      <c r="R450">
        <f>IF(A450="","",ROUNDUP(MONTH(A450)/3,0))</f>
        <v/>
      </c>
      <c r="S450" s="3" t="n"/>
    </row>
    <row r="451">
      <c r="A451" s="2" t="n"/>
      <c r="B451" s="3" t="n"/>
      <c r="C451" s="3" t="n"/>
      <c r="D451" s="3" t="n"/>
      <c r="E451" s="4" t="n"/>
      <c r="F451" s="4" t="n"/>
      <c r="G451" s="4" t="n"/>
      <c r="H451" s="4" t="n"/>
      <c r="I451" s="5">
        <f>IF(E451="","",ROUND(E451*0.21,2))</f>
        <v/>
      </c>
      <c r="J451" s="5">
        <f>IF(F451="","",ROUND(F451*0.1,2))</f>
        <v/>
      </c>
      <c r="K451" s="5">
        <f>IF(G451="","",ROUND(G451*0.04,2))</f>
        <v/>
      </c>
      <c r="L451" s="4" t="n"/>
      <c r="M451" s="4" t="n"/>
      <c r="N451" s="5">
        <f>IF(A451="","",SUM(E451:K451)-N(L451))</f>
        <v/>
      </c>
      <c r="O451">
        <f>IF(OR(A451="",M451=""),"",IF(ABS(M451-N451)&lt;=0.02,"OK","REVISAR"))</f>
        <v/>
      </c>
      <c r="P451">
        <f>IF(D451="","",IF(LEN(TRIM(D451))&lt;&gt;9,"REVISAR",IFERROR(IF(OR(ISNUMBER(VALUE(LEFT(UPPER(TRIM(D451)),1))),LEFT(UPPER(TRIM(D451)),1)="X",LEFT(UPPER(TRIM(D451)),1)="Y",LEFT(UPPER(TRIM(D451)),1)="Z"),IF(MID("TRWAGMYFPDXBNJZSQVHLCKE",MOD(VALUE(SUBSTITUTE(SUBSTITUTE(SUBSTITUTE(LEFT(UPPER(TRIM(D451)),8),"X","0"),"Y","1"),"Z","2")),23)+1,1)=RIGHT(UPPER(TRIM(D451)),1),"OK","REVISAR"),IF(OR(RIGHT(UPPER(TRIM(D451)),1)=TEXT(MOD(10-MOD((VALUE(MID(UPPER(TRIM(D451)),3,1))+VALUE(MID(UPPER(TRIM(D451)),5,1))+VALUE(MID(UPPER(TRIM(D451)),7,1)))+(INT(2*VALUE(MID(UPPER(TRIM(D451)),2,1))/10)+MOD(2*VALUE(MID(UPPER(TRIM(D451)),2,1)),10))+(INT(2*VALUE(MID(UPPER(TRIM(D451)),4,1))/10)+MOD(2*VALUE(MID(UPPER(TRIM(D451)),4,1)),10))+(INT(2*VALUE(MID(UPPER(TRIM(D451)),6,1))/10)+MOD(2*VALUE(MID(UPPER(TRIM(D451)),6,1)),10))+(INT(2*VALUE(MID(UPPER(TRIM(D451)),8,1))/10)+MOD(2*VALUE(MID(UPPER(TRIM(D451)),8,1)),10)),10),10),"0"),RIGHT(UPPER(TRIM(D451)),1)=MID("JABCDEFGHI",MOD(10-MOD((VALUE(MID(UPPER(TRIM(D451)),3,1))+VALUE(MID(UPPER(TRIM(D451)),5,1))+VALUE(MID(UPPER(TRIM(D451)),7,1)))+(INT(2*VALUE(MID(UPPER(TRIM(D451)),2,1))/10)+MOD(2*VALUE(MID(UPPER(TRIM(D451)),2,1)),10))+(INT(2*VALUE(MID(UPPER(TRIM(D451)),4,1))/10)+MOD(2*VALUE(MID(UPPER(TRIM(D451)),4,1)),10))+(INT(2*VALUE(MID(UPPER(TRIM(D451)),6,1))/10)+MOD(2*VALUE(MID(UPPER(TRIM(D451)),6,1)),10))+(INT(2*VALUE(MID(UPPER(TRIM(D451)),8,1))/10)+MOD(2*VALUE(MID(UPPER(TRIM(D451)),8,1)),10)),10),10)+1,1)),"OK","REVISAR")),"REVISAR")))</f>
        <v/>
      </c>
      <c r="Q451">
        <f>IF(B451="","",IF(COUNTIFS($B$2:$B$501,B451,$D$2:$D$501,D451)&gt;1,"DUPLICADA",""))</f>
        <v/>
      </c>
      <c r="R451">
        <f>IF(A451="","",ROUNDUP(MONTH(A451)/3,0))</f>
        <v/>
      </c>
      <c r="S451" s="3" t="n"/>
    </row>
    <row r="452">
      <c r="A452" s="2" t="n"/>
      <c r="B452" s="3" t="n"/>
      <c r="C452" s="3" t="n"/>
      <c r="D452" s="3" t="n"/>
      <c r="E452" s="4" t="n"/>
      <c r="F452" s="4" t="n"/>
      <c r="G452" s="4" t="n"/>
      <c r="H452" s="4" t="n"/>
      <c r="I452" s="5">
        <f>IF(E452="","",ROUND(E452*0.21,2))</f>
        <v/>
      </c>
      <c r="J452" s="5">
        <f>IF(F452="","",ROUND(F452*0.1,2))</f>
        <v/>
      </c>
      <c r="K452" s="5">
        <f>IF(G452="","",ROUND(G452*0.04,2))</f>
        <v/>
      </c>
      <c r="L452" s="4" t="n"/>
      <c r="M452" s="4" t="n"/>
      <c r="N452" s="5">
        <f>IF(A452="","",SUM(E452:K452)-N(L452))</f>
        <v/>
      </c>
      <c r="O452">
        <f>IF(OR(A452="",M452=""),"",IF(ABS(M452-N452)&lt;=0.02,"OK","REVISAR"))</f>
        <v/>
      </c>
      <c r="P452">
        <f>IF(D452="","",IF(LEN(TRIM(D452))&lt;&gt;9,"REVISAR",IFERROR(IF(OR(ISNUMBER(VALUE(LEFT(UPPER(TRIM(D452)),1))),LEFT(UPPER(TRIM(D452)),1)="X",LEFT(UPPER(TRIM(D452)),1)="Y",LEFT(UPPER(TRIM(D452)),1)="Z"),IF(MID("TRWAGMYFPDXBNJZSQVHLCKE",MOD(VALUE(SUBSTITUTE(SUBSTITUTE(SUBSTITUTE(LEFT(UPPER(TRIM(D452)),8),"X","0"),"Y","1"),"Z","2")),23)+1,1)=RIGHT(UPPER(TRIM(D452)),1),"OK","REVISAR"),IF(OR(RIGHT(UPPER(TRIM(D452)),1)=TEXT(MOD(10-MOD((VALUE(MID(UPPER(TRIM(D452)),3,1))+VALUE(MID(UPPER(TRIM(D452)),5,1))+VALUE(MID(UPPER(TRIM(D452)),7,1)))+(INT(2*VALUE(MID(UPPER(TRIM(D452)),2,1))/10)+MOD(2*VALUE(MID(UPPER(TRIM(D452)),2,1)),10))+(INT(2*VALUE(MID(UPPER(TRIM(D452)),4,1))/10)+MOD(2*VALUE(MID(UPPER(TRIM(D452)),4,1)),10))+(INT(2*VALUE(MID(UPPER(TRIM(D452)),6,1))/10)+MOD(2*VALUE(MID(UPPER(TRIM(D452)),6,1)),10))+(INT(2*VALUE(MID(UPPER(TRIM(D452)),8,1))/10)+MOD(2*VALUE(MID(UPPER(TRIM(D452)),8,1)),10)),10),10),"0"),RIGHT(UPPER(TRIM(D452)),1)=MID("JABCDEFGHI",MOD(10-MOD((VALUE(MID(UPPER(TRIM(D452)),3,1))+VALUE(MID(UPPER(TRIM(D452)),5,1))+VALUE(MID(UPPER(TRIM(D452)),7,1)))+(INT(2*VALUE(MID(UPPER(TRIM(D452)),2,1))/10)+MOD(2*VALUE(MID(UPPER(TRIM(D452)),2,1)),10))+(INT(2*VALUE(MID(UPPER(TRIM(D452)),4,1))/10)+MOD(2*VALUE(MID(UPPER(TRIM(D452)),4,1)),10))+(INT(2*VALUE(MID(UPPER(TRIM(D452)),6,1))/10)+MOD(2*VALUE(MID(UPPER(TRIM(D452)),6,1)),10))+(INT(2*VALUE(MID(UPPER(TRIM(D452)),8,1))/10)+MOD(2*VALUE(MID(UPPER(TRIM(D452)),8,1)),10)),10),10)+1,1)),"OK","REVISAR")),"REVISAR")))</f>
        <v/>
      </c>
      <c r="Q452">
        <f>IF(B452="","",IF(COUNTIFS($B$2:$B$501,B452,$D$2:$D$501,D452)&gt;1,"DUPLICADA",""))</f>
        <v/>
      </c>
      <c r="R452">
        <f>IF(A452="","",ROUNDUP(MONTH(A452)/3,0))</f>
        <v/>
      </c>
      <c r="S452" s="3" t="n"/>
    </row>
    <row r="453">
      <c r="A453" s="2" t="n"/>
      <c r="B453" s="3" t="n"/>
      <c r="C453" s="3" t="n"/>
      <c r="D453" s="3" t="n"/>
      <c r="E453" s="4" t="n"/>
      <c r="F453" s="4" t="n"/>
      <c r="G453" s="4" t="n"/>
      <c r="H453" s="4" t="n"/>
      <c r="I453" s="5">
        <f>IF(E453="","",ROUND(E453*0.21,2))</f>
        <v/>
      </c>
      <c r="J453" s="5">
        <f>IF(F453="","",ROUND(F453*0.1,2))</f>
        <v/>
      </c>
      <c r="K453" s="5">
        <f>IF(G453="","",ROUND(G453*0.04,2))</f>
        <v/>
      </c>
      <c r="L453" s="4" t="n"/>
      <c r="M453" s="4" t="n"/>
      <c r="N453" s="5">
        <f>IF(A453="","",SUM(E453:K453)-N(L453))</f>
        <v/>
      </c>
      <c r="O453">
        <f>IF(OR(A453="",M453=""),"",IF(ABS(M453-N453)&lt;=0.02,"OK","REVISAR"))</f>
        <v/>
      </c>
      <c r="P453">
        <f>IF(D453="","",IF(LEN(TRIM(D453))&lt;&gt;9,"REVISAR",IFERROR(IF(OR(ISNUMBER(VALUE(LEFT(UPPER(TRIM(D453)),1))),LEFT(UPPER(TRIM(D453)),1)="X",LEFT(UPPER(TRIM(D453)),1)="Y",LEFT(UPPER(TRIM(D453)),1)="Z"),IF(MID("TRWAGMYFPDXBNJZSQVHLCKE",MOD(VALUE(SUBSTITUTE(SUBSTITUTE(SUBSTITUTE(LEFT(UPPER(TRIM(D453)),8),"X","0"),"Y","1"),"Z","2")),23)+1,1)=RIGHT(UPPER(TRIM(D453)),1),"OK","REVISAR"),IF(OR(RIGHT(UPPER(TRIM(D453)),1)=TEXT(MOD(10-MOD((VALUE(MID(UPPER(TRIM(D453)),3,1))+VALUE(MID(UPPER(TRIM(D453)),5,1))+VALUE(MID(UPPER(TRIM(D453)),7,1)))+(INT(2*VALUE(MID(UPPER(TRIM(D453)),2,1))/10)+MOD(2*VALUE(MID(UPPER(TRIM(D453)),2,1)),10))+(INT(2*VALUE(MID(UPPER(TRIM(D453)),4,1))/10)+MOD(2*VALUE(MID(UPPER(TRIM(D453)),4,1)),10))+(INT(2*VALUE(MID(UPPER(TRIM(D453)),6,1))/10)+MOD(2*VALUE(MID(UPPER(TRIM(D453)),6,1)),10))+(INT(2*VALUE(MID(UPPER(TRIM(D453)),8,1))/10)+MOD(2*VALUE(MID(UPPER(TRIM(D453)),8,1)),10)),10),10),"0"),RIGHT(UPPER(TRIM(D453)),1)=MID("JABCDEFGHI",MOD(10-MOD((VALUE(MID(UPPER(TRIM(D453)),3,1))+VALUE(MID(UPPER(TRIM(D453)),5,1))+VALUE(MID(UPPER(TRIM(D453)),7,1)))+(INT(2*VALUE(MID(UPPER(TRIM(D453)),2,1))/10)+MOD(2*VALUE(MID(UPPER(TRIM(D453)),2,1)),10))+(INT(2*VALUE(MID(UPPER(TRIM(D453)),4,1))/10)+MOD(2*VALUE(MID(UPPER(TRIM(D453)),4,1)),10))+(INT(2*VALUE(MID(UPPER(TRIM(D453)),6,1))/10)+MOD(2*VALUE(MID(UPPER(TRIM(D453)),6,1)),10))+(INT(2*VALUE(MID(UPPER(TRIM(D453)),8,1))/10)+MOD(2*VALUE(MID(UPPER(TRIM(D453)),8,1)),10)),10),10)+1,1)),"OK","REVISAR")),"REVISAR")))</f>
        <v/>
      </c>
      <c r="Q453">
        <f>IF(B453="","",IF(COUNTIFS($B$2:$B$501,B453,$D$2:$D$501,D453)&gt;1,"DUPLICADA",""))</f>
        <v/>
      </c>
      <c r="R453">
        <f>IF(A453="","",ROUNDUP(MONTH(A453)/3,0))</f>
        <v/>
      </c>
      <c r="S453" s="3" t="n"/>
    </row>
    <row r="454">
      <c r="A454" s="2" t="n"/>
      <c r="B454" s="3" t="n"/>
      <c r="C454" s="3" t="n"/>
      <c r="D454" s="3" t="n"/>
      <c r="E454" s="4" t="n"/>
      <c r="F454" s="4" t="n"/>
      <c r="G454" s="4" t="n"/>
      <c r="H454" s="4" t="n"/>
      <c r="I454" s="5">
        <f>IF(E454="","",ROUND(E454*0.21,2))</f>
        <v/>
      </c>
      <c r="J454" s="5">
        <f>IF(F454="","",ROUND(F454*0.1,2))</f>
        <v/>
      </c>
      <c r="K454" s="5">
        <f>IF(G454="","",ROUND(G454*0.04,2))</f>
        <v/>
      </c>
      <c r="L454" s="4" t="n"/>
      <c r="M454" s="4" t="n"/>
      <c r="N454" s="5">
        <f>IF(A454="","",SUM(E454:K454)-N(L454))</f>
        <v/>
      </c>
      <c r="O454">
        <f>IF(OR(A454="",M454=""),"",IF(ABS(M454-N454)&lt;=0.02,"OK","REVISAR"))</f>
        <v/>
      </c>
      <c r="P454">
        <f>IF(D454="","",IF(LEN(TRIM(D454))&lt;&gt;9,"REVISAR",IFERROR(IF(OR(ISNUMBER(VALUE(LEFT(UPPER(TRIM(D454)),1))),LEFT(UPPER(TRIM(D454)),1)="X",LEFT(UPPER(TRIM(D454)),1)="Y",LEFT(UPPER(TRIM(D454)),1)="Z"),IF(MID("TRWAGMYFPDXBNJZSQVHLCKE",MOD(VALUE(SUBSTITUTE(SUBSTITUTE(SUBSTITUTE(LEFT(UPPER(TRIM(D454)),8),"X","0"),"Y","1"),"Z","2")),23)+1,1)=RIGHT(UPPER(TRIM(D454)),1),"OK","REVISAR"),IF(OR(RIGHT(UPPER(TRIM(D454)),1)=TEXT(MOD(10-MOD((VALUE(MID(UPPER(TRIM(D454)),3,1))+VALUE(MID(UPPER(TRIM(D454)),5,1))+VALUE(MID(UPPER(TRIM(D454)),7,1)))+(INT(2*VALUE(MID(UPPER(TRIM(D454)),2,1))/10)+MOD(2*VALUE(MID(UPPER(TRIM(D454)),2,1)),10))+(INT(2*VALUE(MID(UPPER(TRIM(D454)),4,1))/10)+MOD(2*VALUE(MID(UPPER(TRIM(D454)),4,1)),10))+(INT(2*VALUE(MID(UPPER(TRIM(D454)),6,1))/10)+MOD(2*VALUE(MID(UPPER(TRIM(D454)),6,1)),10))+(INT(2*VALUE(MID(UPPER(TRIM(D454)),8,1))/10)+MOD(2*VALUE(MID(UPPER(TRIM(D454)),8,1)),10)),10),10),"0"),RIGHT(UPPER(TRIM(D454)),1)=MID("JABCDEFGHI",MOD(10-MOD((VALUE(MID(UPPER(TRIM(D454)),3,1))+VALUE(MID(UPPER(TRIM(D454)),5,1))+VALUE(MID(UPPER(TRIM(D454)),7,1)))+(INT(2*VALUE(MID(UPPER(TRIM(D454)),2,1))/10)+MOD(2*VALUE(MID(UPPER(TRIM(D454)),2,1)),10))+(INT(2*VALUE(MID(UPPER(TRIM(D454)),4,1))/10)+MOD(2*VALUE(MID(UPPER(TRIM(D454)),4,1)),10))+(INT(2*VALUE(MID(UPPER(TRIM(D454)),6,1))/10)+MOD(2*VALUE(MID(UPPER(TRIM(D454)),6,1)),10))+(INT(2*VALUE(MID(UPPER(TRIM(D454)),8,1))/10)+MOD(2*VALUE(MID(UPPER(TRIM(D454)),8,1)),10)),10),10)+1,1)),"OK","REVISAR")),"REVISAR")))</f>
        <v/>
      </c>
      <c r="Q454">
        <f>IF(B454="","",IF(COUNTIFS($B$2:$B$501,B454,$D$2:$D$501,D454)&gt;1,"DUPLICADA",""))</f>
        <v/>
      </c>
      <c r="R454">
        <f>IF(A454="","",ROUNDUP(MONTH(A454)/3,0))</f>
        <v/>
      </c>
      <c r="S454" s="3" t="n"/>
    </row>
    <row r="455">
      <c r="A455" s="2" t="n"/>
      <c r="B455" s="3" t="n"/>
      <c r="C455" s="3" t="n"/>
      <c r="D455" s="3" t="n"/>
      <c r="E455" s="4" t="n"/>
      <c r="F455" s="4" t="n"/>
      <c r="G455" s="4" t="n"/>
      <c r="H455" s="4" t="n"/>
      <c r="I455" s="5">
        <f>IF(E455="","",ROUND(E455*0.21,2))</f>
        <v/>
      </c>
      <c r="J455" s="5">
        <f>IF(F455="","",ROUND(F455*0.1,2))</f>
        <v/>
      </c>
      <c r="K455" s="5">
        <f>IF(G455="","",ROUND(G455*0.04,2))</f>
        <v/>
      </c>
      <c r="L455" s="4" t="n"/>
      <c r="M455" s="4" t="n"/>
      <c r="N455" s="5">
        <f>IF(A455="","",SUM(E455:K455)-N(L455))</f>
        <v/>
      </c>
      <c r="O455">
        <f>IF(OR(A455="",M455=""),"",IF(ABS(M455-N455)&lt;=0.02,"OK","REVISAR"))</f>
        <v/>
      </c>
      <c r="P455">
        <f>IF(D455="","",IF(LEN(TRIM(D455))&lt;&gt;9,"REVISAR",IFERROR(IF(OR(ISNUMBER(VALUE(LEFT(UPPER(TRIM(D455)),1))),LEFT(UPPER(TRIM(D455)),1)="X",LEFT(UPPER(TRIM(D455)),1)="Y",LEFT(UPPER(TRIM(D455)),1)="Z"),IF(MID("TRWAGMYFPDXBNJZSQVHLCKE",MOD(VALUE(SUBSTITUTE(SUBSTITUTE(SUBSTITUTE(LEFT(UPPER(TRIM(D455)),8),"X","0"),"Y","1"),"Z","2")),23)+1,1)=RIGHT(UPPER(TRIM(D455)),1),"OK","REVISAR"),IF(OR(RIGHT(UPPER(TRIM(D455)),1)=TEXT(MOD(10-MOD((VALUE(MID(UPPER(TRIM(D455)),3,1))+VALUE(MID(UPPER(TRIM(D455)),5,1))+VALUE(MID(UPPER(TRIM(D455)),7,1)))+(INT(2*VALUE(MID(UPPER(TRIM(D455)),2,1))/10)+MOD(2*VALUE(MID(UPPER(TRIM(D455)),2,1)),10))+(INT(2*VALUE(MID(UPPER(TRIM(D455)),4,1))/10)+MOD(2*VALUE(MID(UPPER(TRIM(D455)),4,1)),10))+(INT(2*VALUE(MID(UPPER(TRIM(D455)),6,1))/10)+MOD(2*VALUE(MID(UPPER(TRIM(D455)),6,1)),10))+(INT(2*VALUE(MID(UPPER(TRIM(D455)),8,1))/10)+MOD(2*VALUE(MID(UPPER(TRIM(D455)),8,1)),10)),10),10),"0"),RIGHT(UPPER(TRIM(D455)),1)=MID("JABCDEFGHI",MOD(10-MOD((VALUE(MID(UPPER(TRIM(D455)),3,1))+VALUE(MID(UPPER(TRIM(D455)),5,1))+VALUE(MID(UPPER(TRIM(D455)),7,1)))+(INT(2*VALUE(MID(UPPER(TRIM(D455)),2,1))/10)+MOD(2*VALUE(MID(UPPER(TRIM(D455)),2,1)),10))+(INT(2*VALUE(MID(UPPER(TRIM(D455)),4,1))/10)+MOD(2*VALUE(MID(UPPER(TRIM(D455)),4,1)),10))+(INT(2*VALUE(MID(UPPER(TRIM(D455)),6,1))/10)+MOD(2*VALUE(MID(UPPER(TRIM(D455)),6,1)),10))+(INT(2*VALUE(MID(UPPER(TRIM(D455)),8,1))/10)+MOD(2*VALUE(MID(UPPER(TRIM(D455)),8,1)),10)),10),10)+1,1)),"OK","REVISAR")),"REVISAR")))</f>
        <v/>
      </c>
      <c r="Q455">
        <f>IF(B455="","",IF(COUNTIFS($B$2:$B$501,B455,$D$2:$D$501,D455)&gt;1,"DUPLICADA",""))</f>
        <v/>
      </c>
      <c r="R455">
        <f>IF(A455="","",ROUNDUP(MONTH(A455)/3,0))</f>
        <v/>
      </c>
      <c r="S455" s="3" t="n"/>
    </row>
    <row r="456">
      <c r="A456" s="2" t="n"/>
      <c r="B456" s="3" t="n"/>
      <c r="C456" s="3" t="n"/>
      <c r="D456" s="3" t="n"/>
      <c r="E456" s="4" t="n"/>
      <c r="F456" s="4" t="n"/>
      <c r="G456" s="4" t="n"/>
      <c r="H456" s="4" t="n"/>
      <c r="I456" s="5">
        <f>IF(E456="","",ROUND(E456*0.21,2))</f>
        <v/>
      </c>
      <c r="J456" s="5">
        <f>IF(F456="","",ROUND(F456*0.1,2))</f>
        <v/>
      </c>
      <c r="K456" s="5">
        <f>IF(G456="","",ROUND(G456*0.04,2))</f>
        <v/>
      </c>
      <c r="L456" s="4" t="n"/>
      <c r="M456" s="4" t="n"/>
      <c r="N456" s="5">
        <f>IF(A456="","",SUM(E456:K456)-N(L456))</f>
        <v/>
      </c>
      <c r="O456">
        <f>IF(OR(A456="",M456=""),"",IF(ABS(M456-N456)&lt;=0.02,"OK","REVISAR"))</f>
        <v/>
      </c>
      <c r="P456">
        <f>IF(D456="","",IF(LEN(TRIM(D456))&lt;&gt;9,"REVISAR",IFERROR(IF(OR(ISNUMBER(VALUE(LEFT(UPPER(TRIM(D456)),1))),LEFT(UPPER(TRIM(D456)),1)="X",LEFT(UPPER(TRIM(D456)),1)="Y",LEFT(UPPER(TRIM(D456)),1)="Z"),IF(MID("TRWAGMYFPDXBNJZSQVHLCKE",MOD(VALUE(SUBSTITUTE(SUBSTITUTE(SUBSTITUTE(LEFT(UPPER(TRIM(D456)),8),"X","0"),"Y","1"),"Z","2")),23)+1,1)=RIGHT(UPPER(TRIM(D456)),1),"OK","REVISAR"),IF(OR(RIGHT(UPPER(TRIM(D456)),1)=TEXT(MOD(10-MOD((VALUE(MID(UPPER(TRIM(D456)),3,1))+VALUE(MID(UPPER(TRIM(D456)),5,1))+VALUE(MID(UPPER(TRIM(D456)),7,1)))+(INT(2*VALUE(MID(UPPER(TRIM(D456)),2,1))/10)+MOD(2*VALUE(MID(UPPER(TRIM(D456)),2,1)),10))+(INT(2*VALUE(MID(UPPER(TRIM(D456)),4,1))/10)+MOD(2*VALUE(MID(UPPER(TRIM(D456)),4,1)),10))+(INT(2*VALUE(MID(UPPER(TRIM(D456)),6,1))/10)+MOD(2*VALUE(MID(UPPER(TRIM(D456)),6,1)),10))+(INT(2*VALUE(MID(UPPER(TRIM(D456)),8,1))/10)+MOD(2*VALUE(MID(UPPER(TRIM(D456)),8,1)),10)),10),10),"0"),RIGHT(UPPER(TRIM(D456)),1)=MID("JABCDEFGHI",MOD(10-MOD((VALUE(MID(UPPER(TRIM(D456)),3,1))+VALUE(MID(UPPER(TRIM(D456)),5,1))+VALUE(MID(UPPER(TRIM(D456)),7,1)))+(INT(2*VALUE(MID(UPPER(TRIM(D456)),2,1))/10)+MOD(2*VALUE(MID(UPPER(TRIM(D456)),2,1)),10))+(INT(2*VALUE(MID(UPPER(TRIM(D456)),4,1))/10)+MOD(2*VALUE(MID(UPPER(TRIM(D456)),4,1)),10))+(INT(2*VALUE(MID(UPPER(TRIM(D456)),6,1))/10)+MOD(2*VALUE(MID(UPPER(TRIM(D456)),6,1)),10))+(INT(2*VALUE(MID(UPPER(TRIM(D456)),8,1))/10)+MOD(2*VALUE(MID(UPPER(TRIM(D456)),8,1)),10)),10),10)+1,1)),"OK","REVISAR")),"REVISAR")))</f>
        <v/>
      </c>
      <c r="Q456">
        <f>IF(B456="","",IF(COUNTIFS($B$2:$B$501,B456,$D$2:$D$501,D456)&gt;1,"DUPLICADA",""))</f>
        <v/>
      </c>
      <c r="R456">
        <f>IF(A456="","",ROUNDUP(MONTH(A456)/3,0))</f>
        <v/>
      </c>
      <c r="S456" s="3" t="n"/>
    </row>
    <row r="457">
      <c r="A457" s="2" t="n"/>
      <c r="B457" s="3" t="n"/>
      <c r="C457" s="3" t="n"/>
      <c r="D457" s="3" t="n"/>
      <c r="E457" s="4" t="n"/>
      <c r="F457" s="4" t="n"/>
      <c r="G457" s="4" t="n"/>
      <c r="H457" s="4" t="n"/>
      <c r="I457" s="5">
        <f>IF(E457="","",ROUND(E457*0.21,2))</f>
        <v/>
      </c>
      <c r="J457" s="5">
        <f>IF(F457="","",ROUND(F457*0.1,2))</f>
        <v/>
      </c>
      <c r="K457" s="5">
        <f>IF(G457="","",ROUND(G457*0.04,2))</f>
        <v/>
      </c>
      <c r="L457" s="4" t="n"/>
      <c r="M457" s="4" t="n"/>
      <c r="N457" s="5">
        <f>IF(A457="","",SUM(E457:K457)-N(L457))</f>
        <v/>
      </c>
      <c r="O457">
        <f>IF(OR(A457="",M457=""),"",IF(ABS(M457-N457)&lt;=0.02,"OK","REVISAR"))</f>
        <v/>
      </c>
      <c r="P457">
        <f>IF(D457="","",IF(LEN(TRIM(D457))&lt;&gt;9,"REVISAR",IFERROR(IF(OR(ISNUMBER(VALUE(LEFT(UPPER(TRIM(D457)),1))),LEFT(UPPER(TRIM(D457)),1)="X",LEFT(UPPER(TRIM(D457)),1)="Y",LEFT(UPPER(TRIM(D457)),1)="Z"),IF(MID("TRWAGMYFPDXBNJZSQVHLCKE",MOD(VALUE(SUBSTITUTE(SUBSTITUTE(SUBSTITUTE(LEFT(UPPER(TRIM(D457)),8),"X","0"),"Y","1"),"Z","2")),23)+1,1)=RIGHT(UPPER(TRIM(D457)),1),"OK","REVISAR"),IF(OR(RIGHT(UPPER(TRIM(D457)),1)=TEXT(MOD(10-MOD((VALUE(MID(UPPER(TRIM(D457)),3,1))+VALUE(MID(UPPER(TRIM(D457)),5,1))+VALUE(MID(UPPER(TRIM(D457)),7,1)))+(INT(2*VALUE(MID(UPPER(TRIM(D457)),2,1))/10)+MOD(2*VALUE(MID(UPPER(TRIM(D457)),2,1)),10))+(INT(2*VALUE(MID(UPPER(TRIM(D457)),4,1))/10)+MOD(2*VALUE(MID(UPPER(TRIM(D457)),4,1)),10))+(INT(2*VALUE(MID(UPPER(TRIM(D457)),6,1))/10)+MOD(2*VALUE(MID(UPPER(TRIM(D457)),6,1)),10))+(INT(2*VALUE(MID(UPPER(TRIM(D457)),8,1))/10)+MOD(2*VALUE(MID(UPPER(TRIM(D457)),8,1)),10)),10),10),"0"),RIGHT(UPPER(TRIM(D457)),1)=MID("JABCDEFGHI",MOD(10-MOD((VALUE(MID(UPPER(TRIM(D457)),3,1))+VALUE(MID(UPPER(TRIM(D457)),5,1))+VALUE(MID(UPPER(TRIM(D457)),7,1)))+(INT(2*VALUE(MID(UPPER(TRIM(D457)),2,1))/10)+MOD(2*VALUE(MID(UPPER(TRIM(D457)),2,1)),10))+(INT(2*VALUE(MID(UPPER(TRIM(D457)),4,1))/10)+MOD(2*VALUE(MID(UPPER(TRIM(D457)),4,1)),10))+(INT(2*VALUE(MID(UPPER(TRIM(D457)),6,1))/10)+MOD(2*VALUE(MID(UPPER(TRIM(D457)),6,1)),10))+(INT(2*VALUE(MID(UPPER(TRIM(D457)),8,1))/10)+MOD(2*VALUE(MID(UPPER(TRIM(D457)),8,1)),10)),10),10)+1,1)),"OK","REVISAR")),"REVISAR")))</f>
        <v/>
      </c>
      <c r="Q457">
        <f>IF(B457="","",IF(COUNTIFS($B$2:$B$501,B457,$D$2:$D$501,D457)&gt;1,"DUPLICADA",""))</f>
        <v/>
      </c>
      <c r="R457">
        <f>IF(A457="","",ROUNDUP(MONTH(A457)/3,0))</f>
        <v/>
      </c>
      <c r="S457" s="3" t="n"/>
    </row>
    <row r="458">
      <c r="A458" s="2" t="n"/>
      <c r="B458" s="3" t="n"/>
      <c r="C458" s="3" t="n"/>
      <c r="D458" s="3" t="n"/>
      <c r="E458" s="4" t="n"/>
      <c r="F458" s="4" t="n"/>
      <c r="G458" s="4" t="n"/>
      <c r="H458" s="4" t="n"/>
      <c r="I458" s="5">
        <f>IF(E458="","",ROUND(E458*0.21,2))</f>
        <v/>
      </c>
      <c r="J458" s="5">
        <f>IF(F458="","",ROUND(F458*0.1,2))</f>
        <v/>
      </c>
      <c r="K458" s="5">
        <f>IF(G458="","",ROUND(G458*0.04,2))</f>
        <v/>
      </c>
      <c r="L458" s="4" t="n"/>
      <c r="M458" s="4" t="n"/>
      <c r="N458" s="5">
        <f>IF(A458="","",SUM(E458:K458)-N(L458))</f>
        <v/>
      </c>
      <c r="O458">
        <f>IF(OR(A458="",M458=""),"",IF(ABS(M458-N458)&lt;=0.02,"OK","REVISAR"))</f>
        <v/>
      </c>
      <c r="P458">
        <f>IF(D458="","",IF(LEN(TRIM(D458))&lt;&gt;9,"REVISAR",IFERROR(IF(OR(ISNUMBER(VALUE(LEFT(UPPER(TRIM(D458)),1))),LEFT(UPPER(TRIM(D458)),1)="X",LEFT(UPPER(TRIM(D458)),1)="Y",LEFT(UPPER(TRIM(D458)),1)="Z"),IF(MID("TRWAGMYFPDXBNJZSQVHLCKE",MOD(VALUE(SUBSTITUTE(SUBSTITUTE(SUBSTITUTE(LEFT(UPPER(TRIM(D458)),8),"X","0"),"Y","1"),"Z","2")),23)+1,1)=RIGHT(UPPER(TRIM(D458)),1),"OK","REVISAR"),IF(OR(RIGHT(UPPER(TRIM(D458)),1)=TEXT(MOD(10-MOD((VALUE(MID(UPPER(TRIM(D458)),3,1))+VALUE(MID(UPPER(TRIM(D458)),5,1))+VALUE(MID(UPPER(TRIM(D458)),7,1)))+(INT(2*VALUE(MID(UPPER(TRIM(D458)),2,1))/10)+MOD(2*VALUE(MID(UPPER(TRIM(D458)),2,1)),10))+(INT(2*VALUE(MID(UPPER(TRIM(D458)),4,1))/10)+MOD(2*VALUE(MID(UPPER(TRIM(D458)),4,1)),10))+(INT(2*VALUE(MID(UPPER(TRIM(D458)),6,1))/10)+MOD(2*VALUE(MID(UPPER(TRIM(D458)),6,1)),10))+(INT(2*VALUE(MID(UPPER(TRIM(D458)),8,1))/10)+MOD(2*VALUE(MID(UPPER(TRIM(D458)),8,1)),10)),10),10),"0"),RIGHT(UPPER(TRIM(D458)),1)=MID("JABCDEFGHI",MOD(10-MOD((VALUE(MID(UPPER(TRIM(D458)),3,1))+VALUE(MID(UPPER(TRIM(D458)),5,1))+VALUE(MID(UPPER(TRIM(D458)),7,1)))+(INT(2*VALUE(MID(UPPER(TRIM(D458)),2,1))/10)+MOD(2*VALUE(MID(UPPER(TRIM(D458)),2,1)),10))+(INT(2*VALUE(MID(UPPER(TRIM(D458)),4,1))/10)+MOD(2*VALUE(MID(UPPER(TRIM(D458)),4,1)),10))+(INT(2*VALUE(MID(UPPER(TRIM(D458)),6,1))/10)+MOD(2*VALUE(MID(UPPER(TRIM(D458)),6,1)),10))+(INT(2*VALUE(MID(UPPER(TRIM(D458)),8,1))/10)+MOD(2*VALUE(MID(UPPER(TRIM(D458)),8,1)),10)),10),10)+1,1)),"OK","REVISAR")),"REVISAR")))</f>
        <v/>
      </c>
      <c r="Q458">
        <f>IF(B458="","",IF(COUNTIFS($B$2:$B$501,B458,$D$2:$D$501,D458)&gt;1,"DUPLICADA",""))</f>
        <v/>
      </c>
      <c r="R458">
        <f>IF(A458="","",ROUNDUP(MONTH(A458)/3,0))</f>
        <v/>
      </c>
      <c r="S458" s="3" t="n"/>
    </row>
    <row r="459">
      <c r="A459" s="2" t="n"/>
      <c r="B459" s="3" t="n"/>
      <c r="C459" s="3" t="n"/>
      <c r="D459" s="3" t="n"/>
      <c r="E459" s="4" t="n"/>
      <c r="F459" s="4" t="n"/>
      <c r="G459" s="4" t="n"/>
      <c r="H459" s="4" t="n"/>
      <c r="I459" s="5">
        <f>IF(E459="","",ROUND(E459*0.21,2))</f>
        <v/>
      </c>
      <c r="J459" s="5">
        <f>IF(F459="","",ROUND(F459*0.1,2))</f>
        <v/>
      </c>
      <c r="K459" s="5">
        <f>IF(G459="","",ROUND(G459*0.04,2))</f>
        <v/>
      </c>
      <c r="L459" s="4" t="n"/>
      <c r="M459" s="4" t="n"/>
      <c r="N459" s="5">
        <f>IF(A459="","",SUM(E459:K459)-N(L459))</f>
        <v/>
      </c>
      <c r="O459">
        <f>IF(OR(A459="",M459=""),"",IF(ABS(M459-N459)&lt;=0.02,"OK","REVISAR"))</f>
        <v/>
      </c>
      <c r="P459">
        <f>IF(D459="","",IF(LEN(TRIM(D459))&lt;&gt;9,"REVISAR",IFERROR(IF(OR(ISNUMBER(VALUE(LEFT(UPPER(TRIM(D459)),1))),LEFT(UPPER(TRIM(D459)),1)="X",LEFT(UPPER(TRIM(D459)),1)="Y",LEFT(UPPER(TRIM(D459)),1)="Z"),IF(MID("TRWAGMYFPDXBNJZSQVHLCKE",MOD(VALUE(SUBSTITUTE(SUBSTITUTE(SUBSTITUTE(LEFT(UPPER(TRIM(D459)),8),"X","0"),"Y","1"),"Z","2")),23)+1,1)=RIGHT(UPPER(TRIM(D459)),1),"OK","REVISAR"),IF(OR(RIGHT(UPPER(TRIM(D459)),1)=TEXT(MOD(10-MOD((VALUE(MID(UPPER(TRIM(D459)),3,1))+VALUE(MID(UPPER(TRIM(D459)),5,1))+VALUE(MID(UPPER(TRIM(D459)),7,1)))+(INT(2*VALUE(MID(UPPER(TRIM(D459)),2,1))/10)+MOD(2*VALUE(MID(UPPER(TRIM(D459)),2,1)),10))+(INT(2*VALUE(MID(UPPER(TRIM(D459)),4,1))/10)+MOD(2*VALUE(MID(UPPER(TRIM(D459)),4,1)),10))+(INT(2*VALUE(MID(UPPER(TRIM(D459)),6,1))/10)+MOD(2*VALUE(MID(UPPER(TRIM(D459)),6,1)),10))+(INT(2*VALUE(MID(UPPER(TRIM(D459)),8,1))/10)+MOD(2*VALUE(MID(UPPER(TRIM(D459)),8,1)),10)),10),10),"0"),RIGHT(UPPER(TRIM(D459)),1)=MID("JABCDEFGHI",MOD(10-MOD((VALUE(MID(UPPER(TRIM(D459)),3,1))+VALUE(MID(UPPER(TRIM(D459)),5,1))+VALUE(MID(UPPER(TRIM(D459)),7,1)))+(INT(2*VALUE(MID(UPPER(TRIM(D459)),2,1))/10)+MOD(2*VALUE(MID(UPPER(TRIM(D459)),2,1)),10))+(INT(2*VALUE(MID(UPPER(TRIM(D459)),4,1))/10)+MOD(2*VALUE(MID(UPPER(TRIM(D459)),4,1)),10))+(INT(2*VALUE(MID(UPPER(TRIM(D459)),6,1))/10)+MOD(2*VALUE(MID(UPPER(TRIM(D459)),6,1)),10))+(INT(2*VALUE(MID(UPPER(TRIM(D459)),8,1))/10)+MOD(2*VALUE(MID(UPPER(TRIM(D459)),8,1)),10)),10),10)+1,1)),"OK","REVISAR")),"REVISAR")))</f>
        <v/>
      </c>
      <c r="Q459">
        <f>IF(B459="","",IF(COUNTIFS($B$2:$B$501,B459,$D$2:$D$501,D459)&gt;1,"DUPLICADA",""))</f>
        <v/>
      </c>
      <c r="R459">
        <f>IF(A459="","",ROUNDUP(MONTH(A459)/3,0))</f>
        <v/>
      </c>
      <c r="S459" s="3" t="n"/>
    </row>
    <row r="460">
      <c r="A460" s="2" t="n"/>
      <c r="B460" s="3" t="n"/>
      <c r="C460" s="3" t="n"/>
      <c r="D460" s="3" t="n"/>
      <c r="E460" s="4" t="n"/>
      <c r="F460" s="4" t="n"/>
      <c r="G460" s="4" t="n"/>
      <c r="H460" s="4" t="n"/>
      <c r="I460" s="5">
        <f>IF(E460="","",ROUND(E460*0.21,2))</f>
        <v/>
      </c>
      <c r="J460" s="5">
        <f>IF(F460="","",ROUND(F460*0.1,2))</f>
        <v/>
      </c>
      <c r="K460" s="5">
        <f>IF(G460="","",ROUND(G460*0.04,2))</f>
        <v/>
      </c>
      <c r="L460" s="4" t="n"/>
      <c r="M460" s="4" t="n"/>
      <c r="N460" s="5">
        <f>IF(A460="","",SUM(E460:K460)-N(L460))</f>
        <v/>
      </c>
      <c r="O460">
        <f>IF(OR(A460="",M460=""),"",IF(ABS(M460-N460)&lt;=0.02,"OK","REVISAR"))</f>
        <v/>
      </c>
      <c r="P460">
        <f>IF(D460="","",IF(LEN(TRIM(D460))&lt;&gt;9,"REVISAR",IFERROR(IF(OR(ISNUMBER(VALUE(LEFT(UPPER(TRIM(D460)),1))),LEFT(UPPER(TRIM(D460)),1)="X",LEFT(UPPER(TRIM(D460)),1)="Y",LEFT(UPPER(TRIM(D460)),1)="Z"),IF(MID("TRWAGMYFPDXBNJZSQVHLCKE",MOD(VALUE(SUBSTITUTE(SUBSTITUTE(SUBSTITUTE(LEFT(UPPER(TRIM(D460)),8),"X","0"),"Y","1"),"Z","2")),23)+1,1)=RIGHT(UPPER(TRIM(D460)),1),"OK","REVISAR"),IF(OR(RIGHT(UPPER(TRIM(D460)),1)=TEXT(MOD(10-MOD((VALUE(MID(UPPER(TRIM(D460)),3,1))+VALUE(MID(UPPER(TRIM(D460)),5,1))+VALUE(MID(UPPER(TRIM(D460)),7,1)))+(INT(2*VALUE(MID(UPPER(TRIM(D460)),2,1))/10)+MOD(2*VALUE(MID(UPPER(TRIM(D460)),2,1)),10))+(INT(2*VALUE(MID(UPPER(TRIM(D460)),4,1))/10)+MOD(2*VALUE(MID(UPPER(TRIM(D460)),4,1)),10))+(INT(2*VALUE(MID(UPPER(TRIM(D460)),6,1))/10)+MOD(2*VALUE(MID(UPPER(TRIM(D460)),6,1)),10))+(INT(2*VALUE(MID(UPPER(TRIM(D460)),8,1))/10)+MOD(2*VALUE(MID(UPPER(TRIM(D460)),8,1)),10)),10),10),"0"),RIGHT(UPPER(TRIM(D460)),1)=MID("JABCDEFGHI",MOD(10-MOD((VALUE(MID(UPPER(TRIM(D460)),3,1))+VALUE(MID(UPPER(TRIM(D460)),5,1))+VALUE(MID(UPPER(TRIM(D460)),7,1)))+(INT(2*VALUE(MID(UPPER(TRIM(D460)),2,1))/10)+MOD(2*VALUE(MID(UPPER(TRIM(D460)),2,1)),10))+(INT(2*VALUE(MID(UPPER(TRIM(D460)),4,1))/10)+MOD(2*VALUE(MID(UPPER(TRIM(D460)),4,1)),10))+(INT(2*VALUE(MID(UPPER(TRIM(D460)),6,1))/10)+MOD(2*VALUE(MID(UPPER(TRIM(D460)),6,1)),10))+(INT(2*VALUE(MID(UPPER(TRIM(D460)),8,1))/10)+MOD(2*VALUE(MID(UPPER(TRIM(D460)),8,1)),10)),10),10)+1,1)),"OK","REVISAR")),"REVISAR")))</f>
        <v/>
      </c>
      <c r="Q460">
        <f>IF(B460="","",IF(COUNTIFS($B$2:$B$501,B460,$D$2:$D$501,D460)&gt;1,"DUPLICADA",""))</f>
        <v/>
      </c>
      <c r="R460">
        <f>IF(A460="","",ROUNDUP(MONTH(A460)/3,0))</f>
        <v/>
      </c>
      <c r="S460" s="3" t="n"/>
    </row>
    <row r="461">
      <c r="A461" s="2" t="n"/>
      <c r="B461" s="3" t="n"/>
      <c r="C461" s="3" t="n"/>
      <c r="D461" s="3" t="n"/>
      <c r="E461" s="4" t="n"/>
      <c r="F461" s="4" t="n"/>
      <c r="G461" s="4" t="n"/>
      <c r="H461" s="4" t="n"/>
      <c r="I461" s="5">
        <f>IF(E461="","",ROUND(E461*0.21,2))</f>
        <v/>
      </c>
      <c r="J461" s="5">
        <f>IF(F461="","",ROUND(F461*0.1,2))</f>
        <v/>
      </c>
      <c r="K461" s="5">
        <f>IF(G461="","",ROUND(G461*0.04,2))</f>
        <v/>
      </c>
      <c r="L461" s="4" t="n"/>
      <c r="M461" s="4" t="n"/>
      <c r="N461" s="5">
        <f>IF(A461="","",SUM(E461:K461)-N(L461))</f>
        <v/>
      </c>
      <c r="O461">
        <f>IF(OR(A461="",M461=""),"",IF(ABS(M461-N461)&lt;=0.02,"OK","REVISAR"))</f>
        <v/>
      </c>
      <c r="P461">
        <f>IF(D461="","",IF(LEN(TRIM(D461))&lt;&gt;9,"REVISAR",IFERROR(IF(OR(ISNUMBER(VALUE(LEFT(UPPER(TRIM(D461)),1))),LEFT(UPPER(TRIM(D461)),1)="X",LEFT(UPPER(TRIM(D461)),1)="Y",LEFT(UPPER(TRIM(D461)),1)="Z"),IF(MID("TRWAGMYFPDXBNJZSQVHLCKE",MOD(VALUE(SUBSTITUTE(SUBSTITUTE(SUBSTITUTE(LEFT(UPPER(TRIM(D461)),8),"X","0"),"Y","1"),"Z","2")),23)+1,1)=RIGHT(UPPER(TRIM(D461)),1),"OK","REVISAR"),IF(OR(RIGHT(UPPER(TRIM(D461)),1)=TEXT(MOD(10-MOD((VALUE(MID(UPPER(TRIM(D461)),3,1))+VALUE(MID(UPPER(TRIM(D461)),5,1))+VALUE(MID(UPPER(TRIM(D461)),7,1)))+(INT(2*VALUE(MID(UPPER(TRIM(D461)),2,1))/10)+MOD(2*VALUE(MID(UPPER(TRIM(D461)),2,1)),10))+(INT(2*VALUE(MID(UPPER(TRIM(D461)),4,1))/10)+MOD(2*VALUE(MID(UPPER(TRIM(D461)),4,1)),10))+(INT(2*VALUE(MID(UPPER(TRIM(D461)),6,1))/10)+MOD(2*VALUE(MID(UPPER(TRIM(D461)),6,1)),10))+(INT(2*VALUE(MID(UPPER(TRIM(D461)),8,1))/10)+MOD(2*VALUE(MID(UPPER(TRIM(D461)),8,1)),10)),10),10),"0"),RIGHT(UPPER(TRIM(D461)),1)=MID("JABCDEFGHI",MOD(10-MOD((VALUE(MID(UPPER(TRIM(D461)),3,1))+VALUE(MID(UPPER(TRIM(D461)),5,1))+VALUE(MID(UPPER(TRIM(D461)),7,1)))+(INT(2*VALUE(MID(UPPER(TRIM(D461)),2,1))/10)+MOD(2*VALUE(MID(UPPER(TRIM(D461)),2,1)),10))+(INT(2*VALUE(MID(UPPER(TRIM(D461)),4,1))/10)+MOD(2*VALUE(MID(UPPER(TRIM(D461)),4,1)),10))+(INT(2*VALUE(MID(UPPER(TRIM(D461)),6,1))/10)+MOD(2*VALUE(MID(UPPER(TRIM(D461)),6,1)),10))+(INT(2*VALUE(MID(UPPER(TRIM(D461)),8,1))/10)+MOD(2*VALUE(MID(UPPER(TRIM(D461)),8,1)),10)),10),10)+1,1)),"OK","REVISAR")),"REVISAR")))</f>
        <v/>
      </c>
      <c r="Q461">
        <f>IF(B461="","",IF(COUNTIFS($B$2:$B$501,B461,$D$2:$D$501,D461)&gt;1,"DUPLICADA",""))</f>
        <v/>
      </c>
      <c r="R461">
        <f>IF(A461="","",ROUNDUP(MONTH(A461)/3,0))</f>
        <v/>
      </c>
      <c r="S461" s="3" t="n"/>
    </row>
    <row r="462">
      <c r="A462" s="2" t="n"/>
      <c r="B462" s="3" t="n"/>
      <c r="C462" s="3" t="n"/>
      <c r="D462" s="3" t="n"/>
      <c r="E462" s="4" t="n"/>
      <c r="F462" s="4" t="n"/>
      <c r="G462" s="4" t="n"/>
      <c r="H462" s="4" t="n"/>
      <c r="I462" s="5">
        <f>IF(E462="","",ROUND(E462*0.21,2))</f>
        <v/>
      </c>
      <c r="J462" s="5">
        <f>IF(F462="","",ROUND(F462*0.1,2))</f>
        <v/>
      </c>
      <c r="K462" s="5">
        <f>IF(G462="","",ROUND(G462*0.04,2))</f>
        <v/>
      </c>
      <c r="L462" s="4" t="n"/>
      <c r="M462" s="4" t="n"/>
      <c r="N462" s="5">
        <f>IF(A462="","",SUM(E462:K462)-N(L462))</f>
        <v/>
      </c>
      <c r="O462">
        <f>IF(OR(A462="",M462=""),"",IF(ABS(M462-N462)&lt;=0.02,"OK","REVISAR"))</f>
        <v/>
      </c>
      <c r="P462">
        <f>IF(D462="","",IF(LEN(TRIM(D462))&lt;&gt;9,"REVISAR",IFERROR(IF(OR(ISNUMBER(VALUE(LEFT(UPPER(TRIM(D462)),1))),LEFT(UPPER(TRIM(D462)),1)="X",LEFT(UPPER(TRIM(D462)),1)="Y",LEFT(UPPER(TRIM(D462)),1)="Z"),IF(MID("TRWAGMYFPDXBNJZSQVHLCKE",MOD(VALUE(SUBSTITUTE(SUBSTITUTE(SUBSTITUTE(LEFT(UPPER(TRIM(D462)),8),"X","0"),"Y","1"),"Z","2")),23)+1,1)=RIGHT(UPPER(TRIM(D462)),1),"OK","REVISAR"),IF(OR(RIGHT(UPPER(TRIM(D462)),1)=TEXT(MOD(10-MOD((VALUE(MID(UPPER(TRIM(D462)),3,1))+VALUE(MID(UPPER(TRIM(D462)),5,1))+VALUE(MID(UPPER(TRIM(D462)),7,1)))+(INT(2*VALUE(MID(UPPER(TRIM(D462)),2,1))/10)+MOD(2*VALUE(MID(UPPER(TRIM(D462)),2,1)),10))+(INT(2*VALUE(MID(UPPER(TRIM(D462)),4,1))/10)+MOD(2*VALUE(MID(UPPER(TRIM(D462)),4,1)),10))+(INT(2*VALUE(MID(UPPER(TRIM(D462)),6,1))/10)+MOD(2*VALUE(MID(UPPER(TRIM(D462)),6,1)),10))+(INT(2*VALUE(MID(UPPER(TRIM(D462)),8,1))/10)+MOD(2*VALUE(MID(UPPER(TRIM(D462)),8,1)),10)),10),10),"0"),RIGHT(UPPER(TRIM(D462)),1)=MID("JABCDEFGHI",MOD(10-MOD((VALUE(MID(UPPER(TRIM(D462)),3,1))+VALUE(MID(UPPER(TRIM(D462)),5,1))+VALUE(MID(UPPER(TRIM(D462)),7,1)))+(INT(2*VALUE(MID(UPPER(TRIM(D462)),2,1))/10)+MOD(2*VALUE(MID(UPPER(TRIM(D462)),2,1)),10))+(INT(2*VALUE(MID(UPPER(TRIM(D462)),4,1))/10)+MOD(2*VALUE(MID(UPPER(TRIM(D462)),4,1)),10))+(INT(2*VALUE(MID(UPPER(TRIM(D462)),6,1))/10)+MOD(2*VALUE(MID(UPPER(TRIM(D462)),6,1)),10))+(INT(2*VALUE(MID(UPPER(TRIM(D462)),8,1))/10)+MOD(2*VALUE(MID(UPPER(TRIM(D462)),8,1)),10)),10),10)+1,1)),"OK","REVISAR")),"REVISAR")))</f>
        <v/>
      </c>
      <c r="Q462">
        <f>IF(B462="","",IF(COUNTIFS($B$2:$B$501,B462,$D$2:$D$501,D462)&gt;1,"DUPLICADA",""))</f>
        <v/>
      </c>
      <c r="R462">
        <f>IF(A462="","",ROUNDUP(MONTH(A462)/3,0))</f>
        <v/>
      </c>
      <c r="S462" s="3" t="n"/>
    </row>
    <row r="463">
      <c r="A463" s="2" t="n"/>
      <c r="B463" s="3" t="n"/>
      <c r="C463" s="3" t="n"/>
      <c r="D463" s="3" t="n"/>
      <c r="E463" s="4" t="n"/>
      <c r="F463" s="4" t="n"/>
      <c r="G463" s="4" t="n"/>
      <c r="H463" s="4" t="n"/>
      <c r="I463" s="5">
        <f>IF(E463="","",ROUND(E463*0.21,2))</f>
        <v/>
      </c>
      <c r="J463" s="5">
        <f>IF(F463="","",ROUND(F463*0.1,2))</f>
        <v/>
      </c>
      <c r="K463" s="5">
        <f>IF(G463="","",ROUND(G463*0.04,2))</f>
        <v/>
      </c>
      <c r="L463" s="4" t="n"/>
      <c r="M463" s="4" t="n"/>
      <c r="N463" s="5">
        <f>IF(A463="","",SUM(E463:K463)-N(L463))</f>
        <v/>
      </c>
      <c r="O463">
        <f>IF(OR(A463="",M463=""),"",IF(ABS(M463-N463)&lt;=0.02,"OK","REVISAR"))</f>
        <v/>
      </c>
      <c r="P463">
        <f>IF(D463="","",IF(LEN(TRIM(D463))&lt;&gt;9,"REVISAR",IFERROR(IF(OR(ISNUMBER(VALUE(LEFT(UPPER(TRIM(D463)),1))),LEFT(UPPER(TRIM(D463)),1)="X",LEFT(UPPER(TRIM(D463)),1)="Y",LEFT(UPPER(TRIM(D463)),1)="Z"),IF(MID("TRWAGMYFPDXBNJZSQVHLCKE",MOD(VALUE(SUBSTITUTE(SUBSTITUTE(SUBSTITUTE(LEFT(UPPER(TRIM(D463)),8),"X","0"),"Y","1"),"Z","2")),23)+1,1)=RIGHT(UPPER(TRIM(D463)),1),"OK","REVISAR"),IF(OR(RIGHT(UPPER(TRIM(D463)),1)=TEXT(MOD(10-MOD((VALUE(MID(UPPER(TRIM(D463)),3,1))+VALUE(MID(UPPER(TRIM(D463)),5,1))+VALUE(MID(UPPER(TRIM(D463)),7,1)))+(INT(2*VALUE(MID(UPPER(TRIM(D463)),2,1))/10)+MOD(2*VALUE(MID(UPPER(TRIM(D463)),2,1)),10))+(INT(2*VALUE(MID(UPPER(TRIM(D463)),4,1))/10)+MOD(2*VALUE(MID(UPPER(TRIM(D463)),4,1)),10))+(INT(2*VALUE(MID(UPPER(TRIM(D463)),6,1))/10)+MOD(2*VALUE(MID(UPPER(TRIM(D463)),6,1)),10))+(INT(2*VALUE(MID(UPPER(TRIM(D463)),8,1))/10)+MOD(2*VALUE(MID(UPPER(TRIM(D463)),8,1)),10)),10),10),"0"),RIGHT(UPPER(TRIM(D463)),1)=MID("JABCDEFGHI",MOD(10-MOD((VALUE(MID(UPPER(TRIM(D463)),3,1))+VALUE(MID(UPPER(TRIM(D463)),5,1))+VALUE(MID(UPPER(TRIM(D463)),7,1)))+(INT(2*VALUE(MID(UPPER(TRIM(D463)),2,1))/10)+MOD(2*VALUE(MID(UPPER(TRIM(D463)),2,1)),10))+(INT(2*VALUE(MID(UPPER(TRIM(D463)),4,1))/10)+MOD(2*VALUE(MID(UPPER(TRIM(D463)),4,1)),10))+(INT(2*VALUE(MID(UPPER(TRIM(D463)),6,1))/10)+MOD(2*VALUE(MID(UPPER(TRIM(D463)),6,1)),10))+(INT(2*VALUE(MID(UPPER(TRIM(D463)),8,1))/10)+MOD(2*VALUE(MID(UPPER(TRIM(D463)),8,1)),10)),10),10)+1,1)),"OK","REVISAR")),"REVISAR")))</f>
        <v/>
      </c>
      <c r="Q463">
        <f>IF(B463="","",IF(COUNTIFS($B$2:$B$501,B463,$D$2:$D$501,D463)&gt;1,"DUPLICADA",""))</f>
        <v/>
      </c>
      <c r="R463">
        <f>IF(A463="","",ROUNDUP(MONTH(A463)/3,0))</f>
        <v/>
      </c>
      <c r="S463" s="3" t="n"/>
    </row>
    <row r="464">
      <c r="A464" s="2" t="n"/>
      <c r="B464" s="3" t="n"/>
      <c r="C464" s="3" t="n"/>
      <c r="D464" s="3" t="n"/>
      <c r="E464" s="4" t="n"/>
      <c r="F464" s="4" t="n"/>
      <c r="G464" s="4" t="n"/>
      <c r="H464" s="4" t="n"/>
      <c r="I464" s="5">
        <f>IF(E464="","",ROUND(E464*0.21,2))</f>
        <v/>
      </c>
      <c r="J464" s="5">
        <f>IF(F464="","",ROUND(F464*0.1,2))</f>
        <v/>
      </c>
      <c r="K464" s="5">
        <f>IF(G464="","",ROUND(G464*0.04,2))</f>
        <v/>
      </c>
      <c r="L464" s="4" t="n"/>
      <c r="M464" s="4" t="n"/>
      <c r="N464" s="5">
        <f>IF(A464="","",SUM(E464:K464)-N(L464))</f>
        <v/>
      </c>
      <c r="O464">
        <f>IF(OR(A464="",M464=""),"",IF(ABS(M464-N464)&lt;=0.02,"OK","REVISAR"))</f>
        <v/>
      </c>
      <c r="P464">
        <f>IF(D464="","",IF(LEN(TRIM(D464))&lt;&gt;9,"REVISAR",IFERROR(IF(OR(ISNUMBER(VALUE(LEFT(UPPER(TRIM(D464)),1))),LEFT(UPPER(TRIM(D464)),1)="X",LEFT(UPPER(TRIM(D464)),1)="Y",LEFT(UPPER(TRIM(D464)),1)="Z"),IF(MID("TRWAGMYFPDXBNJZSQVHLCKE",MOD(VALUE(SUBSTITUTE(SUBSTITUTE(SUBSTITUTE(LEFT(UPPER(TRIM(D464)),8),"X","0"),"Y","1"),"Z","2")),23)+1,1)=RIGHT(UPPER(TRIM(D464)),1),"OK","REVISAR"),IF(OR(RIGHT(UPPER(TRIM(D464)),1)=TEXT(MOD(10-MOD((VALUE(MID(UPPER(TRIM(D464)),3,1))+VALUE(MID(UPPER(TRIM(D464)),5,1))+VALUE(MID(UPPER(TRIM(D464)),7,1)))+(INT(2*VALUE(MID(UPPER(TRIM(D464)),2,1))/10)+MOD(2*VALUE(MID(UPPER(TRIM(D464)),2,1)),10))+(INT(2*VALUE(MID(UPPER(TRIM(D464)),4,1))/10)+MOD(2*VALUE(MID(UPPER(TRIM(D464)),4,1)),10))+(INT(2*VALUE(MID(UPPER(TRIM(D464)),6,1))/10)+MOD(2*VALUE(MID(UPPER(TRIM(D464)),6,1)),10))+(INT(2*VALUE(MID(UPPER(TRIM(D464)),8,1))/10)+MOD(2*VALUE(MID(UPPER(TRIM(D464)),8,1)),10)),10),10),"0"),RIGHT(UPPER(TRIM(D464)),1)=MID("JABCDEFGHI",MOD(10-MOD((VALUE(MID(UPPER(TRIM(D464)),3,1))+VALUE(MID(UPPER(TRIM(D464)),5,1))+VALUE(MID(UPPER(TRIM(D464)),7,1)))+(INT(2*VALUE(MID(UPPER(TRIM(D464)),2,1))/10)+MOD(2*VALUE(MID(UPPER(TRIM(D464)),2,1)),10))+(INT(2*VALUE(MID(UPPER(TRIM(D464)),4,1))/10)+MOD(2*VALUE(MID(UPPER(TRIM(D464)),4,1)),10))+(INT(2*VALUE(MID(UPPER(TRIM(D464)),6,1))/10)+MOD(2*VALUE(MID(UPPER(TRIM(D464)),6,1)),10))+(INT(2*VALUE(MID(UPPER(TRIM(D464)),8,1))/10)+MOD(2*VALUE(MID(UPPER(TRIM(D464)),8,1)),10)),10),10)+1,1)),"OK","REVISAR")),"REVISAR")))</f>
        <v/>
      </c>
      <c r="Q464">
        <f>IF(B464="","",IF(COUNTIFS($B$2:$B$501,B464,$D$2:$D$501,D464)&gt;1,"DUPLICADA",""))</f>
        <v/>
      </c>
      <c r="R464">
        <f>IF(A464="","",ROUNDUP(MONTH(A464)/3,0))</f>
        <v/>
      </c>
      <c r="S464" s="3" t="n"/>
    </row>
    <row r="465">
      <c r="A465" s="2" t="n"/>
      <c r="B465" s="3" t="n"/>
      <c r="C465" s="3" t="n"/>
      <c r="D465" s="3" t="n"/>
      <c r="E465" s="4" t="n"/>
      <c r="F465" s="4" t="n"/>
      <c r="G465" s="4" t="n"/>
      <c r="H465" s="4" t="n"/>
      <c r="I465" s="5">
        <f>IF(E465="","",ROUND(E465*0.21,2))</f>
        <v/>
      </c>
      <c r="J465" s="5">
        <f>IF(F465="","",ROUND(F465*0.1,2))</f>
        <v/>
      </c>
      <c r="K465" s="5">
        <f>IF(G465="","",ROUND(G465*0.04,2))</f>
        <v/>
      </c>
      <c r="L465" s="4" t="n"/>
      <c r="M465" s="4" t="n"/>
      <c r="N465" s="5">
        <f>IF(A465="","",SUM(E465:K465)-N(L465))</f>
        <v/>
      </c>
      <c r="O465">
        <f>IF(OR(A465="",M465=""),"",IF(ABS(M465-N465)&lt;=0.02,"OK","REVISAR"))</f>
        <v/>
      </c>
      <c r="P465">
        <f>IF(D465="","",IF(LEN(TRIM(D465))&lt;&gt;9,"REVISAR",IFERROR(IF(OR(ISNUMBER(VALUE(LEFT(UPPER(TRIM(D465)),1))),LEFT(UPPER(TRIM(D465)),1)="X",LEFT(UPPER(TRIM(D465)),1)="Y",LEFT(UPPER(TRIM(D465)),1)="Z"),IF(MID("TRWAGMYFPDXBNJZSQVHLCKE",MOD(VALUE(SUBSTITUTE(SUBSTITUTE(SUBSTITUTE(LEFT(UPPER(TRIM(D465)),8),"X","0"),"Y","1"),"Z","2")),23)+1,1)=RIGHT(UPPER(TRIM(D465)),1),"OK","REVISAR"),IF(OR(RIGHT(UPPER(TRIM(D465)),1)=TEXT(MOD(10-MOD((VALUE(MID(UPPER(TRIM(D465)),3,1))+VALUE(MID(UPPER(TRIM(D465)),5,1))+VALUE(MID(UPPER(TRIM(D465)),7,1)))+(INT(2*VALUE(MID(UPPER(TRIM(D465)),2,1))/10)+MOD(2*VALUE(MID(UPPER(TRIM(D465)),2,1)),10))+(INT(2*VALUE(MID(UPPER(TRIM(D465)),4,1))/10)+MOD(2*VALUE(MID(UPPER(TRIM(D465)),4,1)),10))+(INT(2*VALUE(MID(UPPER(TRIM(D465)),6,1))/10)+MOD(2*VALUE(MID(UPPER(TRIM(D465)),6,1)),10))+(INT(2*VALUE(MID(UPPER(TRIM(D465)),8,1))/10)+MOD(2*VALUE(MID(UPPER(TRIM(D465)),8,1)),10)),10),10),"0"),RIGHT(UPPER(TRIM(D465)),1)=MID("JABCDEFGHI",MOD(10-MOD((VALUE(MID(UPPER(TRIM(D465)),3,1))+VALUE(MID(UPPER(TRIM(D465)),5,1))+VALUE(MID(UPPER(TRIM(D465)),7,1)))+(INT(2*VALUE(MID(UPPER(TRIM(D465)),2,1))/10)+MOD(2*VALUE(MID(UPPER(TRIM(D465)),2,1)),10))+(INT(2*VALUE(MID(UPPER(TRIM(D465)),4,1))/10)+MOD(2*VALUE(MID(UPPER(TRIM(D465)),4,1)),10))+(INT(2*VALUE(MID(UPPER(TRIM(D465)),6,1))/10)+MOD(2*VALUE(MID(UPPER(TRIM(D465)),6,1)),10))+(INT(2*VALUE(MID(UPPER(TRIM(D465)),8,1))/10)+MOD(2*VALUE(MID(UPPER(TRIM(D465)),8,1)),10)),10),10)+1,1)),"OK","REVISAR")),"REVISAR")))</f>
        <v/>
      </c>
      <c r="Q465">
        <f>IF(B465="","",IF(COUNTIFS($B$2:$B$501,B465,$D$2:$D$501,D465)&gt;1,"DUPLICADA",""))</f>
        <v/>
      </c>
      <c r="R465">
        <f>IF(A465="","",ROUNDUP(MONTH(A465)/3,0))</f>
        <v/>
      </c>
      <c r="S465" s="3" t="n"/>
    </row>
    <row r="466">
      <c r="A466" s="2" t="n"/>
      <c r="B466" s="3" t="n"/>
      <c r="C466" s="3" t="n"/>
      <c r="D466" s="3" t="n"/>
      <c r="E466" s="4" t="n"/>
      <c r="F466" s="4" t="n"/>
      <c r="G466" s="4" t="n"/>
      <c r="H466" s="4" t="n"/>
      <c r="I466" s="5">
        <f>IF(E466="","",ROUND(E466*0.21,2))</f>
        <v/>
      </c>
      <c r="J466" s="5">
        <f>IF(F466="","",ROUND(F466*0.1,2))</f>
        <v/>
      </c>
      <c r="K466" s="5">
        <f>IF(G466="","",ROUND(G466*0.04,2))</f>
        <v/>
      </c>
      <c r="L466" s="4" t="n"/>
      <c r="M466" s="4" t="n"/>
      <c r="N466" s="5">
        <f>IF(A466="","",SUM(E466:K466)-N(L466))</f>
        <v/>
      </c>
      <c r="O466">
        <f>IF(OR(A466="",M466=""),"",IF(ABS(M466-N466)&lt;=0.02,"OK","REVISAR"))</f>
        <v/>
      </c>
      <c r="P466">
        <f>IF(D466="","",IF(LEN(TRIM(D466))&lt;&gt;9,"REVISAR",IFERROR(IF(OR(ISNUMBER(VALUE(LEFT(UPPER(TRIM(D466)),1))),LEFT(UPPER(TRIM(D466)),1)="X",LEFT(UPPER(TRIM(D466)),1)="Y",LEFT(UPPER(TRIM(D466)),1)="Z"),IF(MID("TRWAGMYFPDXBNJZSQVHLCKE",MOD(VALUE(SUBSTITUTE(SUBSTITUTE(SUBSTITUTE(LEFT(UPPER(TRIM(D466)),8),"X","0"),"Y","1"),"Z","2")),23)+1,1)=RIGHT(UPPER(TRIM(D466)),1),"OK","REVISAR"),IF(OR(RIGHT(UPPER(TRIM(D466)),1)=TEXT(MOD(10-MOD((VALUE(MID(UPPER(TRIM(D466)),3,1))+VALUE(MID(UPPER(TRIM(D466)),5,1))+VALUE(MID(UPPER(TRIM(D466)),7,1)))+(INT(2*VALUE(MID(UPPER(TRIM(D466)),2,1))/10)+MOD(2*VALUE(MID(UPPER(TRIM(D466)),2,1)),10))+(INT(2*VALUE(MID(UPPER(TRIM(D466)),4,1))/10)+MOD(2*VALUE(MID(UPPER(TRIM(D466)),4,1)),10))+(INT(2*VALUE(MID(UPPER(TRIM(D466)),6,1))/10)+MOD(2*VALUE(MID(UPPER(TRIM(D466)),6,1)),10))+(INT(2*VALUE(MID(UPPER(TRIM(D466)),8,1))/10)+MOD(2*VALUE(MID(UPPER(TRIM(D466)),8,1)),10)),10),10),"0"),RIGHT(UPPER(TRIM(D466)),1)=MID("JABCDEFGHI",MOD(10-MOD((VALUE(MID(UPPER(TRIM(D466)),3,1))+VALUE(MID(UPPER(TRIM(D466)),5,1))+VALUE(MID(UPPER(TRIM(D466)),7,1)))+(INT(2*VALUE(MID(UPPER(TRIM(D466)),2,1))/10)+MOD(2*VALUE(MID(UPPER(TRIM(D466)),2,1)),10))+(INT(2*VALUE(MID(UPPER(TRIM(D466)),4,1))/10)+MOD(2*VALUE(MID(UPPER(TRIM(D466)),4,1)),10))+(INT(2*VALUE(MID(UPPER(TRIM(D466)),6,1))/10)+MOD(2*VALUE(MID(UPPER(TRIM(D466)),6,1)),10))+(INT(2*VALUE(MID(UPPER(TRIM(D466)),8,1))/10)+MOD(2*VALUE(MID(UPPER(TRIM(D466)),8,1)),10)),10),10)+1,1)),"OK","REVISAR")),"REVISAR")))</f>
        <v/>
      </c>
      <c r="Q466">
        <f>IF(B466="","",IF(COUNTIFS($B$2:$B$501,B466,$D$2:$D$501,D466)&gt;1,"DUPLICADA",""))</f>
        <v/>
      </c>
      <c r="R466">
        <f>IF(A466="","",ROUNDUP(MONTH(A466)/3,0))</f>
        <v/>
      </c>
      <c r="S466" s="3" t="n"/>
    </row>
    <row r="467">
      <c r="A467" s="2" t="n"/>
      <c r="B467" s="3" t="n"/>
      <c r="C467" s="3" t="n"/>
      <c r="D467" s="3" t="n"/>
      <c r="E467" s="4" t="n"/>
      <c r="F467" s="4" t="n"/>
      <c r="G467" s="4" t="n"/>
      <c r="H467" s="4" t="n"/>
      <c r="I467" s="5">
        <f>IF(E467="","",ROUND(E467*0.21,2))</f>
        <v/>
      </c>
      <c r="J467" s="5">
        <f>IF(F467="","",ROUND(F467*0.1,2))</f>
        <v/>
      </c>
      <c r="K467" s="5">
        <f>IF(G467="","",ROUND(G467*0.04,2))</f>
        <v/>
      </c>
      <c r="L467" s="4" t="n"/>
      <c r="M467" s="4" t="n"/>
      <c r="N467" s="5">
        <f>IF(A467="","",SUM(E467:K467)-N(L467))</f>
        <v/>
      </c>
      <c r="O467">
        <f>IF(OR(A467="",M467=""),"",IF(ABS(M467-N467)&lt;=0.02,"OK","REVISAR"))</f>
        <v/>
      </c>
      <c r="P467">
        <f>IF(D467="","",IF(LEN(TRIM(D467))&lt;&gt;9,"REVISAR",IFERROR(IF(OR(ISNUMBER(VALUE(LEFT(UPPER(TRIM(D467)),1))),LEFT(UPPER(TRIM(D467)),1)="X",LEFT(UPPER(TRIM(D467)),1)="Y",LEFT(UPPER(TRIM(D467)),1)="Z"),IF(MID("TRWAGMYFPDXBNJZSQVHLCKE",MOD(VALUE(SUBSTITUTE(SUBSTITUTE(SUBSTITUTE(LEFT(UPPER(TRIM(D467)),8),"X","0"),"Y","1"),"Z","2")),23)+1,1)=RIGHT(UPPER(TRIM(D467)),1),"OK","REVISAR"),IF(OR(RIGHT(UPPER(TRIM(D467)),1)=TEXT(MOD(10-MOD((VALUE(MID(UPPER(TRIM(D467)),3,1))+VALUE(MID(UPPER(TRIM(D467)),5,1))+VALUE(MID(UPPER(TRIM(D467)),7,1)))+(INT(2*VALUE(MID(UPPER(TRIM(D467)),2,1))/10)+MOD(2*VALUE(MID(UPPER(TRIM(D467)),2,1)),10))+(INT(2*VALUE(MID(UPPER(TRIM(D467)),4,1))/10)+MOD(2*VALUE(MID(UPPER(TRIM(D467)),4,1)),10))+(INT(2*VALUE(MID(UPPER(TRIM(D467)),6,1))/10)+MOD(2*VALUE(MID(UPPER(TRIM(D467)),6,1)),10))+(INT(2*VALUE(MID(UPPER(TRIM(D467)),8,1))/10)+MOD(2*VALUE(MID(UPPER(TRIM(D467)),8,1)),10)),10),10),"0"),RIGHT(UPPER(TRIM(D467)),1)=MID("JABCDEFGHI",MOD(10-MOD((VALUE(MID(UPPER(TRIM(D467)),3,1))+VALUE(MID(UPPER(TRIM(D467)),5,1))+VALUE(MID(UPPER(TRIM(D467)),7,1)))+(INT(2*VALUE(MID(UPPER(TRIM(D467)),2,1))/10)+MOD(2*VALUE(MID(UPPER(TRIM(D467)),2,1)),10))+(INT(2*VALUE(MID(UPPER(TRIM(D467)),4,1))/10)+MOD(2*VALUE(MID(UPPER(TRIM(D467)),4,1)),10))+(INT(2*VALUE(MID(UPPER(TRIM(D467)),6,1))/10)+MOD(2*VALUE(MID(UPPER(TRIM(D467)),6,1)),10))+(INT(2*VALUE(MID(UPPER(TRIM(D467)),8,1))/10)+MOD(2*VALUE(MID(UPPER(TRIM(D467)),8,1)),10)),10),10)+1,1)),"OK","REVISAR")),"REVISAR")))</f>
        <v/>
      </c>
      <c r="Q467">
        <f>IF(B467="","",IF(COUNTIFS($B$2:$B$501,B467,$D$2:$D$501,D467)&gt;1,"DUPLICADA",""))</f>
        <v/>
      </c>
      <c r="R467">
        <f>IF(A467="","",ROUNDUP(MONTH(A467)/3,0))</f>
        <v/>
      </c>
      <c r="S467" s="3" t="n"/>
    </row>
    <row r="468">
      <c r="A468" s="2" t="n"/>
      <c r="B468" s="3" t="n"/>
      <c r="C468" s="3" t="n"/>
      <c r="D468" s="3" t="n"/>
      <c r="E468" s="4" t="n"/>
      <c r="F468" s="4" t="n"/>
      <c r="G468" s="4" t="n"/>
      <c r="H468" s="4" t="n"/>
      <c r="I468" s="5">
        <f>IF(E468="","",ROUND(E468*0.21,2))</f>
        <v/>
      </c>
      <c r="J468" s="5">
        <f>IF(F468="","",ROUND(F468*0.1,2))</f>
        <v/>
      </c>
      <c r="K468" s="5">
        <f>IF(G468="","",ROUND(G468*0.04,2))</f>
        <v/>
      </c>
      <c r="L468" s="4" t="n"/>
      <c r="M468" s="4" t="n"/>
      <c r="N468" s="5">
        <f>IF(A468="","",SUM(E468:K468)-N(L468))</f>
        <v/>
      </c>
      <c r="O468">
        <f>IF(OR(A468="",M468=""),"",IF(ABS(M468-N468)&lt;=0.02,"OK","REVISAR"))</f>
        <v/>
      </c>
      <c r="P468">
        <f>IF(D468="","",IF(LEN(TRIM(D468))&lt;&gt;9,"REVISAR",IFERROR(IF(OR(ISNUMBER(VALUE(LEFT(UPPER(TRIM(D468)),1))),LEFT(UPPER(TRIM(D468)),1)="X",LEFT(UPPER(TRIM(D468)),1)="Y",LEFT(UPPER(TRIM(D468)),1)="Z"),IF(MID("TRWAGMYFPDXBNJZSQVHLCKE",MOD(VALUE(SUBSTITUTE(SUBSTITUTE(SUBSTITUTE(LEFT(UPPER(TRIM(D468)),8),"X","0"),"Y","1"),"Z","2")),23)+1,1)=RIGHT(UPPER(TRIM(D468)),1),"OK","REVISAR"),IF(OR(RIGHT(UPPER(TRIM(D468)),1)=TEXT(MOD(10-MOD((VALUE(MID(UPPER(TRIM(D468)),3,1))+VALUE(MID(UPPER(TRIM(D468)),5,1))+VALUE(MID(UPPER(TRIM(D468)),7,1)))+(INT(2*VALUE(MID(UPPER(TRIM(D468)),2,1))/10)+MOD(2*VALUE(MID(UPPER(TRIM(D468)),2,1)),10))+(INT(2*VALUE(MID(UPPER(TRIM(D468)),4,1))/10)+MOD(2*VALUE(MID(UPPER(TRIM(D468)),4,1)),10))+(INT(2*VALUE(MID(UPPER(TRIM(D468)),6,1))/10)+MOD(2*VALUE(MID(UPPER(TRIM(D468)),6,1)),10))+(INT(2*VALUE(MID(UPPER(TRIM(D468)),8,1))/10)+MOD(2*VALUE(MID(UPPER(TRIM(D468)),8,1)),10)),10),10),"0"),RIGHT(UPPER(TRIM(D468)),1)=MID("JABCDEFGHI",MOD(10-MOD((VALUE(MID(UPPER(TRIM(D468)),3,1))+VALUE(MID(UPPER(TRIM(D468)),5,1))+VALUE(MID(UPPER(TRIM(D468)),7,1)))+(INT(2*VALUE(MID(UPPER(TRIM(D468)),2,1))/10)+MOD(2*VALUE(MID(UPPER(TRIM(D468)),2,1)),10))+(INT(2*VALUE(MID(UPPER(TRIM(D468)),4,1))/10)+MOD(2*VALUE(MID(UPPER(TRIM(D468)),4,1)),10))+(INT(2*VALUE(MID(UPPER(TRIM(D468)),6,1))/10)+MOD(2*VALUE(MID(UPPER(TRIM(D468)),6,1)),10))+(INT(2*VALUE(MID(UPPER(TRIM(D468)),8,1))/10)+MOD(2*VALUE(MID(UPPER(TRIM(D468)),8,1)),10)),10),10)+1,1)),"OK","REVISAR")),"REVISAR")))</f>
        <v/>
      </c>
      <c r="Q468">
        <f>IF(B468="","",IF(COUNTIFS($B$2:$B$501,B468,$D$2:$D$501,D468)&gt;1,"DUPLICADA",""))</f>
        <v/>
      </c>
      <c r="R468">
        <f>IF(A468="","",ROUNDUP(MONTH(A468)/3,0))</f>
        <v/>
      </c>
      <c r="S468" s="3" t="n"/>
    </row>
    <row r="469">
      <c r="A469" s="2" t="n"/>
      <c r="B469" s="3" t="n"/>
      <c r="C469" s="3" t="n"/>
      <c r="D469" s="3" t="n"/>
      <c r="E469" s="4" t="n"/>
      <c r="F469" s="4" t="n"/>
      <c r="G469" s="4" t="n"/>
      <c r="H469" s="4" t="n"/>
      <c r="I469" s="5">
        <f>IF(E469="","",ROUND(E469*0.21,2))</f>
        <v/>
      </c>
      <c r="J469" s="5">
        <f>IF(F469="","",ROUND(F469*0.1,2))</f>
        <v/>
      </c>
      <c r="K469" s="5">
        <f>IF(G469="","",ROUND(G469*0.04,2))</f>
        <v/>
      </c>
      <c r="L469" s="4" t="n"/>
      <c r="M469" s="4" t="n"/>
      <c r="N469" s="5">
        <f>IF(A469="","",SUM(E469:K469)-N(L469))</f>
        <v/>
      </c>
      <c r="O469">
        <f>IF(OR(A469="",M469=""),"",IF(ABS(M469-N469)&lt;=0.02,"OK","REVISAR"))</f>
        <v/>
      </c>
      <c r="P469">
        <f>IF(D469="","",IF(LEN(TRIM(D469))&lt;&gt;9,"REVISAR",IFERROR(IF(OR(ISNUMBER(VALUE(LEFT(UPPER(TRIM(D469)),1))),LEFT(UPPER(TRIM(D469)),1)="X",LEFT(UPPER(TRIM(D469)),1)="Y",LEFT(UPPER(TRIM(D469)),1)="Z"),IF(MID("TRWAGMYFPDXBNJZSQVHLCKE",MOD(VALUE(SUBSTITUTE(SUBSTITUTE(SUBSTITUTE(LEFT(UPPER(TRIM(D469)),8),"X","0"),"Y","1"),"Z","2")),23)+1,1)=RIGHT(UPPER(TRIM(D469)),1),"OK","REVISAR"),IF(OR(RIGHT(UPPER(TRIM(D469)),1)=TEXT(MOD(10-MOD((VALUE(MID(UPPER(TRIM(D469)),3,1))+VALUE(MID(UPPER(TRIM(D469)),5,1))+VALUE(MID(UPPER(TRIM(D469)),7,1)))+(INT(2*VALUE(MID(UPPER(TRIM(D469)),2,1))/10)+MOD(2*VALUE(MID(UPPER(TRIM(D469)),2,1)),10))+(INT(2*VALUE(MID(UPPER(TRIM(D469)),4,1))/10)+MOD(2*VALUE(MID(UPPER(TRIM(D469)),4,1)),10))+(INT(2*VALUE(MID(UPPER(TRIM(D469)),6,1))/10)+MOD(2*VALUE(MID(UPPER(TRIM(D469)),6,1)),10))+(INT(2*VALUE(MID(UPPER(TRIM(D469)),8,1))/10)+MOD(2*VALUE(MID(UPPER(TRIM(D469)),8,1)),10)),10),10),"0"),RIGHT(UPPER(TRIM(D469)),1)=MID("JABCDEFGHI",MOD(10-MOD((VALUE(MID(UPPER(TRIM(D469)),3,1))+VALUE(MID(UPPER(TRIM(D469)),5,1))+VALUE(MID(UPPER(TRIM(D469)),7,1)))+(INT(2*VALUE(MID(UPPER(TRIM(D469)),2,1))/10)+MOD(2*VALUE(MID(UPPER(TRIM(D469)),2,1)),10))+(INT(2*VALUE(MID(UPPER(TRIM(D469)),4,1))/10)+MOD(2*VALUE(MID(UPPER(TRIM(D469)),4,1)),10))+(INT(2*VALUE(MID(UPPER(TRIM(D469)),6,1))/10)+MOD(2*VALUE(MID(UPPER(TRIM(D469)),6,1)),10))+(INT(2*VALUE(MID(UPPER(TRIM(D469)),8,1))/10)+MOD(2*VALUE(MID(UPPER(TRIM(D469)),8,1)),10)),10),10)+1,1)),"OK","REVISAR")),"REVISAR")))</f>
        <v/>
      </c>
      <c r="Q469">
        <f>IF(B469="","",IF(COUNTIFS($B$2:$B$501,B469,$D$2:$D$501,D469)&gt;1,"DUPLICADA",""))</f>
        <v/>
      </c>
      <c r="R469">
        <f>IF(A469="","",ROUNDUP(MONTH(A469)/3,0))</f>
        <v/>
      </c>
      <c r="S469" s="3" t="n"/>
    </row>
    <row r="470">
      <c r="A470" s="2" t="n"/>
      <c r="B470" s="3" t="n"/>
      <c r="C470" s="3" t="n"/>
      <c r="D470" s="3" t="n"/>
      <c r="E470" s="4" t="n"/>
      <c r="F470" s="4" t="n"/>
      <c r="G470" s="4" t="n"/>
      <c r="H470" s="4" t="n"/>
      <c r="I470" s="5">
        <f>IF(E470="","",ROUND(E470*0.21,2))</f>
        <v/>
      </c>
      <c r="J470" s="5">
        <f>IF(F470="","",ROUND(F470*0.1,2))</f>
        <v/>
      </c>
      <c r="K470" s="5">
        <f>IF(G470="","",ROUND(G470*0.04,2))</f>
        <v/>
      </c>
      <c r="L470" s="4" t="n"/>
      <c r="M470" s="4" t="n"/>
      <c r="N470" s="5">
        <f>IF(A470="","",SUM(E470:K470)-N(L470))</f>
        <v/>
      </c>
      <c r="O470">
        <f>IF(OR(A470="",M470=""),"",IF(ABS(M470-N470)&lt;=0.02,"OK","REVISAR"))</f>
        <v/>
      </c>
      <c r="P470">
        <f>IF(D470="","",IF(LEN(TRIM(D470))&lt;&gt;9,"REVISAR",IFERROR(IF(OR(ISNUMBER(VALUE(LEFT(UPPER(TRIM(D470)),1))),LEFT(UPPER(TRIM(D470)),1)="X",LEFT(UPPER(TRIM(D470)),1)="Y",LEFT(UPPER(TRIM(D470)),1)="Z"),IF(MID("TRWAGMYFPDXBNJZSQVHLCKE",MOD(VALUE(SUBSTITUTE(SUBSTITUTE(SUBSTITUTE(LEFT(UPPER(TRIM(D470)),8),"X","0"),"Y","1"),"Z","2")),23)+1,1)=RIGHT(UPPER(TRIM(D470)),1),"OK","REVISAR"),IF(OR(RIGHT(UPPER(TRIM(D470)),1)=TEXT(MOD(10-MOD((VALUE(MID(UPPER(TRIM(D470)),3,1))+VALUE(MID(UPPER(TRIM(D470)),5,1))+VALUE(MID(UPPER(TRIM(D470)),7,1)))+(INT(2*VALUE(MID(UPPER(TRIM(D470)),2,1))/10)+MOD(2*VALUE(MID(UPPER(TRIM(D470)),2,1)),10))+(INT(2*VALUE(MID(UPPER(TRIM(D470)),4,1))/10)+MOD(2*VALUE(MID(UPPER(TRIM(D470)),4,1)),10))+(INT(2*VALUE(MID(UPPER(TRIM(D470)),6,1))/10)+MOD(2*VALUE(MID(UPPER(TRIM(D470)),6,1)),10))+(INT(2*VALUE(MID(UPPER(TRIM(D470)),8,1))/10)+MOD(2*VALUE(MID(UPPER(TRIM(D470)),8,1)),10)),10),10),"0"),RIGHT(UPPER(TRIM(D470)),1)=MID("JABCDEFGHI",MOD(10-MOD((VALUE(MID(UPPER(TRIM(D470)),3,1))+VALUE(MID(UPPER(TRIM(D470)),5,1))+VALUE(MID(UPPER(TRIM(D470)),7,1)))+(INT(2*VALUE(MID(UPPER(TRIM(D470)),2,1))/10)+MOD(2*VALUE(MID(UPPER(TRIM(D470)),2,1)),10))+(INT(2*VALUE(MID(UPPER(TRIM(D470)),4,1))/10)+MOD(2*VALUE(MID(UPPER(TRIM(D470)),4,1)),10))+(INT(2*VALUE(MID(UPPER(TRIM(D470)),6,1))/10)+MOD(2*VALUE(MID(UPPER(TRIM(D470)),6,1)),10))+(INT(2*VALUE(MID(UPPER(TRIM(D470)),8,1))/10)+MOD(2*VALUE(MID(UPPER(TRIM(D470)),8,1)),10)),10),10)+1,1)),"OK","REVISAR")),"REVISAR")))</f>
        <v/>
      </c>
      <c r="Q470">
        <f>IF(B470="","",IF(COUNTIFS($B$2:$B$501,B470,$D$2:$D$501,D470)&gt;1,"DUPLICADA",""))</f>
        <v/>
      </c>
      <c r="R470">
        <f>IF(A470="","",ROUNDUP(MONTH(A470)/3,0))</f>
        <v/>
      </c>
      <c r="S470" s="3" t="n"/>
    </row>
    <row r="471">
      <c r="A471" s="2" t="n"/>
      <c r="B471" s="3" t="n"/>
      <c r="C471" s="3" t="n"/>
      <c r="D471" s="3" t="n"/>
      <c r="E471" s="4" t="n"/>
      <c r="F471" s="4" t="n"/>
      <c r="G471" s="4" t="n"/>
      <c r="H471" s="4" t="n"/>
      <c r="I471" s="5">
        <f>IF(E471="","",ROUND(E471*0.21,2))</f>
        <v/>
      </c>
      <c r="J471" s="5">
        <f>IF(F471="","",ROUND(F471*0.1,2))</f>
        <v/>
      </c>
      <c r="K471" s="5">
        <f>IF(G471="","",ROUND(G471*0.04,2))</f>
        <v/>
      </c>
      <c r="L471" s="4" t="n"/>
      <c r="M471" s="4" t="n"/>
      <c r="N471" s="5">
        <f>IF(A471="","",SUM(E471:K471)-N(L471))</f>
        <v/>
      </c>
      <c r="O471">
        <f>IF(OR(A471="",M471=""),"",IF(ABS(M471-N471)&lt;=0.02,"OK","REVISAR"))</f>
        <v/>
      </c>
      <c r="P471">
        <f>IF(D471="","",IF(LEN(TRIM(D471))&lt;&gt;9,"REVISAR",IFERROR(IF(OR(ISNUMBER(VALUE(LEFT(UPPER(TRIM(D471)),1))),LEFT(UPPER(TRIM(D471)),1)="X",LEFT(UPPER(TRIM(D471)),1)="Y",LEFT(UPPER(TRIM(D471)),1)="Z"),IF(MID("TRWAGMYFPDXBNJZSQVHLCKE",MOD(VALUE(SUBSTITUTE(SUBSTITUTE(SUBSTITUTE(LEFT(UPPER(TRIM(D471)),8),"X","0"),"Y","1"),"Z","2")),23)+1,1)=RIGHT(UPPER(TRIM(D471)),1),"OK","REVISAR"),IF(OR(RIGHT(UPPER(TRIM(D471)),1)=TEXT(MOD(10-MOD((VALUE(MID(UPPER(TRIM(D471)),3,1))+VALUE(MID(UPPER(TRIM(D471)),5,1))+VALUE(MID(UPPER(TRIM(D471)),7,1)))+(INT(2*VALUE(MID(UPPER(TRIM(D471)),2,1))/10)+MOD(2*VALUE(MID(UPPER(TRIM(D471)),2,1)),10))+(INT(2*VALUE(MID(UPPER(TRIM(D471)),4,1))/10)+MOD(2*VALUE(MID(UPPER(TRIM(D471)),4,1)),10))+(INT(2*VALUE(MID(UPPER(TRIM(D471)),6,1))/10)+MOD(2*VALUE(MID(UPPER(TRIM(D471)),6,1)),10))+(INT(2*VALUE(MID(UPPER(TRIM(D471)),8,1))/10)+MOD(2*VALUE(MID(UPPER(TRIM(D471)),8,1)),10)),10),10),"0"),RIGHT(UPPER(TRIM(D471)),1)=MID("JABCDEFGHI",MOD(10-MOD((VALUE(MID(UPPER(TRIM(D471)),3,1))+VALUE(MID(UPPER(TRIM(D471)),5,1))+VALUE(MID(UPPER(TRIM(D471)),7,1)))+(INT(2*VALUE(MID(UPPER(TRIM(D471)),2,1))/10)+MOD(2*VALUE(MID(UPPER(TRIM(D471)),2,1)),10))+(INT(2*VALUE(MID(UPPER(TRIM(D471)),4,1))/10)+MOD(2*VALUE(MID(UPPER(TRIM(D471)),4,1)),10))+(INT(2*VALUE(MID(UPPER(TRIM(D471)),6,1))/10)+MOD(2*VALUE(MID(UPPER(TRIM(D471)),6,1)),10))+(INT(2*VALUE(MID(UPPER(TRIM(D471)),8,1))/10)+MOD(2*VALUE(MID(UPPER(TRIM(D471)),8,1)),10)),10),10)+1,1)),"OK","REVISAR")),"REVISAR")))</f>
        <v/>
      </c>
      <c r="Q471">
        <f>IF(B471="","",IF(COUNTIFS($B$2:$B$501,B471,$D$2:$D$501,D471)&gt;1,"DUPLICADA",""))</f>
        <v/>
      </c>
      <c r="R471">
        <f>IF(A471="","",ROUNDUP(MONTH(A471)/3,0))</f>
        <v/>
      </c>
      <c r="S471" s="3" t="n"/>
    </row>
    <row r="472">
      <c r="A472" s="2" t="n"/>
      <c r="B472" s="3" t="n"/>
      <c r="C472" s="3" t="n"/>
      <c r="D472" s="3" t="n"/>
      <c r="E472" s="4" t="n"/>
      <c r="F472" s="4" t="n"/>
      <c r="G472" s="4" t="n"/>
      <c r="H472" s="4" t="n"/>
      <c r="I472" s="5">
        <f>IF(E472="","",ROUND(E472*0.21,2))</f>
        <v/>
      </c>
      <c r="J472" s="5">
        <f>IF(F472="","",ROUND(F472*0.1,2))</f>
        <v/>
      </c>
      <c r="K472" s="5">
        <f>IF(G472="","",ROUND(G472*0.04,2))</f>
        <v/>
      </c>
      <c r="L472" s="4" t="n"/>
      <c r="M472" s="4" t="n"/>
      <c r="N472" s="5">
        <f>IF(A472="","",SUM(E472:K472)-N(L472))</f>
        <v/>
      </c>
      <c r="O472">
        <f>IF(OR(A472="",M472=""),"",IF(ABS(M472-N472)&lt;=0.02,"OK","REVISAR"))</f>
        <v/>
      </c>
      <c r="P472">
        <f>IF(D472="","",IF(LEN(TRIM(D472))&lt;&gt;9,"REVISAR",IFERROR(IF(OR(ISNUMBER(VALUE(LEFT(UPPER(TRIM(D472)),1))),LEFT(UPPER(TRIM(D472)),1)="X",LEFT(UPPER(TRIM(D472)),1)="Y",LEFT(UPPER(TRIM(D472)),1)="Z"),IF(MID("TRWAGMYFPDXBNJZSQVHLCKE",MOD(VALUE(SUBSTITUTE(SUBSTITUTE(SUBSTITUTE(LEFT(UPPER(TRIM(D472)),8),"X","0"),"Y","1"),"Z","2")),23)+1,1)=RIGHT(UPPER(TRIM(D472)),1),"OK","REVISAR"),IF(OR(RIGHT(UPPER(TRIM(D472)),1)=TEXT(MOD(10-MOD((VALUE(MID(UPPER(TRIM(D472)),3,1))+VALUE(MID(UPPER(TRIM(D472)),5,1))+VALUE(MID(UPPER(TRIM(D472)),7,1)))+(INT(2*VALUE(MID(UPPER(TRIM(D472)),2,1))/10)+MOD(2*VALUE(MID(UPPER(TRIM(D472)),2,1)),10))+(INT(2*VALUE(MID(UPPER(TRIM(D472)),4,1))/10)+MOD(2*VALUE(MID(UPPER(TRIM(D472)),4,1)),10))+(INT(2*VALUE(MID(UPPER(TRIM(D472)),6,1))/10)+MOD(2*VALUE(MID(UPPER(TRIM(D472)),6,1)),10))+(INT(2*VALUE(MID(UPPER(TRIM(D472)),8,1))/10)+MOD(2*VALUE(MID(UPPER(TRIM(D472)),8,1)),10)),10),10),"0"),RIGHT(UPPER(TRIM(D472)),1)=MID("JABCDEFGHI",MOD(10-MOD((VALUE(MID(UPPER(TRIM(D472)),3,1))+VALUE(MID(UPPER(TRIM(D472)),5,1))+VALUE(MID(UPPER(TRIM(D472)),7,1)))+(INT(2*VALUE(MID(UPPER(TRIM(D472)),2,1))/10)+MOD(2*VALUE(MID(UPPER(TRIM(D472)),2,1)),10))+(INT(2*VALUE(MID(UPPER(TRIM(D472)),4,1))/10)+MOD(2*VALUE(MID(UPPER(TRIM(D472)),4,1)),10))+(INT(2*VALUE(MID(UPPER(TRIM(D472)),6,1))/10)+MOD(2*VALUE(MID(UPPER(TRIM(D472)),6,1)),10))+(INT(2*VALUE(MID(UPPER(TRIM(D472)),8,1))/10)+MOD(2*VALUE(MID(UPPER(TRIM(D472)),8,1)),10)),10),10)+1,1)),"OK","REVISAR")),"REVISAR")))</f>
        <v/>
      </c>
      <c r="Q472">
        <f>IF(B472="","",IF(COUNTIFS($B$2:$B$501,B472,$D$2:$D$501,D472)&gt;1,"DUPLICADA",""))</f>
        <v/>
      </c>
      <c r="R472">
        <f>IF(A472="","",ROUNDUP(MONTH(A472)/3,0))</f>
        <v/>
      </c>
      <c r="S472" s="3" t="n"/>
    </row>
    <row r="473">
      <c r="A473" s="2" t="n"/>
      <c r="B473" s="3" t="n"/>
      <c r="C473" s="3" t="n"/>
      <c r="D473" s="3" t="n"/>
      <c r="E473" s="4" t="n"/>
      <c r="F473" s="4" t="n"/>
      <c r="G473" s="4" t="n"/>
      <c r="H473" s="4" t="n"/>
      <c r="I473" s="5">
        <f>IF(E473="","",ROUND(E473*0.21,2))</f>
        <v/>
      </c>
      <c r="J473" s="5">
        <f>IF(F473="","",ROUND(F473*0.1,2))</f>
        <v/>
      </c>
      <c r="K473" s="5">
        <f>IF(G473="","",ROUND(G473*0.04,2))</f>
        <v/>
      </c>
      <c r="L473" s="4" t="n"/>
      <c r="M473" s="4" t="n"/>
      <c r="N473" s="5">
        <f>IF(A473="","",SUM(E473:K473)-N(L473))</f>
        <v/>
      </c>
      <c r="O473">
        <f>IF(OR(A473="",M473=""),"",IF(ABS(M473-N473)&lt;=0.02,"OK","REVISAR"))</f>
        <v/>
      </c>
      <c r="P473">
        <f>IF(D473="","",IF(LEN(TRIM(D473))&lt;&gt;9,"REVISAR",IFERROR(IF(OR(ISNUMBER(VALUE(LEFT(UPPER(TRIM(D473)),1))),LEFT(UPPER(TRIM(D473)),1)="X",LEFT(UPPER(TRIM(D473)),1)="Y",LEFT(UPPER(TRIM(D473)),1)="Z"),IF(MID("TRWAGMYFPDXBNJZSQVHLCKE",MOD(VALUE(SUBSTITUTE(SUBSTITUTE(SUBSTITUTE(LEFT(UPPER(TRIM(D473)),8),"X","0"),"Y","1"),"Z","2")),23)+1,1)=RIGHT(UPPER(TRIM(D473)),1),"OK","REVISAR"),IF(OR(RIGHT(UPPER(TRIM(D473)),1)=TEXT(MOD(10-MOD((VALUE(MID(UPPER(TRIM(D473)),3,1))+VALUE(MID(UPPER(TRIM(D473)),5,1))+VALUE(MID(UPPER(TRIM(D473)),7,1)))+(INT(2*VALUE(MID(UPPER(TRIM(D473)),2,1))/10)+MOD(2*VALUE(MID(UPPER(TRIM(D473)),2,1)),10))+(INT(2*VALUE(MID(UPPER(TRIM(D473)),4,1))/10)+MOD(2*VALUE(MID(UPPER(TRIM(D473)),4,1)),10))+(INT(2*VALUE(MID(UPPER(TRIM(D473)),6,1))/10)+MOD(2*VALUE(MID(UPPER(TRIM(D473)),6,1)),10))+(INT(2*VALUE(MID(UPPER(TRIM(D473)),8,1))/10)+MOD(2*VALUE(MID(UPPER(TRIM(D473)),8,1)),10)),10),10),"0"),RIGHT(UPPER(TRIM(D473)),1)=MID("JABCDEFGHI",MOD(10-MOD((VALUE(MID(UPPER(TRIM(D473)),3,1))+VALUE(MID(UPPER(TRIM(D473)),5,1))+VALUE(MID(UPPER(TRIM(D473)),7,1)))+(INT(2*VALUE(MID(UPPER(TRIM(D473)),2,1))/10)+MOD(2*VALUE(MID(UPPER(TRIM(D473)),2,1)),10))+(INT(2*VALUE(MID(UPPER(TRIM(D473)),4,1))/10)+MOD(2*VALUE(MID(UPPER(TRIM(D473)),4,1)),10))+(INT(2*VALUE(MID(UPPER(TRIM(D473)),6,1))/10)+MOD(2*VALUE(MID(UPPER(TRIM(D473)),6,1)),10))+(INT(2*VALUE(MID(UPPER(TRIM(D473)),8,1))/10)+MOD(2*VALUE(MID(UPPER(TRIM(D473)),8,1)),10)),10),10)+1,1)),"OK","REVISAR")),"REVISAR")))</f>
        <v/>
      </c>
      <c r="Q473">
        <f>IF(B473="","",IF(COUNTIFS($B$2:$B$501,B473,$D$2:$D$501,D473)&gt;1,"DUPLICADA",""))</f>
        <v/>
      </c>
      <c r="R473">
        <f>IF(A473="","",ROUNDUP(MONTH(A473)/3,0))</f>
        <v/>
      </c>
      <c r="S473" s="3" t="n"/>
    </row>
    <row r="474">
      <c r="A474" s="2" t="n"/>
      <c r="B474" s="3" t="n"/>
      <c r="C474" s="3" t="n"/>
      <c r="D474" s="3" t="n"/>
      <c r="E474" s="4" t="n"/>
      <c r="F474" s="4" t="n"/>
      <c r="G474" s="4" t="n"/>
      <c r="H474" s="4" t="n"/>
      <c r="I474" s="5">
        <f>IF(E474="","",ROUND(E474*0.21,2))</f>
        <v/>
      </c>
      <c r="J474" s="5">
        <f>IF(F474="","",ROUND(F474*0.1,2))</f>
        <v/>
      </c>
      <c r="K474" s="5">
        <f>IF(G474="","",ROUND(G474*0.04,2))</f>
        <v/>
      </c>
      <c r="L474" s="4" t="n"/>
      <c r="M474" s="4" t="n"/>
      <c r="N474" s="5">
        <f>IF(A474="","",SUM(E474:K474)-N(L474))</f>
        <v/>
      </c>
      <c r="O474">
        <f>IF(OR(A474="",M474=""),"",IF(ABS(M474-N474)&lt;=0.02,"OK","REVISAR"))</f>
        <v/>
      </c>
      <c r="P474">
        <f>IF(D474="","",IF(LEN(TRIM(D474))&lt;&gt;9,"REVISAR",IFERROR(IF(OR(ISNUMBER(VALUE(LEFT(UPPER(TRIM(D474)),1))),LEFT(UPPER(TRIM(D474)),1)="X",LEFT(UPPER(TRIM(D474)),1)="Y",LEFT(UPPER(TRIM(D474)),1)="Z"),IF(MID("TRWAGMYFPDXBNJZSQVHLCKE",MOD(VALUE(SUBSTITUTE(SUBSTITUTE(SUBSTITUTE(LEFT(UPPER(TRIM(D474)),8),"X","0"),"Y","1"),"Z","2")),23)+1,1)=RIGHT(UPPER(TRIM(D474)),1),"OK","REVISAR"),IF(OR(RIGHT(UPPER(TRIM(D474)),1)=TEXT(MOD(10-MOD((VALUE(MID(UPPER(TRIM(D474)),3,1))+VALUE(MID(UPPER(TRIM(D474)),5,1))+VALUE(MID(UPPER(TRIM(D474)),7,1)))+(INT(2*VALUE(MID(UPPER(TRIM(D474)),2,1))/10)+MOD(2*VALUE(MID(UPPER(TRIM(D474)),2,1)),10))+(INT(2*VALUE(MID(UPPER(TRIM(D474)),4,1))/10)+MOD(2*VALUE(MID(UPPER(TRIM(D474)),4,1)),10))+(INT(2*VALUE(MID(UPPER(TRIM(D474)),6,1))/10)+MOD(2*VALUE(MID(UPPER(TRIM(D474)),6,1)),10))+(INT(2*VALUE(MID(UPPER(TRIM(D474)),8,1))/10)+MOD(2*VALUE(MID(UPPER(TRIM(D474)),8,1)),10)),10),10),"0"),RIGHT(UPPER(TRIM(D474)),1)=MID("JABCDEFGHI",MOD(10-MOD((VALUE(MID(UPPER(TRIM(D474)),3,1))+VALUE(MID(UPPER(TRIM(D474)),5,1))+VALUE(MID(UPPER(TRIM(D474)),7,1)))+(INT(2*VALUE(MID(UPPER(TRIM(D474)),2,1))/10)+MOD(2*VALUE(MID(UPPER(TRIM(D474)),2,1)),10))+(INT(2*VALUE(MID(UPPER(TRIM(D474)),4,1))/10)+MOD(2*VALUE(MID(UPPER(TRIM(D474)),4,1)),10))+(INT(2*VALUE(MID(UPPER(TRIM(D474)),6,1))/10)+MOD(2*VALUE(MID(UPPER(TRIM(D474)),6,1)),10))+(INT(2*VALUE(MID(UPPER(TRIM(D474)),8,1))/10)+MOD(2*VALUE(MID(UPPER(TRIM(D474)),8,1)),10)),10),10)+1,1)),"OK","REVISAR")),"REVISAR")))</f>
        <v/>
      </c>
      <c r="Q474">
        <f>IF(B474="","",IF(COUNTIFS($B$2:$B$501,B474,$D$2:$D$501,D474)&gt;1,"DUPLICADA",""))</f>
        <v/>
      </c>
      <c r="R474">
        <f>IF(A474="","",ROUNDUP(MONTH(A474)/3,0))</f>
        <v/>
      </c>
      <c r="S474" s="3" t="n"/>
    </row>
    <row r="475">
      <c r="A475" s="2" t="n"/>
      <c r="B475" s="3" t="n"/>
      <c r="C475" s="3" t="n"/>
      <c r="D475" s="3" t="n"/>
      <c r="E475" s="4" t="n"/>
      <c r="F475" s="4" t="n"/>
      <c r="G475" s="4" t="n"/>
      <c r="H475" s="4" t="n"/>
      <c r="I475" s="5">
        <f>IF(E475="","",ROUND(E475*0.21,2))</f>
        <v/>
      </c>
      <c r="J475" s="5">
        <f>IF(F475="","",ROUND(F475*0.1,2))</f>
        <v/>
      </c>
      <c r="K475" s="5">
        <f>IF(G475="","",ROUND(G475*0.04,2))</f>
        <v/>
      </c>
      <c r="L475" s="4" t="n"/>
      <c r="M475" s="4" t="n"/>
      <c r="N475" s="5">
        <f>IF(A475="","",SUM(E475:K475)-N(L475))</f>
        <v/>
      </c>
      <c r="O475">
        <f>IF(OR(A475="",M475=""),"",IF(ABS(M475-N475)&lt;=0.02,"OK","REVISAR"))</f>
        <v/>
      </c>
      <c r="P475">
        <f>IF(D475="","",IF(LEN(TRIM(D475))&lt;&gt;9,"REVISAR",IFERROR(IF(OR(ISNUMBER(VALUE(LEFT(UPPER(TRIM(D475)),1))),LEFT(UPPER(TRIM(D475)),1)="X",LEFT(UPPER(TRIM(D475)),1)="Y",LEFT(UPPER(TRIM(D475)),1)="Z"),IF(MID("TRWAGMYFPDXBNJZSQVHLCKE",MOD(VALUE(SUBSTITUTE(SUBSTITUTE(SUBSTITUTE(LEFT(UPPER(TRIM(D475)),8),"X","0"),"Y","1"),"Z","2")),23)+1,1)=RIGHT(UPPER(TRIM(D475)),1),"OK","REVISAR"),IF(OR(RIGHT(UPPER(TRIM(D475)),1)=TEXT(MOD(10-MOD((VALUE(MID(UPPER(TRIM(D475)),3,1))+VALUE(MID(UPPER(TRIM(D475)),5,1))+VALUE(MID(UPPER(TRIM(D475)),7,1)))+(INT(2*VALUE(MID(UPPER(TRIM(D475)),2,1))/10)+MOD(2*VALUE(MID(UPPER(TRIM(D475)),2,1)),10))+(INT(2*VALUE(MID(UPPER(TRIM(D475)),4,1))/10)+MOD(2*VALUE(MID(UPPER(TRIM(D475)),4,1)),10))+(INT(2*VALUE(MID(UPPER(TRIM(D475)),6,1))/10)+MOD(2*VALUE(MID(UPPER(TRIM(D475)),6,1)),10))+(INT(2*VALUE(MID(UPPER(TRIM(D475)),8,1))/10)+MOD(2*VALUE(MID(UPPER(TRIM(D475)),8,1)),10)),10),10),"0"),RIGHT(UPPER(TRIM(D475)),1)=MID("JABCDEFGHI",MOD(10-MOD((VALUE(MID(UPPER(TRIM(D475)),3,1))+VALUE(MID(UPPER(TRIM(D475)),5,1))+VALUE(MID(UPPER(TRIM(D475)),7,1)))+(INT(2*VALUE(MID(UPPER(TRIM(D475)),2,1))/10)+MOD(2*VALUE(MID(UPPER(TRIM(D475)),2,1)),10))+(INT(2*VALUE(MID(UPPER(TRIM(D475)),4,1))/10)+MOD(2*VALUE(MID(UPPER(TRIM(D475)),4,1)),10))+(INT(2*VALUE(MID(UPPER(TRIM(D475)),6,1))/10)+MOD(2*VALUE(MID(UPPER(TRIM(D475)),6,1)),10))+(INT(2*VALUE(MID(UPPER(TRIM(D475)),8,1))/10)+MOD(2*VALUE(MID(UPPER(TRIM(D475)),8,1)),10)),10),10)+1,1)),"OK","REVISAR")),"REVISAR")))</f>
        <v/>
      </c>
      <c r="Q475">
        <f>IF(B475="","",IF(COUNTIFS($B$2:$B$501,B475,$D$2:$D$501,D475)&gt;1,"DUPLICADA",""))</f>
        <v/>
      </c>
      <c r="R475">
        <f>IF(A475="","",ROUNDUP(MONTH(A475)/3,0))</f>
        <v/>
      </c>
      <c r="S475" s="3" t="n"/>
    </row>
    <row r="476">
      <c r="A476" s="2" t="n"/>
      <c r="B476" s="3" t="n"/>
      <c r="C476" s="3" t="n"/>
      <c r="D476" s="3" t="n"/>
      <c r="E476" s="4" t="n"/>
      <c r="F476" s="4" t="n"/>
      <c r="G476" s="4" t="n"/>
      <c r="H476" s="4" t="n"/>
      <c r="I476" s="5">
        <f>IF(E476="","",ROUND(E476*0.21,2))</f>
        <v/>
      </c>
      <c r="J476" s="5">
        <f>IF(F476="","",ROUND(F476*0.1,2))</f>
        <v/>
      </c>
      <c r="K476" s="5">
        <f>IF(G476="","",ROUND(G476*0.04,2))</f>
        <v/>
      </c>
      <c r="L476" s="4" t="n"/>
      <c r="M476" s="4" t="n"/>
      <c r="N476" s="5">
        <f>IF(A476="","",SUM(E476:K476)-N(L476))</f>
        <v/>
      </c>
      <c r="O476">
        <f>IF(OR(A476="",M476=""),"",IF(ABS(M476-N476)&lt;=0.02,"OK","REVISAR"))</f>
        <v/>
      </c>
      <c r="P476">
        <f>IF(D476="","",IF(LEN(TRIM(D476))&lt;&gt;9,"REVISAR",IFERROR(IF(OR(ISNUMBER(VALUE(LEFT(UPPER(TRIM(D476)),1))),LEFT(UPPER(TRIM(D476)),1)="X",LEFT(UPPER(TRIM(D476)),1)="Y",LEFT(UPPER(TRIM(D476)),1)="Z"),IF(MID("TRWAGMYFPDXBNJZSQVHLCKE",MOD(VALUE(SUBSTITUTE(SUBSTITUTE(SUBSTITUTE(LEFT(UPPER(TRIM(D476)),8),"X","0"),"Y","1"),"Z","2")),23)+1,1)=RIGHT(UPPER(TRIM(D476)),1),"OK","REVISAR"),IF(OR(RIGHT(UPPER(TRIM(D476)),1)=TEXT(MOD(10-MOD((VALUE(MID(UPPER(TRIM(D476)),3,1))+VALUE(MID(UPPER(TRIM(D476)),5,1))+VALUE(MID(UPPER(TRIM(D476)),7,1)))+(INT(2*VALUE(MID(UPPER(TRIM(D476)),2,1))/10)+MOD(2*VALUE(MID(UPPER(TRIM(D476)),2,1)),10))+(INT(2*VALUE(MID(UPPER(TRIM(D476)),4,1))/10)+MOD(2*VALUE(MID(UPPER(TRIM(D476)),4,1)),10))+(INT(2*VALUE(MID(UPPER(TRIM(D476)),6,1))/10)+MOD(2*VALUE(MID(UPPER(TRIM(D476)),6,1)),10))+(INT(2*VALUE(MID(UPPER(TRIM(D476)),8,1))/10)+MOD(2*VALUE(MID(UPPER(TRIM(D476)),8,1)),10)),10),10),"0"),RIGHT(UPPER(TRIM(D476)),1)=MID("JABCDEFGHI",MOD(10-MOD((VALUE(MID(UPPER(TRIM(D476)),3,1))+VALUE(MID(UPPER(TRIM(D476)),5,1))+VALUE(MID(UPPER(TRIM(D476)),7,1)))+(INT(2*VALUE(MID(UPPER(TRIM(D476)),2,1))/10)+MOD(2*VALUE(MID(UPPER(TRIM(D476)),2,1)),10))+(INT(2*VALUE(MID(UPPER(TRIM(D476)),4,1))/10)+MOD(2*VALUE(MID(UPPER(TRIM(D476)),4,1)),10))+(INT(2*VALUE(MID(UPPER(TRIM(D476)),6,1))/10)+MOD(2*VALUE(MID(UPPER(TRIM(D476)),6,1)),10))+(INT(2*VALUE(MID(UPPER(TRIM(D476)),8,1))/10)+MOD(2*VALUE(MID(UPPER(TRIM(D476)),8,1)),10)),10),10)+1,1)),"OK","REVISAR")),"REVISAR")))</f>
        <v/>
      </c>
      <c r="Q476">
        <f>IF(B476="","",IF(COUNTIFS($B$2:$B$501,B476,$D$2:$D$501,D476)&gt;1,"DUPLICADA",""))</f>
        <v/>
      </c>
      <c r="R476">
        <f>IF(A476="","",ROUNDUP(MONTH(A476)/3,0))</f>
        <v/>
      </c>
      <c r="S476" s="3" t="n"/>
    </row>
    <row r="477">
      <c r="A477" s="2" t="n"/>
      <c r="B477" s="3" t="n"/>
      <c r="C477" s="3" t="n"/>
      <c r="D477" s="3" t="n"/>
      <c r="E477" s="4" t="n"/>
      <c r="F477" s="4" t="n"/>
      <c r="G477" s="4" t="n"/>
      <c r="H477" s="4" t="n"/>
      <c r="I477" s="5">
        <f>IF(E477="","",ROUND(E477*0.21,2))</f>
        <v/>
      </c>
      <c r="J477" s="5">
        <f>IF(F477="","",ROUND(F477*0.1,2))</f>
        <v/>
      </c>
      <c r="K477" s="5">
        <f>IF(G477="","",ROUND(G477*0.04,2))</f>
        <v/>
      </c>
      <c r="L477" s="4" t="n"/>
      <c r="M477" s="4" t="n"/>
      <c r="N477" s="5">
        <f>IF(A477="","",SUM(E477:K477)-N(L477))</f>
        <v/>
      </c>
      <c r="O477">
        <f>IF(OR(A477="",M477=""),"",IF(ABS(M477-N477)&lt;=0.02,"OK","REVISAR"))</f>
        <v/>
      </c>
      <c r="P477">
        <f>IF(D477="","",IF(LEN(TRIM(D477))&lt;&gt;9,"REVISAR",IFERROR(IF(OR(ISNUMBER(VALUE(LEFT(UPPER(TRIM(D477)),1))),LEFT(UPPER(TRIM(D477)),1)="X",LEFT(UPPER(TRIM(D477)),1)="Y",LEFT(UPPER(TRIM(D477)),1)="Z"),IF(MID("TRWAGMYFPDXBNJZSQVHLCKE",MOD(VALUE(SUBSTITUTE(SUBSTITUTE(SUBSTITUTE(LEFT(UPPER(TRIM(D477)),8),"X","0"),"Y","1"),"Z","2")),23)+1,1)=RIGHT(UPPER(TRIM(D477)),1),"OK","REVISAR"),IF(OR(RIGHT(UPPER(TRIM(D477)),1)=TEXT(MOD(10-MOD((VALUE(MID(UPPER(TRIM(D477)),3,1))+VALUE(MID(UPPER(TRIM(D477)),5,1))+VALUE(MID(UPPER(TRIM(D477)),7,1)))+(INT(2*VALUE(MID(UPPER(TRIM(D477)),2,1))/10)+MOD(2*VALUE(MID(UPPER(TRIM(D477)),2,1)),10))+(INT(2*VALUE(MID(UPPER(TRIM(D477)),4,1))/10)+MOD(2*VALUE(MID(UPPER(TRIM(D477)),4,1)),10))+(INT(2*VALUE(MID(UPPER(TRIM(D477)),6,1))/10)+MOD(2*VALUE(MID(UPPER(TRIM(D477)),6,1)),10))+(INT(2*VALUE(MID(UPPER(TRIM(D477)),8,1))/10)+MOD(2*VALUE(MID(UPPER(TRIM(D477)),8,1)),10)),10),10),"0"),RIGHT(UPPER(TRIM(D477)),1)=MID("JABCDEFGHI",MOD(10-MOD((VALUE(MID(UPPER(TRIM(D477)),3,1))+VALUE(MID(UPPER(TRIM(D477)),5,1))+VALUE(MID(UPPER(TRIM(D477)),7,1)))+(INT(2*VALUE(MID(UPPER(TRIM(D477)),2,1))/10)+MOD(2*VALUE(MID(UPPER(TRIM(D477)),2,1)),10))+(INT(2*VALUE(MID(UPPER(TRIM(D477)),4,1))/10)+MOD(2*VALUE(MID(UPPER(TRIM(D477)),4,1)),10))+(INT(2*VALUE(MID(UPPER(TRIM(D477)),6,1))/10)+MOD(2*VALUE(MID(UPPER(TRIM(D477)),6,1)),10))+(INT(2*VALUE(MID(UPPER(TRIM(D477)),8,1))/10)+MOD(2*VALUE(MID(UPPER(TRIM(D477)),8,1)),10)),10),10)+1,1)),"OK","REVISAR")),"REVISAR")))</f>
        <v/>
      </c>
      <c r="Q477">
        <f>IF(B477="","",IF(COUNTIFS($B$2:$B$501,B477,$D$2:$D$501,D477)&gt;1,"DUPLICADA",""))</f>
        <v/>
      </c>
      <c r="R477">
        <f>IF(A477="","",ROUNDUP(MONTH(A477)/3,0))</f>
        <v/>
      </c>
      <c r="S477" s="3" t="n"/>
    </row>
    <row r="478">
      <c r="A478" s="2" t="n"/>
      <c r="B478" s="3" t="n"/>
      <c r="C478" s="3" t="n"/>
      <c r="D478" s="3" t="n"/>
      <c r="E478" s="4" t="n"/>
      <c r="F478" s="4" t="n"/>
      <c r="G478" s="4" t="n"/>
      <c r="H478" s="4" t="n"/>
      <c r="I478" s="5">
        <f>IF(E478="","",ROUND(E478*0.21,2))</f>
        <v/>
      </c>
      <c r="J478" s="5">
        <f>IF(F478="","",ROUND(F478*0.1,2))</f>
        <v/>
      </c>
      <c r="K478" s="5">
        <f>IF(G478="","",ROUND(G478*0.04,2))</f>
        <v/>
      </c>
      <c r="L478" s="4" t="n"/>
      <c r="M478" s="4" t="n"/>
      <c r="N478" s="5">
        <f>IF(A478="","",SUM(E478:K478)-N(L478))</f>
        <v/>
      </c>
      <c r="O478">
        <f>IF(OR(A478="",M478=""),"",IF(ABS(M478-N478)&lt;=0.02,"OK","REVISAR"))</f>
        <v/>
      </c>
      <c r="P478">
        <f>IF(D478="","",IF(LEN(TRIM(D478))&lt;&gt;9,"REVISAR",IFERROR(IF(OR(ISNUMBER(VALUE(LEFT(UPPER(TRIM(D478)),1))),LEFT(UPPER(TRIM(D478)),1)="X",LEFT(UPPER(TRIM(D478)),1)="Y",LEFT(UPPER(TRIM(D478)),1)="Z"),IF(MID("TRWAGMYFPDXBNJZSQVHLCKE",MOD(VALUE(SUBSTITUTE(SUBSTITUTE(SUBSTITUTE(LEFT(UPPER(TRIM(D478)),8),"X","0"),"Y","1"),"Z","2")),23)+1,1)=RIGHT(UPPER(TRIM(D478)),1),"OK","REVISAR"),IF(OR(RIGHT(UPPER(TRIM(D478)),1)=TEXT(MOD(10-MOD((VALUE(MID(UPPER(TRIM(D478)),3,1))+VALUE(MID(UPPER(TRIM(D478)),5,1))+VALUE(MID(UPPER(TRIM(D478)),7,1)))+(INT(2*VALUE(MID(UPPER(TRIM(D478)),2,1))/10)+MOD(2*VALUE(MID(UPPER(TRIM(D478)),2,1)),10))+(INT(2*VALUE(MID(UPPER(TRIM(D478)),4,1))/10)+MOD(2*VALUE(MID(UPPER(TRIM(D478)),4,1)),10))+(INT(2*VALUE(MID(UPPER(TRIM(D478)),6,1))/10)+MOD(2*VALUE(MID(UPPER(TRIM(D478)),6,1)),10))+(INT(2*VALUE(MID(UPPER(TRIM(D478)),8,1))/10)+MOD(2*VALUE(MID(UPPER(TRIM(D478)),8,1)),10)),10),10),"0"),RIGHT(UPPER(TRIM(D478)),1)=MID("JABCDEFGHI",MOD(10-MOD((VALUE(MID(UPPER(TRIM(D478)),3,1))+VALUE(MID(UPPER(TRIM(D478)),5,1))+VALUE(MID(UPPER(TRIM(D478)),7,1)))+(INT(2*VALUE(MID(UPPER(TRIM(D478)),2,1))/10)+MOD(2*VALUE(MID(UPPER(TRIM(D478)),2,1)),10))+(INT(2*VALUE(MID(UPPER(TRIM(D478)),4,1))/10)+MOD(2*VALUE(MID(UPPER(TRIM(D478)),4,1)),10))+(INT(2*VALUE(MID(UPPER(TRIM(D478)),6,1))/10)+MOD(2*VALUE(MID(UPPER(TRIM(D478)),6,1)),10))+(INT(2*VALUE(MID(UPPER(TRIM(D478)),8,1))/10)+MOD(2*VALUE(MID(UPPER(TRIM(D478)),8,1)),10)),10),10)+1,1)),"OK","REVISAR")),"REVISAR")))</f>
        <v/>
      </c>
      <c r="Q478">
        <f>IF(B478="","",IF(COUNTIFS($B$2:$B$501,B478,$D$2:$D$501,D478)&gt;1,"DUPLICADA",""))</f>
        <v/>
      </c>
      <c r="R478">
        <f>IF(A478="","",ROUNDUP(MONTH(A478)/3,0))</f>
        <v/>
      </c>
      <c r="S478" s="3" t="n"/>
    </row>
    <row r="479">
      <c r="A479" s="2" t="n"/>
      <c r="B479" s="3" t="n"/>
      <c r="C479" s="3" t="n"/>
      <c r="D479" s="3" t="n"/>
      <c r="E479" s="4" t="n"/>
      <c r="F479" s="4" t="n"/>
      <c r="G479" s="4" t="n"/>
      <c r="H479" s="4" t="n"/>
      <c r="I479" s="5">
        <f>IF(E479="","",ROUND(E479*0.21,2))</f>
        <v/>
      </c>
      <c r="J479" s="5">
        <f>IF(F479="","",ROUND(F479*0.1,2))</f>
        <v/>
      </c>
      <c r="K479" s="5">
        <f>IF(G479="","",ROUND(G479*0.04,2))</f>
        <v/>
      </c>
      <c r="L479" s="4" t="n"/>
      <c r="M479" s="4" t="n"/>
      <c r="N479" s="5">
        <f>IF(A479="","",SUM(E479:K479)-N(L479))</f>
        <v/>
      </c>
      <c r="O479">
        <f>IF(OR(A479="",M479=""),"",IF(ABS(M479-N479)&lt;=0.02,"OK","REVISAR"))</f>
        <v/>
      </c>
      <c r="P479">
        <f>IF(D479="","",IF(LEN(TRIM(D479))&lt;&gt;9,"REVISAR",IFERROR(IF(OR(ISNUMBER(VALUE(LEFT(UPPER(TRIM(D479)),1))),LEFT(UPPER(TRIM(D479)),1)="X",LEFT(UPPER(TRIM(D479)),1)="Y",LEFT(UPPER(TRIM(D479)),1)="Z"),IF(MID("TRWAGMYFPDXBNJZSQVHLCKE",MOD(VALUE(SUBSTITUTE(SUBSTITUTE(SUBSTITUTE(LEFT(UPPER(TRIM(D479)),8),"X","0"),"Y","1"),"Z","2")),23)+1,1)=RIGHT(UPPER(TRIM(D479)),1),"OK","REVISAR"),IF(OR(RIGHT(UPPER(TRIM(D479)),1)=TEXT(MOD(10-MOD((VALUE(MID(UPPER(TRIM(D479)),3,1))+VALUE(MID(UPPER(TRIM(D479)),5,1))+VALUE(MID(UPPER(TRIM(D479)),7,1)))+(INT(2*VALUE(MID(UPPER(TRIM(D479)),2,1))/10)+MOD(2*VALUE(MID(UPPER(TRIM(D479)),2,1)),10))+(INT(2*VALUE(MID(UPPER(TRIM(D479)),4,1))/10)+MOD(2*VALUE(MID(UPPER(TRIM(D479)),4,1)),10))+(INT(2*VALUE(MID(UPPER(TRIM(D479)),6,1))/10)+MOD(2*VALUE(MID(UPPER(TRIM(D479)),6,1)),10))+(INT(2*VALUE(MID(UPPER(TRIM(D479)),8,1))/10)+MOD(2*VALUE(MID(UPPER(TRIM(D479)),8,1)),10)),10),10),"0"),RIGHT(UPPER(TRIM(D479)),1)=MID("JABCDEFGHI",MOD(10-MOD((VALUE(MID(UPPER(TRIM(D479)),3,1))+VALUE(MID(UPPER(TRIM(D479)),5,1))+VALUE(MID(UPPER(TRIM(D479)),7,1)))+(INT(2*VALUE(MID(UPPER(TRIM(D479)),2,1))/10)+MOD(2*VALUE(MID(UPPER(TRIM(D479)),2,1)),10))+(INT(2*VALUE(MID(UPPER(TRIM(D479)),4,1))/10)+MOD(2*VALUE(MID(UPPER(TRIM(D479)),4,1)),10))+(INT(2*VALUE(MID(UPPER(TRIM(D479)),6,1))/10)+MOD(2*VALUE(MID(UPPER(TRIM(D479)),6,1)),10))+(INT(2*VALUE(MID(UPPER(TRIM(D479)),8,1))/10)+MOD(2*VALUE(MID(UPPER(TRIM(D479)),8,1)),10)),10),10)+1,1)),"OK","REVISAR")),"REVISAR")))</f>
        <v/>
      </c>
      <c r="Q479">
        <f>IF(B479="","",IF(COUNTIFS($B$2:$B$501,B479,$D$2:$D$501,D479)&gt;1,"DUPLICADA",""))</f>
        <v/>
      </c>
      <c r="R479">
        <f>IF(A479="","",ROUNDUP(MONTH(A479)/3,0))</f>
        <v/>
      </c>
      <c r="S479" s="3" t="n"/>
    </row>
    <row r="480">
      <c r="A480" s="2" t="n"/>
      <c r="B480" s="3" t="n"/>
      <c r="C480" s="3" t="n"/>
      <c r="D480" s="3" t="n"/>
      <c r="E480" s="4" t="n"/>
      <c r="F480" s="4" t="n"/>
      <c r="G480" s="4" t="n"/>
      <c r="H480" s="4" t="n"/>
      <c r="I480" s="5">
        <f>IF(E480="","",ROUND(E480*0.21,2))</f>
        <v/>
      </c>
      <c r="J480" s="5">
        <f>IF(F480="","",ROUND(F480*0.1,2))</f>
        <v/>
      </c>
      <c r="K480" s="5">
        <f>IF(G480="","",ROUND(G480*0.04,2))</f>
        <v/>
      </c>
      <c r="L480" s="4" t="n"/>
      <c r="M480" s="4" t="n"/>
      <c r="N480" s="5">
        <f>IF(A480="","",SUM(E480:K480)-N(L480))</f>
        <v/>
      </c>
      <c r="O480">
        <f>IF(OR(A480="",M480=""),"",IF(ABS(M480-N480)&lt;=0.02,"OK","REVISAR"))</f>
        <v/>
      </c>
      <c r="P480">
        <f>IF(D480="","",IF(LEN(TRIM(D480))&lt;&gt;9,"REVISAR",IFERROR(IF(OR(ISNUMBER(VALUE(LEFT(UPPER(TRIM(D480)),1))),LEFT(UPPER(TRIM(D480)),1)="X",LEFT(UPPER(TRIM(D480)),1)="Y",LEFT(UPPER(TRIM(D480)),1)="Z"),IF(MID("TRWAGMYFPDXBNJZSQVHLCKE",MOD(VALUE(SUBSTITUTE(SUBSTITUTE(SUBSTITUTE(LEFT(UPPER(TRIM(D480)),8),"X","0"),"Y","1"),"Z","2")),23)+1,1)=RIGHT(UPPER(TRIM(D480)),1),"OK","REVISAR"),IF(OR(RIGHT(UPPER(TRIM(D480)),1)=TEXT(MOD(10-MOD((VALUE(MID(UPPER(TRIM(D480)),3,1))+VALUE(MID(UPPER(TRIM(D480)),5,1))+VALUE(MID(UPPER(TRIM(D480)),7,1)))+(INT(2*VALUE(MID(UPPER(TRIM(D480)),2,1))/10)+MOD(2*VALUE(MID(UPPER(TRIM(D480)),2,1)),10))+(INT(2*VALUE(MID(UPPER(TRIM(D480)),4,1))/10)+MOD(2*VALUE(MID(UPPER(TRIM(D480)),4,1)),10))+(INT(2*VALUE(MID(UPPER(TRIM(D480)),6,1))/10)+MOD(2*VALUE(MID(UPPER(TRIM(D480)),6,1)),10))+(INT(2*VALUE(MID(UPPER(TRIM(D480)),8,1))/10)+MOD(2*VALUE(MID(UPPER(TRIM(D480)),8,1)),10)),10),10),"0"),RIGHT(UPPER(TRIM(D480)),1)=MID("JABCDEFGHI",MOD(10-MOD((VALUE(MID(UPPER(TRIM(D480)),3,1))+VALUE(MID(UPPER(TRIM(D480)),5,1))+VALUE(MID(UPPER(TRIM(D480)),7,1)))+(INT(2*VALUE(MID(UPPER(TRIM(D480)),2,1))/10)+MOD(2*VALUE(MID(UPPER(TRIM(D480)),2,1)),10))+(INT(2*VALUE(MID(UPPER(TRIM(D480)),4,1))/10)+MOD(2*VALUE(MID(UPPER(TRIM(D480)),4,1)),10))+(INT(2*VALUE(MID(UPPER(TRIM(D480)),6,1))/10)+MOD(2*VALUE(MID(UPPER(TRIM(D480)),6,1)),10))+(INT(2*VALUE(MID(UPPER(TRIM(D480)),8,1))/10)+MOD(2*VALUE(MID(UPPER(TRIM(D480)),8,1)),10)),10),10)+1,1)),"OK","REVISAR")),"REVISAR")))</f>
        <v/>
      </c>
      <c r="Q480">
        <f>IF(B480="","",IF(COUNTIFS($B$2:$B$501,B480,$D$2:$D$501,D480)&gt;1,"DUPLICADA",""))</f>
        <v/>
      </c>
      <c r="R480">
        <f>IF(A480="","",ROUNDUP(MONTH(A480)/3,0))</f>
        <v/>
      </c>
      <c r="S480" s="3" t="n"/>
    </row>
    <row r="481">
      <c r="A481" s="2" t="n"/>
      <c r="B481" s="3" t="n"/>
      <c r="C481" s="3" t="n"/>
      <c r="D481" s="3" t="n"/>
      <c r="E481" s="4" t="n"/>
      <c r="F481" s="4" t="n"/>
      <c r="G481" s="4" t="n"/>
      <c r="H481" s="4" t="n"/>
      <c r="I481" s="5">
        <f>IF(E481="","",ROUND(E481*0.21,2))</f>
        <v/>
      </c>
      <c r="J481" s="5">
        <f>IF(F481="","",ROUND(F481*0.1,2))</f>
        <v/>
      </c>
      <c r="K481" s="5">
        <f>IF(G481="","",ROUND(G481*0.04,2))</f>
        <v/>
      </c>
      <c r="L481" s="4" t="n"/>
      <c r="M481" s="4" t="n"/>
      <c r="N481" s="5">
        <f>IF(A481="","",SUM(E481:K481)-N(L481))</f>
        <v/>
      </c>
      <c r="O481">
        <f>IF(OR(A481="",M481=""),"",IF(ABS(M481-N481)&lt;=0.02,"OK","REVISAR"))</f>
        <v/>
      </c>
      <c r="P481">
        <f>IF(D481="","",IF(LEN(TRIM(D481))&lt;&gt;9,"REVISAR",IFERROR(IF(OR(ISNUMBER(VALUE(LEFT(UPPER(TRIM(D481)),1))),LEFT(UPPER(TRIM(D481)),1)="X",LEFT(UPPER(TRIM(D481)),1)="Y",LEFT(UPPER(TRIM(D481)),1)="Z"),IF(MID("TRWAGMYFPDXBNJZSQVHLCKE",MOD(VALUE(SUBSTITUTE(SUBSTITUTE(SUBSTITUTE(LEFT(UPPER(TRIM(D481)),8),"X","0"),"Y","1"),"Z","2")),23)+1,1)=RIGHT(UPPER(TRIM(D481)),1),"OK","REVISAR"),IF(OR(RIGHT(UPPER(TRIM(D481)),1)=TEXT(MOD(10-MOD((VALUE(MID(UPPER(TRIM(D481)),3,1))+VALUE(MID(UPPER(TRIM(D481)),5,1))+VALUE(MID(UPPER(TRIM(D481)),7,1)))+(INT(2*VALUE(MID(UPPER(TRIM(D481)),2,1))/10)+MOD(2*VALUE(MID(UPPER(TRIM(D481)),2,1)),10))+(INT(2*VALUE(MID(UPPER(TRIM(D481)),4,1))/10)+MOD(2*VALUE(MID(UPPER(TRIM(D481)),4,1)),10))+(INT(2*VALUE(MID(UPPER(TRIM(D481)),6,1))/10)+MOD(2*VALUE(MID(UPPER(TRIM(D481)),6,1)),10))+(INT(2*VALUE(MID(UPPER(TRIM(D481)),8,1))/10)+MOD(2*VALUE(MID(UPPER(TRIM(D481)),8,1)),10)),10),10),"0"),RIGHT(UPPER(TRIM(D481)),1)=MID("JABCDEFGHI",MOD(10-MOD((VALUE(MID(UPPER(TRIM(D481)),3,1))+VALUE(MID(UPPER(TRIM(D481)),5,1))+VALUE(MID(UPPER(TRIM(D481)),7,1)))+(INT(2*VALUE(MID(UPPER(TRIM(D481)),2,1))/10)+MOD(2*VALUE(MID(UPPER(TRIM(D481)),2,1)),10))+(INT(2*VALUE(MID(UPPER(TRIM(D481)),4,1))/10)+MOD(2*VALUE(MID(UPPER(TRIM(D481)),4,1)),10))+(INT(2*VALUE(MID(UPPER(TRIM(D481)),6,1))/10)+MOD(2*VALUE(MID(UPPER(TRIM(D481)),6,1)),10))+(INT(2*VALUE(MID(UPPER(TRIM(D481)),8,1))/10)+MOD(2*VALUE(MID(UPPER(TRIM(D481)),8,1)),10)),10),10)+1,1)),"OK","REVISAR")),"REVISAR")))</f>
        <v/>
      </c>
      <c r="Q481">
        <f>IF(B481="","",IF(COUNTIFS($B$2:$B$501,B481,$D$2:$D$501,D481)&gt;1,"DUPLICADA",""))</f>
        <v/>
      </c>
      <c r="R481">
        <f>IF(A481="","",ROUNDUP(MONTH(A481)/3,0))</f>
        <v/>
      </c>
      <c r="S481" s="3" t="n"/>
    </row>
    <row r="482">
      <c r="A482" s="2" t="n"/>
      <c r="B482" s="3" t="n"/>
      <c r="C482" s="3" t="n"/>
      <c r="D482" s="3" t="n"/>
      <c r="E482" s="4" t="n"/>
      <c r="F482" s="4" t="n"/>
      <c r="G482" s="4" t="n"/>
      <c r="H482" s="4" t="n"/>
      <c r="I482" s="5">
        <f>IF(E482="","",ROUND(E482*0.21,2))</f>
        <v/>
      </c>
      <c r="J482" s="5">
        <f>IF(F482="","",ROUND(F482*0.1,2))</f>
        <v/>
      </c>
      <c r="K482" s="5">
        <f>IF(G482="","",ROUND(G482*0.04,2))</f>
        <v/>
      </c>
      <c r="L482" s="4" t="n"/>
      <c r="M482" s="4" t="n"/>
      <c r="N482" s="5">
        <f>IF(A482="","",SUM(E482:K482)-N(L482))</f>
        <v/>
      </c>
      <c r="O482">
        <f>IF(OR(A482="",M482=""),"",IF(ABS(M482-N482)&lt;=0.02,"OK","REVISAR"))</f>
        <v/>
      </c>
      <c r="P482">
        <f>IF(D482="","",IF(LEN(TRIM(D482))&lt;&gt;9,"REVISAR",IFERROR(IF(OR(ISNUMBER(VALUE(LEFT(UPPER(TRIM(D482)),1))),LEFT(UPPER(TRIM(D482)),1)="X",LEFT(UPPER(TRIM(D482)),1)="Y",LEFT(UPPER(TRIM(D482)),1)="Z"),IF(MID("TRWAGMYFPDXBNJZSQVHLCKE",MOD(VALUE(SUBSTITUTE(SUBSTITUTE(SUBSTITUTE(LEFT(UPPER(TRIM(D482)),8),"X","0"),"Y","1"),"Z","2")),23)+1,1)=RIGHT(UPPER(TRIM(D482)),1),"OK","REVISAR"),IF(OR(RIGHT(UPPER(TRIM(D482)),1)=TEXT(MOD(10-MOD((VALUE(MID(UPPER(TRIM(D482)),3,1))+VALUE(MID(UPPER(TRIM(D482)),5,1))+VALUE(MID(UPPER(TRIM(D482)),7,1)))+(INT(2*VALUE(MID(UPPER(TRIM(D482)),2,1))/10)+MOD(2*VALUE(MID(UPPER(TRIM(D482)),2,1)),10))+(INT(2*VALUE(MID(UPPER(TRIM(D482)),4,1))/10)+MOD(2*VALUE(MID(UPPER(TRIM(D482)),4,1)),10))+(INT(2*VALUE(MID(UPPER(TRIM(D482)),6,1))/10)+MOD(2*VALUE(MID(UPPER(TRIM(D482)),6,1)),10))+(INT(2*VALUE(MID(UPPER(TRIM(D482)),8,1))/10)+MOD(2*VALUE(MID(UPPER(TRIM(D482)),8,1)),10)),10),10),"0"),RIGHT(UPPER(TRIM(D482)),1)=MID("JABCDEFGHI",MOD(10-MOD((VALUE(MID(UPPER(TRIM(D482)),3,1))+VALUE(MID(UPPER(TRIM(D482)),5,1))+VALUE(MID(UPPER(TRIM(D482)),7,1)))+(INT(2*VALUE(MID(UPPER(TRIM(D482)),2,1))/10)+MOD(2*VALUE(MID(UPPER(TRIM(D482)),2,1)),10))+(INT(2*VALUE(MID(UPPER(TRIM(D482)),4,1))/10)+MOD(2*VALUE(MID(UPPER(TRIM(D482)),4,1)),10))+(INT(2*VALUE(MID(UPPER(TRIM(D482)),6,1))/10)+MOD(2*VALUE(MID(UPPER(TRIM(D482)),6,1)),10))+(INT(2*VALUE(MID(UPPER(TRIM(D482)),8,1))/10)+MOD(2*VALUE(MID(UPPER(TRIM(D482)),8,1)),10)),10),10)+1,1)),"OK","REVISAR")),"REVISAR")))</f>
        <v/>
      </c>
      <c r="Q482">
        <f>IF(B482="","",IF(COUNTIFS($B$2:$B$501,B482,$D$2:$D$501,D482)&gt;1,"DUPLICADA",""))</f>
        <v/>
      </c>
      <c r="R482">
        <f>IF(A482="","",ROUNDUP(MONTH(A482)/3,0))</f>
        <v/>
      </c>
      <c r="S482" s="3" t="n"/>
    </row>
    <row r="483">
      <c r="A483" s="2" t="n"/>
      <c r="B483" s="3" t="n"/>
      <c r="C483" s="3" t="n"/>
      <c r="D483" s="3" t="n"/>
      <c r="E483" s="4" t="n"/>
      <c r="F483" s="4" t="n"/>
      <c r="G483" s="4" t="n"/>
      <c r="H483" s="4" t="n"/>
      <c r="I483" s="5">
        <f>IF(E483="","",ROUND(E483*0.21,2))</f>
        <v/>
      </c>
      <c r="J483" s="5">
        <f>IF(F483="","",ROUND(F483*0.1,2))</f>
        <v/>
      </c>
      <c r="K483" s="5">
        <f>IF(G483="","",ROUND(G483*0.04,2))</f>
        <v/>
      </c>
      <c r="L483" s="4" t="n"/>
      <c r="M483" s="4" t="n"/>
      <c r="N483" s="5">
        <f>IF(A483="","",SUM(E483:K483)-N(L483))</f>
        <v/>
      </c>
      <c r="O483">
        <f>IF(OR(A483="",M483=""),"",IF(ABS(M483-N483)&lt;=0.02,"OK","REVISAR"))</f>
        <v/>
      </c>
      <c r="P483">
        <f>IF(D483="","",IF(LEN(TRIM(D483))&lt;&gt;9,"REVISAR",IFERROR(IF(OR(ISNUMBER(VALUE(LEFT(UPPER(TRIM(D483)),1))),LEFT(UPPER(TRIM(D483)),1)="X",LEFT(UPPER(TRIM(D483)),1)="Y",LEFT(UPPER(TRIM(D483)),1)="Z"),IF(MID("TRWAGMYFPDXBNJZSQVHLCKE",MOD(VALUE(SUBSTITUTE(SUBSTITUTE(SUBSTITUTE(LEFT(UPPER(TRIM(D483)),8),"X","0"),"Y","1"),"Z","2")),23)+1,1)=RIGHT(UPPER(TRIM(D483)),1),"OK","REVISAR"),IF(OR(RIGHT(UPPER(TRIM(D483)),1)=TEXT(MOD(10-MOD((VALUE(MID(UPPER(TRIM(D483)),3,1))+VALUE(MID(UPPER(TRIM(D483)),5,1))+VALUE(MID(UPPER(TRIM(D483)),7,1)))+(INT(2*VALUE(MID(UPPER(TRIM(D483)),2,1))/10)+MOD(2*VALUE(MID(UPPER(TRIM(D483)),2,1)),10))+(INT(2*VALUE(MID(UPPER(TRIM(D483)),4,1))/10)+MOD(2*VALUE(MID(UPPER(TRIM(D483)),4,1)),10))+(INT(2*VALUE(MID(UPPER(TRIM(D483)),6,1))/10)+MOD(2*VALUE(MID(UPPER(TRIM(D483)),6,1)),10))+(INT(2*VALUE(MID(UPPER(TRIM(D483)),8,1))/10)+MOD(2*VALUE(MID(UPPER(TRIM(D483)),8,1)),10)),10),10),"0"),RIGHT(UPPER(TRIM(D483)),1)=MID("JABCDEFGHI",MOD(10-MOD((VALUE(MID(UPPER(TRIM(D483)),3,1))+VALUE(MID(UPPER(TRIM(D483)),5,1))+VALUE(MID(UPPER(TRIM(D483)),7,1)))+(INT(2*VALUE(MID(UPPER(TRIM(D483)),2,1))/10)+MOD(2*VALUE(MID(UPPER(TRIM(D483)),2,1)),10))+(INT(2*VALUE(MID(UPPER(TRIM(D483)),4,1))/10)+MOD(2*VALUE(MID(UPPER(TRIM(D483)),4,1)),10))+(INT(2*VALUE(MID(UPPER(TRIM(D483)),6,1))/10)+MOD(2*VALUE(MID(UPPER(TRIM(D483)),6,1)),10))+(INT(2*VALUE(MID(UPPER(TRIM(D483)),8,1))/10)+MOD(2*VALUE(MID(UPPER(TRIM(D483)),8,1)),10)),10),10)+1,1)),"OK","REVISAR")),"REVISAR")))</f>
        <v/>
      </c>
      <c r="Q483">
        <f>IF(B483="","",IF(COUNTIFS($B$2:$B$501,B483,$D$2:$D$501,D483)&gt;1,"DUPLICADA",""))</f>
        <v/>
      </c>
      <c r="R483">
        <f>IF(A483="","",ROUNDUP(MONTH(A483)/3,0))</f>
        <v/>
      </c>
      <c r="S483" s="3" t="n"/>
    </row>
    <row r="484">
      <c r="A484" s="2" t="n"/>
      <c r="B484" s="3" t="n"/>
      <c r="C484" s="3" t="n"/>
      <c r="D484" s="3" t="n"/>
      <c r="E484" s="4" t="n"/>
      <c r="F484" s="4" t="n"/>
      <c r="G484" s="4" t="n"/>
      <c r="H484" s="4" t="n"/>
      <c r="I484" s="5">
        <f>IF(E484="","",ROUND(E484*0.21,2))</f>
        <v/>
      </c>
      <c r="J484" s="5">
        <f>IF(F484="","",ROUND(F484*0.1,2))</f>
        <v/>
      </c>
      <c r="K484" s="5">
        <f>IF(G484="","",ROUND(G484*0.04,2))</f>
        <v/>
      </c>
      <c r="L484" s="4" t="n"/>
      <c r="M484" s="4" t="n"/>
      <c r="N484" s="5">
        <f>IF(A484="","",SUM(E484:K484)-N(L484))</f>
        <v/>
      </c>
      <c r="O484">
        <f>IF(OR(A484="",M484=""),"",IF(ABS(M484-N484)&lt;=0.02,"OK","REVISAR"))</f>
        <v/>
      </c>
      <c r="P484">
        <f>IF(D484="","",IF(LEN(TRIM(D484))&lt;&gt;9,"REVISAR",IFERROR(IF(OR(ISNUMBER(VALUE(LEFT(UPPER(TRIM(D484)),1))),LEFT(UPPER(TRIM(D484)),1)="X",LEFT(UPPER(TRIM(D484)),1)="Y",LEFT(UPPER(TRIM(D484)),1)="Z"),IF(MID("TRWAGMYFPDXBNJZSQVHLCKE",MOD(VALUE(SUBSTITUTE(SUBSTITUTE(SUBSTITUTE(LEFT(UPPER(TRIM(D484)),8),"X","0"),"Y","1"),"Z","2")),23)+1,1)=RIGHT(UPPER(TRIM(D484)),1),"OK","REVISAR"),IF(OR(RIGHT(UPPER(TRIM(D484)),1)=TEXT(MOD(10-MOD((VALUE(MID(UPPER(TRIM(D484)),3,1))+VALUE(MID(UPPER(TRIM(D484)),5,1))+VALUE(MID(UPPER(TRIM(D484)),7,1)))+(INT(2*VALUE(MID(UPPER(TRIM(D484)),2,1))/10)+MOD(2*VALUE(MID(UPPER(TRIM(D484)),2,1)),10))+(INT(2*VALUE(MID(UPPER(TRIM(D484)),4,1))/10)+MOD(2*VALUE(MID(UPPER(TRIM(D484)),4,1)),10))+(INT(2*VALUE(MID(UPPER(TRIM(D484)),6,1))/10)+MOD(2*VALUE(MID(UPPER(TRIM(D484)),6,1)),10))+(INT(2*VALUE(MID(UPPER(TRIM(D484)),8,1))/10)+MOD(2*VALUE(MID(UPPER(TRIM(D484)),8,1)),10)),10),10),"0"),RIGHT(UPPER(TRIM(D484)),1)=MID("JABCDEFGHI",MOD(10-MOD((VALUE(MID(UPPER(TRIM(D484)),3,1))+VALUE(MID(UPPER(TRIM(D484)),5,1))+VALUE(MID(UPPER(TRIM(D484)),7,1)))+(INT(2*VALUE(MID(UPPER(TRIM(D484)),2,1))/10)+MOD(2*VALUE(MID(UPPER(TRIM(D484)),2,1)),10))+(INT(2*VALUE(MID(UPPER(TRIM(D484)),4,1))/10)+MOD(2*VALUE(MID(UPPER(TRIM(D484)),4,1)),10))+(INT(2*VALUE(MID(UPPER(TRIM(D484)),6,1))/10)+MOD(2*VALUE(MID(UPPER(TRIM(D484)),6,1)),10))+(INT(2*VALUE(MID(UPPER(TRIM(D484)),8,1))/10)+MOD(2*VALUE(MID(UPPER(TRIM(D484)),8,1)),10)),10),10)+1,1)),"OK","REVISAR")),"REVISAR")))</f>
        <v/>
      </c>
      <c r="Q484">
        <f>IF(B484="","",IF(COUNTIFS($B$2:$B$501,B484,$D$2:$D$501,D484)&gt;1,"DUPLICADA",""))</f>
        <v/>
      </c>
      <c r="R484">
        <f>IF(A484="","",ROUNDUP(MONTH(A484)/3,0))</f>
        <v/>
      </c>
      <c r="S484" s="3" t="n"/>
    </row>
    <row r="485">
      <c r="A485" s="2" t="n"/>
      <c r="B485" s="3" t="n"/>
      <c r="C485" s="3" t="n"/>
      <c r="D485" s="3" t="n"/>
      <c r="E485" s="4" t="n"/>
      <c r="F485" s="4" t="n"/>
      <c r="G485" s="4" t="n"/>
      <c r="H485" s="4" t="n"/>
      <c r="I485" s="5">
        <f>IF(E485="","",ROUND(E485*0.21,2))</f>
        <v/>
      </c>
      <c r="J485" s="5">
        <f>IF(F485="","",ROUND(F485*0.1,2))</f>
        <v/>
      </c>
      <c r="K485" s="5">
        <f>IF(G485="","",ROUND(G485*0.04,2))</f>
        <v/>
      </c>
      <c r="L485" s="4" t="n"/>
      <c r="M485" s="4" t="n"/>
      <c r="N485" s="5">
        <f>IF(A485="","",SUM(E485:K485)-N(L485))</f>
        <v/>
      </c>
      <c r="O485">
        <f>IF(OR(A485="",M485=""),"",IF(ABS(M485-N485)&lt;=0.02,"OK","REVISAR"))</f>
        <v/>
      </c>
      <c r="P485">
        <f>IF(D485="","",IF(LEN(TRIM(D485))&lt;&gt;9,"REVISAR",IFERROR(IF(OR(ISNUMBER(VALUE(LEFT(UPPER(TRIM(D485)),1))),LEFT(UPPER(TRIM(D485)),1)="X",LEFT(UPPER(TRIM(D485)),1)="Y",LEFT(UPPER(TRIM(D485)),1)="Z"),IF(MID("TRWAGMYFPDXBNJZSQVHLCKE",MOD(VALUE(SUBSTITUTE(SUBSTITUTE(SUBSTITUTE(LEFT(UPPER(TRIM(D485)),8),"X","0"),"Y","1"),"Z","2")),23)+1,1)=RIGHT(UPPER(TRIM(D485)),1),"OK","REVISAR"),IF(OR(RIGHT(UPPER(TRIM(D485)),1)=TEXT(MOD(10-MOD((VALUE(MID(UPPER(TRIM(D485)),3,1))+VALUE(MID(UPPER(TRIM(D485)),5,1))+VALUE(MID(UPPER(TRIM(D485)),7,1)))+(INT(2*VALUE(MID(UPPER(TRIM(D485)),2,1))/10)+MOD(2*VALUE(MID(UPPER(TRIM(D485)),2,1)),10))+(INT(2*VALUE(MID(UPPER(TRIM(D485)),4,1))/10)+MOD(2*VALUE(MID(UPPER(TRIM(D485)),4,1)),10))+(INT(2*VALUE(MID(UPPER(TRIM(D485)),6,1))/10)+MOD(2*VALUE(MID(UPPER(TRIM(D485)),6,1)),10))+(INT(2*VALUE(MID(UPPER(TRIM(D485)),8,1))/10)+MOD(2*VALUE(MID(UPPER(TRIM(D485)),8,1)),10)),10),10),"0"),RIGHT(UPPER(TRIM(D485)),1)=MID("JABCDEFGHI",MOD(10-MOD((VALUE(MID(UPPER(TRIM(D485)),3,1))+VALUE(MID(UPPER(TRIM(D485)),5,1))+VALUE(MID(UPPER(TRIM(D485)),7,1)))+(INT(2*VALUE(MID(UPPER(TRIM(D485)),2,1))/10)+MOD(2*VALUE(MID(UPPER(TRIM(D485)),2,1)),10))+(INT(2*VALUE(MID(UPPER(TRIM(D485)),4,1))/10)+MOD(2*VALUE(MID(UPPER(TRIM(D485)),4,1)),10))+(INT(2*VALUE(MID(UPPER(TRIM(D485)),6,1))/10)+MOD(2*VALUE(MID(UPPER(TRIM(D485)),6,1)),10))+(INT(2*VALUE(MID(UPPER(TRIM(D485)),8,1))/10)+MOD(2*VALUE(MID(UPPER(TRIM(D485)),8,1)),10)),10),10)+1,1)),"OK","REVISAR")),"REVISAR")))</f>
        <v/>
      </c>
      <c r="Q485">
        <f>IF(B485="","",IF(COUNTIFS($B$2:$B$501,B485,$D$2:$D$501,D485)&gt;1,"DUPLICADA",""))</f>
        <v/>
      </c>
      <c r="R485">
        <f>IF(A485="","",ROUNDUP(MONTH(A485)/3,0))</f>
        <v/>
      </c>
      <c r="S485" s="3" t="n"/>
    </row>
    <row r="486">
      <c r="A486" s="2" t="n"/>
      <c r="B486" s="3" t="n"/>
      <c r="C486" s="3" t="n"/>
      <c r="D486" s="3" t="n"/>
      <c r="E486" s="4" t="n"/>
      <c r="F486" s="4" t="n"/>
      <c r="G486" s="4" t="n"/>
      <c r="H486" s="4" t="n"/>
      <c r="I486" s="5">
        <f>IF(E486="","",ROUND(E486*0.21,2))</f>
        <v/>
      </c>
      <c r="J486" s="5">
        <f>IF(F486="","",ROUND(F486*0.1,2))</f>
        <v/>
      </c>
      <c r="K486" s="5">
        <f>IF(G486="","",ROUND(G486*0.04,2))</f>
        <v/>
      </c>
      <c r="L486" s="4" t="n"/>
      <c r="M486" s="4" t="n"/>
      <c r="N486" s="5">
        <f>IF(A486="","",SUM(E486:K486)-N(L486))</f>
        <v/>
      </c>
      <c r="O486">
        <f>IF(OR(A486="",M486=""),"",IF(ABS(M486-N486)&lt;=0.02,"OK","REVISAR"))</f>
        <v/>
      </c>
      <c r="P486">
        <f>IF(D486="","",IF(LEN(TRIM(D486))&lt;&gt;9,"REVISAR",IFERROR(IF(OR(ISNUMBER(VALUE(LEFT(UPPER(TRIM(D486)),1))),LEFT(UPPER(TRIM(D486)),1)="X",LEFT(UPPER(TRIM(D486)),1)="Y",LEFT(UPPER(TRIM(D486)),1)="Z"),IF(MID("TRWAGMYFPDXBNJZSQVHLCKE",MOD(VALUE(SUBSTITUTE(SUBSTITUTE(SUBSTITUTE(LEFT(UPPER(TRIM(D486)),8),"X","0"),"Y","1"),"Z","2")),23)+1,1)=RIGHT(UPPER(TRIM(D486)),1),"OK","REVISAR"),IF(OR(RIGHT(UPPER(TRIM(D486)),1)=TEXT(MOD(10-MOD((VALUE(MID(UPPER(TRIM(D486)),3,1))+VALUE(MID(UPPER(TRIM(D486)),5,1))+VALUE(MID(UPPER(TRIM(D486)),7,1)))+(INT(2*VALUE(MID(UPPER(TRIM(D486)),2,1))/10)+MOD(2*VALUE(MID(UPPER(TRIM(D486)),2,1)),10))+(INT(2*VALUE(MID(UPPER(TRIM(D486)),4,1))/10)+MOD(2*VALUE(MID(UPPER(TRIM(D486)),4,1)),10))+(INT(2*VALUE(MID(UPPER(TRIM(D486)),6,1))/10)+MOD(2*VALUE(MID(UPPER(TRIM(D486)),6,1)),10))+(INT(2*VALUE(MID(UPPER(TRIM(D486)),8,1))/10)+MOD(2*VALUE(MID(UPPER(TRIM(D486)),8,1)),10)),10),10),"0"),RIGHT(UPPER(TRIM(D486)),1)=MID("JABCDEFGHI",MOD(10-MOD((VALUE(MID(UPPER(TRIM(D486)),3,1))+VALUE(MID(UPPER(TRIM(D486)),5,1))+VALUE(MID(UPPER(TRIM(D486)),7,1)))+(INT(2*VALUE(MID(UPPER(TRIM(D486)),2,1))/10)+MOD(2*VALUE(MID(UPPER(TRIM(D486)),2,1)),10))+(INT(2*VALUE(MID(UPPER(TRIM(D486)),4,1))/10)+MOD(2*VALUE(MID(UPPER(TRIM(D486)),4,1)),10))+(INT(2*VALUE(MID(UPPER(TRIM(D486)),6,1))/10)+MOD(2*VALUE(MID(UPPER(TRIM(D486)),6,1)),10))+(INT(2*VALUE(MID(UPPER(TRIM(D486)),8,1))/10)+MOD(2*VALUE(MID(UPPER(TRIM(D486)),8,1)),10)),10),10)+1,1)),"OK","REVISAR")),"REVISAR")))</f>
        <v/>
      </c>
      <c r="Q486">
        <f>IF(B486="","",IF(COUNTIFS($B$2:$B$501,B486,$D$2:$D$501,D486)&gt;1,"DUPLICADA",""))</f>
        <v/>
      </c>
      <c r="R486">
        <f>IF(A486="","",ROUNDUP(MONTH(A486)/3,0))</f>
        <v/>
      </c>
      <c r="S486" s="3" t="n"/>
    </row>
    <row r="487">
      <c r="A487" s="2" t="n"/>
      <c r="B487" s="3" t="n"/>
      <c r="C487" s="3" t="n"/>
      <c r="D487" s="3" t="n"/>
      <c r="E487" s="4" t="n"/>
      <c r="F487" s="4" t="n"/>
      <c r="G487" s="4" t="n"/>
      <c r="H487" s="4" t="n"/>
      <c r="I487" s="5">
        <f>IF(E487="","",ROUND(E487*0.21,2))</f>
        <v/>
      </c>
      <c r="J487" s="5">
        <f>IF(F487="","",ROUND(F487*0.1,2))</f>
        <v/>
      </c>
      <c r="K487" s="5">
        <f>IF(G487="","",ROUND(G487*0.04,2))</f>
        <v/>
      </c>
      <c r="L487" s="4" t="n"/>
      <c r="M487" s="4" t="n"/>
      <c r="N487" s="5">
        <f>IF(A487="","",SUM(E487:K487)-N(L487))</f>
        <v/>
      </c>
      <c r="O487">
        <f>IF(OR(A487="",M487=""),"",IF(ABS(M487-N487)&lt;=0.02,"OK","REVISAR"))</f>
        <v/>
      </c>
      <c r="P487">
        <f>IF(D487="","",IF(LEN(TRIM(D487))&lt;&gt;9,"REVISAR",IFERROR(IF(OR(ISNUMBER(VALUE(LEFT(UPPER(TRIM(D487)),1))),LEFT(UPPER(TRIM(D487)),1)="X",LEFT(UPPER(TRIM(D487)),1)="Y",LEFT(UPPER(TRIM(D487)),1)="Z"),IF(MID("TRWAGMYFPDXBNJZSQVHLCKE",MOD(VALUE(SUBSTITUTE(SUBSTITUTE(SUBSTITUTE(LEFT(UPPER(TRIM(D487)),8),"X","0"),"Y","1"),"Z","2")),23)+1,1)=RIGHT(UPPER(TRIM(D487)),1),"OK","REVISAR"),IF(OR(RIGHT(UPPER(TRIM(D487)),1)=TEXT(MOD(10-MOD((VALUE(MID(UPPER(TRIM(D487)),3,1))+VALUE(MID(UPPER(TRIM(D487)),5,1))+VALUE(MID(UPPER(TRIM(D487)),7,1)))+(INT(2*VALUE(MID(UPPER(TRIM(D487)),2,1))/10)+MOD(2*VALUE(MID(UPPER(TRIM(D487)),2,1)),10))+(INT(2*VALUE(MID(UPPER(TRIM(D487)),4,1))/10)+MOD(2*VALUE(MID(UPPER(TRIM(D487)),4,1)),10))+(INT(2*VALUE(MID(UPPER(TRIM(D487)),6,1))/10)+MOD(2*VALUE(MID(UPPER(TRIM(D487)),6,1)),10))+(INT(2*VALUE(MID(UPPER(TRIM(D487)),8,1))/10)+MOD(2*VALUE(MID(UPPER(TRIM(D487)),8,1)),10)),10),10),"0"),RIGHT(UPPER(TRIM(D487)),1)=MID("JABCDEFGHI",MOD(10-MOD((VALUE(MID(UPPER(TRIM(D487)),3,1))+VALUE(MID(UPPER(TRIM(D487)),5,1))+VALUE(MID(UPPER(TRIM(D487)),7,1)))+(INT(2*VALUE(MID(UPPER(TRIM(D487)),2,1))/10)+MOD(2*VALUE(MID(UPPER(TRIM(D487)),2,1)),10))+(INT(2*VALUE(MID(UPPER(TRIM(D487)),4,1))/10)+MOD(2*VALUE(MID(UPPER(TRIM(D487)),4,1)),10))+(INT(2*VALUE(MID(UPPER(TRIM(D487)),6,1))/10)+MOD(2*VALUE(MID(UPPER(TRIM(D487)),6,1)),10))+(INT(2*VALUE(MID(UPPER(TRIM(D487)),8,1))/10)+MOD(2*VALUE(MID(UPPER(TRIM(D487)),8,1)),10)),10),10)+1,1)),"OK","REVISAR")),"REVISAR")))</f>
        <v/>
      </c>
      <c r="Q487">
        <f>IF(B487="","",IF(COUNTIFS($B$2:$B$501,B487,$D$2:$D$501,D487)&gt;1,"DUPLICADA",""))</f>
        <v/>
      </c>
      <c r="R487">
        <f>IF(A487="","",ROUNDUP(MONTH(A487)/3,0))</f>
        <v/>
      </c>
      <c r="S487" s="3" t="n"/>
    </row>
    <row r="488">
      <c r="A488" s="2" t="n"/>
      <c r="B488" s="3" t="n"/>
      <c r="C488" s="3" t="n"/>
      <c r="D488" s="3" t="n"/>
      <c r="E488" s="4" t="n"/>
      <c r="F488" s="4" t="n"/>
      <c r="G488" s="4" t="n"/>
      <c r="H488" s="4" t="n"/>
      <c r="I488" s="5">
        <f>IF(E488="","",ROUND(E488*0.21,2))</f>
        <v/>
      </c>
      <c r="J488" s="5">
        <f>IF(F488="","",ROUND(F488*0.1,2))</f>
        <v/>
      </c>
      <c r="K488" s="5">
        <f>IF(G488="","",ROUND(G488*0.04,2))</f>
        <v/>
      </c>
      <c r="L488" s="4" t="n"/>
      <c r="M488" s="4" t="n"/>
      <c r="N488" s="5">
        <f>IF(A488="","",SUM(E488:K488)-N(L488))</f>
        <v/>
      </c>
      <c r="O488">
        <f>IF(OR(A488="",M488=""),"",IF(ABS(M488-N488)&lt;=0.02,"OK","REVISAR"))</f>
        <v/>
      </c>
      <c r="P488">
        <f>IF(D488="","",IF(LEN(TRIM(D488))&lt;&gt;9,"REVISAR",IFERROR(IF(OR(ISNUMBER(VALUE(LEFT(UPPER(TRIM(D488)),1))),LEFT(UPPER(TRIM(D488)),1)="X",LEFT(UPPER(TRIM(D488)),1)="Y",LEFT(UPPER(TRIM(D488)),1)="Z"),IF(MID("TRWAGMYFPDXBNJZSQVHLCKE",MOD(VALUE(SUBSTITUTE(SUBSTITUTE(SUBSTITUTE(LEFT(UPPER(TRIM(D488)),8),"X","0"),"Y","1"),"Z","2")),23)+1,1)=RIGHT(UPPER(TRIM(D488)),1),"OK","REVISAR"),IF(OR(RIGHT(UPPER(TRIM(D488)),1)=TEXT(MOD(10-MOD((VALUE(MID(UPPER(TRIM(D488)),3,1))+VALUE(MID(UPPER(TRIM(D488)),5,1))+VALUE(MID(UPPER(TRIM(D488)),7,1)))+(INT(2*VALUE(MID(UPPER(TRIM(D488)),2,1))/10)+MOD(2*VALUE(MID(UPPER(TRIM(D488)),2,1)),10))+(INT(2*VALUE(MID(UPPER(TRIM(D488)),4,1))/10)+MOD(2*VALUE(MID(UPPER(TRIM(D488)),4,1)),10))+(INT(2*VALUE(MID(UPPER(TRIM(D488)),6,1))/10)+MOD(2*VALUE(MID(UPPER(TRIM(D488)),6,1)),10))+(INT(2*VALUE(MID(UPPER(TRIM(D488)),8,1))/10)+MOD(2*VALUE(MID(UPPER(TRIM(D488)),8,1)),10)),10),10),"0"),RIGHT(UPPER(TRIM(D488)),1)=MID("JABCDEFGHI",MOD(10-MOD((VALUE(MID(UPPER(TRIM(D488)),3,1))+VALUE(MID(UPPER(TRIM(D488)),5,1))+VALUE(MID(UPPER(TRIM(D488)),7,1)))+(INT(2*VALUE(MID(UPPER(TRIM(D488)),2,1))/10)+MOD(2*VALUE(MID(UPPER(TRIM(D488)),2,1)),10))+(INT(2*VALUE(MID(UPPER(TRIM(D488)),4,1))/10)+MOD(2*VALUE(MID(UPPER(TRIM(D488)),4,1)),10))+(INT(2*VALUE(MID(UPPER(TRIM(D488)),6,1))/10)+MOD(2*VALUE(MID(UPPER(TRIM(D488)),6,1)),10))+(INT(2*VALUE(MID(UPPER(TRIM(D488)),8,1))/10)+MOD(2*VALUE(MID(UPPER(TRIM(D488)),8,1)),10)),10),10)+1,1)),"OK","REVISAR")),"REVISAR")))</f>
        <v/>
      </c>
      <c r="Q488">
        <f>IF(B488="","",IF(COUNTIFS($B$2:$B$501,B488,$D$2:$D$501,D488)&gt;1,"DUPLICADA",""))</f>
        <v/>
      </c>
      <c r="R488">
        <f>IF(A488="","",ROUNDUP(MONTH(A488)/3,0))</f>
        <v/>
      </c>
      <c r="S488" s="3" t="n"/>
    </row>
    <row r="489">
      <c r="A489" s="2" t="n"/>
      <c r="B489" s="3" t="n"/>
      <c r="C489" s="3" t="n"/>
      <c r="D489" s="3" t="n"/>
      <c r="E489" s="4" t="n"/>
      <c r="F489" s="4" t="n"/>
      <c r="G489" s="4" t="n"/>
      <c r="H489" s="4" t="n"/>
      <c r="I489" s="5">
        <f>IF(E489="","",ROUND(E489*0.21,2))</f>
        <v/>
      </c>
      <c r="J489" s="5">
        <f>IF(F489="","",ROUND(F489*0.1,2))</f>
        <v/>
      </c>
      <c r="K489" s="5">
        <f>IF(G489="","",ROUND(G489*0.04,2))</f>
        <v/>
      </c>
      <c r="L489" s="4" t="n"/>
      <c r="M489" s="4" t="n"/>
      <c r="N489" s="5">
        <f>IF(A489="","",SUM(E489:K489)-N(L489))</f>
        <v/>
      </c>
      <c r="O489">
        <f>IF(OR(A489="",M489=""),"",IF(ABS(M489-N489)&lt;=0.02,"OK","REVISAR"))</f>
        <v/>
      </c>
      <c r="P489">
        <f>IF(D489="","",IF(LEN(TRIM(D489))&lt;&gt;9,"REVISAR",IFERROR(IF(OR(ISNUMBER(VALUE(LEFT(UPPER(TRIM(D489)),1))),LEFT(UPPER(TRIM(D489)),1)="X",LEFT(UPPER(TRIM(D489)),1)="Y",LEFT(UPPER(TRIM(D489)),1)="Z"),IF(MID("TRWAGMYFPDXBNJZSQVHLCKE",MOD(VALUE(SUBSTITUTE(SUBSTITUTE(SUBSTITUTE(LEFT(UPPER(TRIM(D489)),8),"X","0"),"Y","1"),"Z","2")),23)+1,1)=RIGHT(UPPER(TRIM(D489)),1),"OK","REVISAR"),IF(OR(RIGHT(UPPER(TRIM(D489)),1)=TEXT(MOD(10-MOD((VALUE(MID(UPPER(TRIM(D489)),3,1))+VALUE(MID(UPPER(TRIM(D489)),5,1))+VALUE(MID(UPPER(TRIM(D489)),7,1)))+(INT(2*VALUE(MID(UPPER(TRIM(D489)),2,1))/10)+MOD(2*VALUE(MID(UPPER(TRIM(D489)),2,1)),10))+(INT(2*VALUE(MID(UPPER(TRIM(D489)),4,1))/10)+MOD(2*VALUE(MID(UPPER(TRIM(D489)),4,1)),10))+(INT(2*VALUE(MID(UPPER(TRIM(D489)),6,1))/10)+MOD(2*VALUE(MID(UPPER(TRIM(D489)),6,1)),10))+(INT(2*VALUE(MID(UPPER(TRIM(D489)),8,1))/10)+MOD(2*VALUE(MID(UPPER(TRIM(D489)),8,1)),10)),10),10),"0"),RIGHT(UPPER(TRIM(D489)),1)=MID("JABCDEFGHI",MOD(10-MOD((VALUE(MID(UPPER(TRIM(D489)),3,1))+VALUE(MID(UPPER(TRIM(D489)),5,1))+VALUE(MID(UPPER(TRIM(D489)),7,1)))+(INT(2*VALUE(MID(UPPER(TRIM(D489)),2,1))/10)+MOD(2*VALUE(MID(UPPER(TRIM(D489)),2,1)),10))+(INT(2*VALUE(MID(UPPER(TRIM(D489)),4,1))/10)+MOD(2*VALUE(MID(UPPER(TRIM(D489)),4,1)),10))+(INT(2*VALUE(MID(UPPER(TRIM(D489)),6,1))/10)+MOD(2*VALUE(MID(UPPER(TRIM(D489)),6,1)),10))+(INT(2*VALUE(MID(UPPER(TRIM(D489)),8,1))/10)+MOD(2*VALUE(MID(UPPER(TRIM(D489)),8,1)),10)),10),10)+1,1)),"OK","REVISAR")),"REVISAR")))</f>
        <v/>
      </c>
      <c r="Q489">
        <f>IF(B489="","",IF(COUNTIFS($B$2:$B$501,B489,$D$2:$D$501,D489)&gt;1,"DUPLICADA",""))</f>
        <v/>
      </c>
      <c r="R489">
        <f>IF(A489="","",ROUNDUP(MONTH(A489)/3,0))</f>
        <v/>
      </c>
      <c r="S489" s="3" t="n"/>
    </row>
    <row r="490">
      <c r="A490" s="2" t="n"/>
      <c r="B490" s="3" t="n"/>
      <c r="C490" s="3" t="n"/>
      <c r="D490" s="3" t="n"/>
      <c r="E490" s="4" t="n"/>
      <c r="F490" s="4" t="n"/>
      <c r="G490" s="4" t="n"/>
      <c r="H490" s="4" t="n"/>
      <c r="I490" s="5">
        <f>IF(E490="","",ROUND(E490*0.21,2))</f>
        <v/>
      </c>
      <c r="J490" s="5">
        <f>IF(F490="","",ROUND(F490*0.1,2))</f>
        <v/>
      </c>
      <c r="K490" s="5">
        <f>IF(G490="","",ROUND(G490*0.04,2))</f>
        <v/>
      </c>
      <c r="L490" s="4" t="n"/>
      <c r="M490" s="4" t="n"/>
      <c r="N490" s="5">
        <f>IF(A490="","",SUM(E490:K490)-N(L490))</f>
        <v/>
      </c>
      <c r="O490">
        <f>IF(OR(A490="",M490=""),"",IF(ABS(M490-N490)&lt;=0.02,"OK","REVISAR"))</f>
        <v/>
      </c>
      <c r="P490">
        <f>IF(D490="","",IF(LEN(TRIM(D490))&lt;&gt;9,"REVISAR",IFERROR(IF(OR(ISNUMBER(VALUE(LEFT(UPPER(TRIM(D490)),1))),LEFT(UPPER(TRIM(D490)),1)="X",LEFT(UPPER(TRIM(D490)),1)="Y",LEFT(UPPER(TRIM(D490)),1)="Z"),IF(MID("TRWAGMYFPDXBNJZSQVHLCKE",MOD(VALUE(SUBSTITUTE(SUBSTITUTE(SUBSTITUTE(LEFT(UPPER(TRIM(D490)),8),"X","0"),"Y","1"),"Z","2")),23)+1,1)=RIGHT(UPPER(TRIM(D490)),1),"OK","REVISAR"),IF(OR(RIGHT(UPPER(TRIM(D490)),1)=TEXT(MOD(10-MOD((VALUE(MID(UPPER(TRIM(D490)),3,1))+VALUE(MID(UPPER(TRIM(D490)),5,1))+VALUE(MID(UPPER(TRIM(D490)),7,1)))+(INT(2*VALUE(MID(UPPER(TRIM(D490)),2,1))/10)+MOD(2*VALUE(MID(UPPER(TRIM(D490)),2,1)),10))+(INT(2*VALUE(MID(UPPER(TRIM(D490)),4,1))/10)+MOD(2*VALUE(MID(UPPER(TRIM(D490)),4,1)),10))+(INT(2*VALUE(MID(UPPER(TRIM(D490)),6,1))/10)+MOD(2*VALUE(MID(UPPER(TRIM(D490)),6,1)),10))+(INT(2*VALUE(MID(UPPER(TRIM(D490)),8,1))/10)+MOD(2*VALUE(MID(UPPER(TRIM(D490)),8,1)),10)),10),10),"0"),RIGHT(UPPER(TRIM(D490)),1)=MID("JABCDEFGHI",MOD(10-MOD((VALUE(MID(UPPER(TRIM(D490)),3,1))+VALUE(MID(UPPER(TRIM(D490)),5,1))+VALUE(MID(UPPER(TRIM(D490)),7,1)))+(INT(2*VALUE(MID(UPPER(TRIM(D490)),2,1))/10)+MOD(2*VALUE(MID(UPPER(TRIM(D490)),2,1)),10))+(INT(2*VALUE(MID(UPPER(TRIM(D490)),4,1))/10)+MOD(2*VALUE(MID(UPPER(TRIM(D490)),4,1)),10))+(INT(2*VALUE(MID(UPPER(TRIM(D490)),6,1))/10)+MOD(2*VALUE(MID(UPPER(TRIM(D490)),6,1)),10))+(INT(2*VALUE(MID(UPPER(TRIM(D490)),8,1))/10)+MOD(2*VALUE(MID(UPPER(TRIM(D490)),8,1)),10)),10),10)+1,1)),"OK","REVISAR")),"REVISAR")))</f>
        <v/>
      </c>
      <c r="Q490">
        <f>IF(B490="","",IF(COUNTIFS($B$2:$B$501,B490,$D$2:$D$501,D490)&gt;1,"DUPLICADA",""))</f>
        <v/>
      </c>
      <c r="R490">
        <f>IF(A490="","",ROUNDUP(MONTH(A490)/3,0))</f>
        <v/>
      </c>
      <c r="S490" s="3" t="n"/>
    </row>
    <row r="491">
      <c r="A491" s="2" t="n"/>
      <c r="B491" s="3" t="n"/>
      <c r="C491" s="3" t="n"/>
      <c r="D491" s="3" t="n"/>
      <c r="E491" s="4" t="n"/>
      <c r="F491" s="4" t="n"/>
      <c r="G491" s="4" t="n"/>
      <c r="H491" s="4" t="n"/>
      <c r="I491" s="5">
        <f>IF(E491="","",ROUND(E491*0.21,2))</f>
        <v/>
      </c>
      <c r="J491" s="5">
        <f>IF(F491="","",ROUND(F491*0.1,2))</f>
        <v/>
      </c>
      <c r="K491" s="5">
        <f>IF(G491="","",ROUND(G491*0.04,2))</f>
        <v/>
      </c>
      <c r="L491" s="4" t="n"/>
      <c r="M491" s="4" t="n"/>
      <c r="N491" s="5">
        <f>IF(A491="","",SUM(E491:K491)-N(L491))</f>
        <v/>
      </c>
      <c r="O491">
        <f>IF(OR(A491="",M491=""),"",IF(ABS(M491-N491)&lt;=0.02,"OK","REVISAR"))</f>
        <v/>
      </c>
      <c r="P491">
        <f>IF(D491="","",IF(LEN(TRIM(D491))&lt;&gt;9,"REVISAR",IFERROR(IF(OR(ISNUMBER(VALUE(LEFT(UPPER(TRIM(D491)),1))),LEFT(UPPER(TRIM(D491)),1)="X",LEFT(UPPER(TRIM(D491)),1)="Y",LEFT(UPPER(TRIM(D491)),1)="Z"),IF(MID("TRWAGMYFPDXBNJZSQVHLCKE",MOD(VALUE(SUBSTITUTE(SUBSTITUTE(SUBSTITUTE(LEFT(UPPER(TRIM(D491)),8),"X","0"),"Y","1"),"Z","2")),23)+1,1)=RIGHT(UPPER(TRIM(D491)),1),"OK","REVISAR"),IF(OR(RIGHT(UPPER(TRIM(D491)),1)=TEXT(MOD(10-MOD((VALUE(MID(UPPER(TRIM(D491)),3,1))+VALUE(MID(UPPER(TRIM(D491)),5,1))+VALUE(MID(UPPER(TRIM(D491)),7,1)))+(INT(2*VALUE(MID(UPPER(TRIM(D491)),2,1))/10)+MOD(2*VALUE(MID(UPPER(TRIM(D491)),2,1)),10))+(INT(2*VALUE(MID(UPPER(TRIM(D491)),4,1))/10)+MOD(2*VALUE(MID(UPPER(TRIM(D491)),4,1)),10))+(INT(2*VALUE(MID(UPPER(TRIM(D491)),6,1))/10)+MOD(2*VALUE(MID(UPPER(TRIM(D491)),6,1)),10))+(INT(2*VALUE(MID(UPPER(TRIM(D491)),8,1))/10)+MOD(2*VALUE(MID(UPPER(TRIM(D491)),8,1)),10)),10),10),"0"),RIGHT(UPPER(TRIM(D491)),1)=MID("JABCDEFGHI",MOD(10-MOD((VALUE(MID(UPPER(TRIM(D491)),3,1))+VALUE(MID(UPPER(TRIM(D491)),5,1))+VALUE(MID(UPPER(TRIM(D491)),7,1)))+(INT(2*VALUE(MID(UPPER(TRIM(D491)),2,1))/10)+MOD(2*VALUE(MID(UPPER(TRIM(D491)),2,1)),10))+(INT(2*VALUE(MID(UPPER(TRIM(D491)),4,1))/10)+MOD(2*VALUE(MID(UPPER(TRIM(D491)),4,1)),10))+(INT(2*VALUE(MID(UPPER(TRIM(D491)),6,1))/10)+MOD(2*VALUE(MID(UPPER(TRIM(D491)),6,1)),10))+(INT(2*VALUE(MID(UPPER(TRIM(D491)),8,1))/10)+MOD(2*VALUE(MID(UPPER(TRIM(D491)),8,1)),10)),10),10)+1,1)),"OK","REVISAR")),"REVISAR")))</f>
        <v/>
      </c>
      <c r="Q491">
        <f>IF(B491="","",IF(COUNTIFS($B$2:$B$501,B491,$D$2:$D$501,D491)&gt;1,"DUPLICADA",""))</f>
        <v/>
      </c>
      <c r="R491">
        <f>IF(A491="","",ROUNDUP(MONTH(A491)/3,0))</f>
        <v/>
      </c>
      <c r="S491" s="3" t="n"/>
    </row>
    <row r="492">
      <c r="A492" s="2" t="n"/>
      <c r="B492" s="3" t="n"/>
      <c r="C492" s="3" t="n"/>
      <c r="D492" s="3" t="n"/>
      <c r="E492" s="4" t="n"/>
      <c r="F492" s="4" t="n"/>
      <c r="G492" s="4" t="n"/>
      <c r="H492" s="4" t="n"/>
      <c r="I492" s="5">
        <f>IF(E492="","",ROUND(E492*0.21,2))</f>
        <v/>
      </c>
      <c r="J492" s="5">
        <f>IF(F492="","",ROUND(F492*0.1,2))</f>
        <v/>
      </c>
      <c r="K492" s="5">
        <f>IF(G492="","",ROUND(G492*0.04,2))</f>
        <v/>
      </c>
      <c r="L492" s="4" t="n"/>
      <c r="M492" s="4" t="n"/>
      <c r="N492" s="5">
        <f>IF(A492="","",SUM(E492:K492)-N(L492))</f>
        <v/>
      </c>
      <c r="O492">
        <f>IF(OR(A492="",M492=""),"",IF(ABS(M492-N492)&lt;=0.02,"OK","REVISAR"))</f>
        <v/>
      </c>
      <c r="P492">
        <f>IF(D492="","",IF(LEN(TRIM(D492))&lt;&gt;9,"REVISAR",IFERROR(IF(OR(ISNUMBER(VALUE(LEFT(UPPER(TRIM(D492)),1))),LEFT(UPPER(TRIM(D492)),1)="X",LEFT(UPPER(TRIM(D492)),1)="Y",LEFT(UPPER(TRIM(D492)),1)="Z"),IF(MID("TRWAGMYFPDXBNJZSQVHLCKE",MOD(VALUE(SUBSTITUTE(SUBSTITUTE(SUBSTITUTE(LEFT(UPPER(TRIM(D492)),8),"X","0"),"Y","1"),"Z","2")),23)+1,1)=RIGHT(UPPER(TRIM(D492)),1),"OK","REVISAR"),IF(OR(RIGHT(UPPER(TRIM(D492)),1)=TEXT(MOD(10-MOD((VALUE(MID(UPPER(TRIM(D492)),3,1))+VALUE(MID(UPPER(TRIM(D492)),5,1))+VALUE(MID(UPPER(TRIM(D492)),7,1)))+(INT(2*VALUE(MID(UPPER(TRIM(D492)),2,1))/10)+MOD(2*VALUE(MID(UPPER(TRIM(D492)),2,1)),10))+(INT(2*VALUE(MID(UPPER(TRIM(D492)),4,1))/10)+MOD(2*VALUE(MID(UPPER(TRIM(D492)),4,1)),10))+(INT(2*VALUE(MID(UPPER(TRIM(D492)),6,1))/10)+MOD(2*VALUE(MID(UPPER(TRIM(D492)),6,1)),10))+(INT(2*VALUE(MID(UPPER(TRIM(D492)),8,1))/10)+MOD(2*VALUE(MID(UPPER(TRIM(D492)),8,1)),10)),10),10),"0"),RIGHT(UPPER(TRIM(D492)),1)=MID("JABCDEFGHI",MOD(10-MOD((VALUE(MID(UPPER(TRIM(D492)),3,1))+VALUE(MID(UPPER(TRIM(D492)),5,1))+VALUE(MID(UPPER(TRIM(D492)),7,1)))+(INT(2*VALUE(MID(UPPER(TRIM(D492)),2,1))/10)+MOD(2*VALUE(MID(UPPER(TRIM(D492)),2,1)),10))+(INT(2*VALUE(MID(UPPER(TRIM(D492)),4,1))/10)+MOD(2*VALUE(MID(UPPER(TRIM(D492)),4,1)),10))+(INT(2*VALUE(MID(UPPER(TRIM(D492)),6,1))/10)+MOD(2*VALUE(MID(UPPER(TRIM(D492)),6,1)),10))+(INT(2*VALUE(MID(UPPER(TRIM(D492)),8,1))/10)+MOD(2*VALUE(MID(UPPER(TRIM(D492)),8,1)),10)),10),10)+1,1)),"OK","REVISAR")),"REVISAR")))</f>
        <v/>
      </c>
      <c r="Q492">
        <f>IF(B492="","",IF(COUNTIFS($B$2:$B$501,B492,$D$2:$D$501,D492)&gt;1,"DUPLICADA",""))</f>
        <v/>
      </c>
      <c r="R492">
        <f>IF(A492="","",ROUNDUP(MONTH(A492)/3,0))</f>
        <v/>
      </c>
      <c r="S492" s="3" t="n"/>
    </row>
    <row r="493">
      <c r="A493" s="2" t="n"/>
      <c r="B493" s="3" t="n"/>
      <c r="C493" s="3" t="n"/>
      <c r="D493" s="3" t="n"/>
      <c r="E493" s="4" t="n"/>
      <c r="F493" s="4" t="n"/>
      <c r="G493" s="4" t="n"/>
      <c r="H493" s="4" t="n"/>
      <c r="I493" s="5">
        <f>IF(E493="","",ROUND(E493*0.21,2))</f>
        <v/>
      </c>
      <c r="J493" s="5">
        <f>IF(F493="","",ROUND(F493*0.1,2))</f>
        <v/>
      </c>
      <c r="K493" s="5">
        <f>IF(G493="","",ROUND(G493*0.04,2))</f>
        <v/>
      </c>
      <c r="L493" s="4" t="n"/>
      <c r="M493" s="4" t="n"/>
      <c r="N493" s="5">
        <f>IF(A493="","",SUM(E493:K493)-N(L493))</f>
        <v/>
      </c>
      <c r="O493">
        <f>IF(OR(A493="",M493=""),"",IF(ABS(M493-N493)&lt;=0.02,"OK","REVISAR"))</f>
        <v/>
      </c>
      <c r="P493">
        <f>IF(D493="","",IF(LEN(TRIM(D493))&lt;&gt;9,"REVISAR",IFERROR(IF(OR(ISNUMBER(VALUE(LEFT(UPPER(TRIM(D493)),1))),LEFT(UPPER(TRIM(D493)),1)="X",LEFT(UPPER(TRIM(D493)),1)="Y",LEFT(UPPER(TRIM(D493)),1)="Z"),IF(MID("TRWAGMYFPDXBNJZSQVHLCKE",MOD(VALUE(SUBSTITUTE(SUBSTITUTE(SUBSTITUTE(LEFT(UPPER(TRIM(D493)),8),"X","0"),"Y","1"),"Z","2")),23)+1,1)=RIGHT(UPPER(TRIM(D493)),1),"OK","REVISAR"),IF(OR(RIGHT(UPPER(TRIM(D493)),1)=TEXT(MOD(10-MOD((VALUE(MID(UPPER(TRIM(D493)),3,1))+VALUE(MID(UPPER(TRIM(D493)),5,1))+VALUE(MID(UPPER(TRIM(D493)),7,1)))+(INT(2*VALUE(MID(UPPER(TRIM(D493)),2,1))/10)+MOD(2*VALUE(MID(UPPER(TRIM(D493)),2,1)),10))+(INT(2*VALUE(MID(UPPER(TRIM(D493)),4,1))/10)+MOD(2*VALUE(MID(UPPER(TRIM(D493)),4,1)),10))+(INT(2*VALUE(MID(UPPER(TRIM(D493)),6,1))/10)+MOD(2*VALUE(MID(UPPER(TRIM(D493)),6,1)),10))+(INT(2*VALUE(MID(UPPER(TRIM(D493)),8,1))/10)+MOD(2*VALUE(MID(UPPER(TRIM(D493)),8,1)),10)),10),10),"0"),RIGHT(UPPER(TRIM(D493)),1)=MID("JABCDEFGHI",MOD(10-MOD((VALUE(MID(UPPER(TRIM(D493)),3,1))+VALUE(MID(UPPER(TRIM(D493)),5,1))+VALUE(MID(UPPER(TRIM(D493)),7,1)))+(INT(2*VALUE(MID(UPPER(TRIM(D493)),2,1))/10)+MOD(2*VALUE(MID(UPPER(TRIM(D493)),2,1)),10))+(INT(2*VALUE(MID(UPPER(TRIM(D493)),4,1))/10)+MOD(2*VALUE(MID(UPPER(TRIM(D493)),4,1)),10))+(INT(2*VALUE(MID(UPPER(TRIM(D493)),6,1))/10)+MOD(2*VALUE(MID(UPPER(TRIM(D493)),6,1)),10))+(INT(2*VALUE(MID(UPPER(TRIM(D493)),8,1))/10)+MOD(2*VALUE(MID(UPPER(TRIM(D493)),8,1)),10)),10),10)+1,1)),"OK","REVISAR")),"REVISAR")))</f>
        <v/>
      </c>
      <c r="Q493">
        <f>IF(B493="","",IF(COUNTIFS($B$2:$B$501,B493,$D$2:$D$501,D493)&gt;1,"DUPLICADA",""))</f>
        <v/>
      </c>
      <c r="R493">
        <f>IF(A493="","",ROUNDUP(MONTH(A493)/3,0))</f>
        <v/>
      </c>
      <c r="S493" s="3" t="n"/>
    </row>
    <row r="494">
      <c r="A494" s="2" t="n"/>
      <c r="B494" s="3" t="n"/>
      <c r="C494" s="3" t="n"/>
      <c r="D494" s="3" t="n"/>
      <c r="E494" s="4" t="n"/>
      <c r="F494" s="4" t="n"/>
      <c r="G494" s="4" t="n"/>
      <c r="H494" s="4" t="n"/>
      <c r="I494" s="5">
        <f>IF(E494="","",ROUND(E494*0.21,2))</f>
        <v/>
      </c>
      <c r="J494" s="5">
        <f>IF(F494="","",ROUND(F494*0.1,2))</f>
        <v/>
      </c>
      <c r="K494" s="5">
        <f>IF(G494="","",ROUND(G494*0.04,2))</f>
        <v/>
      </c>
      <c r="L494" s="4" t="n"/>
      <c r="M494" s="4" t="n"/>
      <c r="N494" s="5">
        <f>IF(A494="","",SUM(E494:K494)-N(L494))</f>
        <v/>
      </c>
      <c r="O494">
        <f>IF(OR(A494="",M494=""),"",IF(ABS(M494-N494)&lt;=0.02,"OK","REVISAR"))</f>
        <v/>
      </c>
      <c r="P494">
        <f>IF(D494="","",IF(LEN(TRIM(D494))&lt;&gt;9,"REVISAR",IFERROR(IF(OR(ISNUMBER(VALUE(LEFT(UPPER(TRIM(D494)),1))),LEFT(UPPER(TRIM(D494)),1)="X",LEFT(UPPER(TRIM(D494)),1)="Y",LEFT(UPPER(TRIM(D494)),1)="Z"),IF(MID("TRWAGMYFPDXBNJZSQVHLCKE",MOD(VALUE(SUBSTITUTE(SUBSTITUTE(SUBSTITUTE(LEFT(UPPER(TRIM(D494)),8),"X","0"),"Y","1"),"Z","2")),23)+1,1)=RIGHT(UPPER(TRIM(D494)),1),"OK","REVISAR"),IF(OR(RIGHT(UPPER(TRIM(D494)),1)=TEXT(MOD(10-MOD((VALUE(MID(UPPER(TRIM(D494)),3,1))+VALUE(MID(UPPER(TRIM(D494)),5,1))+VALUE(MID(UPPER(TRIM(D494)),7,1)))+(INT(2*VALUE(MID(UPPER(TRIM(D494)),2,1))/10)+MOD(2*VALUE(MID(UPPER(TRIM(D494)),2,1)),10))+(INT(2*VALUE(MID(UPPER(TRIM(D494)),4,1))/10)+MOD(2*VALUE(MID(UPPER(TRIM(D494)),4,1)),10))+(INT(2*VALUE(MID(UPPER(TRIM(D494)),6,1))/10)+MOD(2*VALUE(MID(UPPER(TRIM(D494)),6,1)),10))+(INT(2*VALUE(MID(UPPER(TRIM(D494)),8,1))/10)+MOD(2*VALUE(MID(UPPER(TRIM(D494)),8,1)),10)),10),10),"0"),RIGHT(UPPER(TRIM(D494)),1)=MID("JABCDEFGHI",MOD(10-MOD((VALUE(MID(UPPER(TRIM(D494)),3,1))+VALUE(MID(UPPER(TRIM(D494)),5,1))+VALUE(MID(UPPER(TRIM(D494)),7,1)))+(INT(2*VALUE(MID(UPPER(TRIM(D494)),2,1))/10)+MOD(2*VALUE(MID(UPPER(TRIM(D494)),2,1)),10))+(INT(2*VALUE(MID(UPPER(TRIM(D494)),4,1))/10)+MOD(2*VALUE(MID(UPPER(TRIM(D494)),4,1)),10))+(INT(2*VALUE(MID(UPPER(TRIM(D494)),6,1))/10)+MOD(2*VALUE(MID(UPPER(TRIM(D494)),6,1)),10))+(INT(2*VALUE(MID(UPPER(TRIM(D494)),8,1))/10)+MOD(2*VALUE(MID(UPPER(TRIM(D494)),8,1)),10)),10),10)+1,1)),"OK","REVISAR")),"REVISAR")))</f>
        <v/>
      </c>
      <c r="Q494">
        <f>IF(B494="","",IF(COUNTIFS($B$2:$B$501,B494,$D$2:$D$501,D494)&gt;1,"DUPLICADA",""))</f>
        <v/>
      </c>
      <c r="R494">
        <f>IF(A494="","",ROUNDUP(MONTH(A494)/3,0))</f>
        <v/>
      </c>
      <c r="S494" s="3" t="n"/>
    </row>
    <row r="495">
      <c r="A495" s="2" t="n"/>
      <c r="B495" s="3" t="n"/>
      <c r="C495" s="3" t="n"/>
      <c r="D495" s="3" t="n"/>
      <c r="E495" s="4" t="n"/>
      <c r="F495" s="4" t="n"/>
      <c r="G495" s="4" t="n"/>
      <c r="H495" s="4" t="n"/>
      <c r="I495" s="5">
        <f>IF(E495="","",ROUND(E495*0.21,2))</f>
        <v/>
      </c>
      <c r="J495" s="5">
        <f>IF(F495="","",ROUND(F495*0.1,2))</f>
        <v/>
      </c>
      <c r="K495" s="5">
        <f>IF(G495="","",ROUND(G495*0.04,2))</f>
        <v/>
      </c>
      <c r="L495" s="4" t="n"/>
      <c r="M495" s="4" t="n"/>
      <c r="N495" s="5">
        <f>IF(A495="","",SUM(E495:K495)-N(L495))</f>
        <v/>
      </c>
      <c r="O495">
        <f>IF(OR(A495="",M495=""),"",IF(ABS(M495-N495)&lt;=0.02,"OK","REVISAR"))</f>
        <v/>
      </c>
      <c r="P495">
        <f>IF(D495="","",IF(LEN(TRIM(D495))&lt;&gt;9,"REVISAR",IFERROR(IF(OR(ISNUMBER(VALUE(LEFT(UPPER(TRIM(D495)),1))),LEFT(UPPER(TRIM(D495)),1)="X",LEFT(UPPER(TRIM(D495)),1)="Y",LEFT(UPPER(TRIM(D495)),1)="Z"),IF(MID("TRWAGMYFPDXBNJZSQVHLCKE",MOD(VALUE(SUBSTITUTE(SUBSTITUTE(SUBSTITUTE(LEFT(UPPER(TRIM(D495)),8),"X","0"),"Y","1"),"Z","2")),23)+1,1)=RIGHT(UPPER(TRIM(D495)),1),"OK","REVISAR"),IF(OR(RIGHT(UPPER(TRIM(D495)),1)=TEXT(MOD(10-MOD((VALUE(MID(UPPER(TRIM(D495)),3,1))+VALUE(MID(UPPER(TRIM(D495)),5,1))+VALUE(MID(UPPER(TRIM(D495)),7,1)))+(INT(2*VALUE(MID(UPPER(TRIM(D495)),2,1))/10)+MOD(2*VALUE(MID(UPPER(TRIM(D495)),2,1)),10))+(INT(2*VALUE(MID(UPPER(TRIM(D495)),4,1))/10)+MOD(2*VALUE(MID(UPPER(TRIM(D495)),4,1)),10))+(INT(2*VALUE(MID(UPPER(TRIM(D495)),6,1))/10)+MOD(2*VALUE(MID(UPPER(TRIM(D495)),6,1)),10))+(INT(2*VALUE(MID(UPPER(TRIM(D495)),8,1))/10)+MOD(2*VALUE(MID(UPPER(TRIM(D495)),8,1)),10)),10),10),"0"),RIGHT(UPPER(TRIM(D495)),1)=MID("JABCDEFGHI",MOD(10-MOD((VALUE(MID(UPPER(TRIM(D495)),3,1))+VALUE(MID(UPPER(TRIM(D495)),5,1))+VALUE(MID(UPPER(TRIM(D495)),7,1)))+(INT(2*VALUE(MID(UPPER(TRIM(D495)),2,1))/10)+MOD(2*VALUE(MID(UPPER(TRIM(D495)),2,1)),10))+(INT(2*VALUE(MID(UPPER(TRIM(D495)),4,1))/10)+MOD(2*VALUE(MID(UPPER(TRIM(D495)),4,1)),10))+(INT(2*VALUE(MID(UPPER(TRIM(D495)),6,1))/10)+MOD(2*VALUE(MID(UPPER(TRIM(D495)),6,1)),10))+(INT(2*VALUE(MID(UPPER(TRIM(D495)),8,1))/10)+MOD(2*VALUE(MID(UPPER(TRIM(D495)),8,1)),10)),10),10)+1,1)),"OK","REVISAR")),"REVISAR")))</f>
        <v/>
      </c>
      <c r="Q495">
        <f>IF(B495="","",IF(COUNTIFS($B$2:$B$501,B495,$D$2:$D$501,D495)&gt;1,"DUPLICADA",""))</f>
        <v/>
      </c>
      <c r="R495">
        <f>IF(A495="","",ROUNDUP(MONTH(A495)/3,0))</f>
        <v/>
      </c>
      <c r="S495" s="3" t="n"/>
    </row>
    <row r="496">
      <c r="A496" s="2" t="n"/>
      <c r="B496" s="3" t="n"/>
      <c r="C496" s="3" t="n"/>
      <c r="D496" s="3" t="n"/>
      <c r="E496" s="4" t="n"/>
      <c r="F496" s="4" t="n"/>
      <c r="G496" s="4" t="n"/>
      <c r="H496" s="4" t="n"/>
      <c r="I496" s="5">
        <f>IF(E496="","",ROUND(E496*0.21,2))</f>
        <v/>
      </c>
      <c r="J496" s="5">
        <f>IF(F496="","",ROUND(F496*0.1,2))</f>
        <v/>
      </c>
      <c r="K496" s="5">
        <f>IF(G496="","",ROUND(G496*0.04,2))</f>
        <v/>
      </c>
      <c r="L496" s="4" t="n"/>
      <c r="M496" s="4" t="n"/>
      <c r="N496" s="5">
        <f>IF(A496="","",SUM(E496:K496)-N(L496))</f>
        <v/>
      </c>
      <c r="O496">
        <f>IF(OR(A496="",M496=""),"",IF(ABS(M496-N496)&lt;=0.02,"OK","REVISAR"))</f>
        <v/>
      </c>
      <c r="P496">
        <f>IF(D496="","",IF(LEN(TRIM(D496))&lt;&gt;9,"REVISAR",IFERROR(IF(OR(ISNUMBER(VALUE(LEFT(UPPER(TRIM(D496)),1))),LEFT(UPPER(TRIM(D496)),1)="X",LEFT(UPPER(TRIM(D496)),1)="Y",LEFT(UPPER(TRIM(D496)),1)="Z"),IF(MID("TRWAGMYFPDXBNJZSQVHLCKE",MOD(VALUE(SUBSTITUTE(SUBSTITUTE(SUBSTITUTE(LEFT(UPPER(TRIM(D496)),8),"X","0"),"Y","1"),"Z","2")),23)+1,1)=RIGHT(UPPER(TRIM(D496)),1),"OK","REVISAR"),IF(OR(RIGHT(UPPER(TRIM(D496)),1)=TEXT(MOD(10-MOD((VALUE(MID(UPPER(TRIM(D496)),3,1))+VALUE(MID(UPPER(TRIM(D496)),5,1))+VALUE(MID(UPPER(TRIM(D496)),7,1)))+(INT(2*VALUE(MID(UPPER(TRIM(D496)),2,1))/10)+MOD(2*VALUE(MID(UPPER(TRIM(D496)),2,1)),10))+(INT(2*VALUE(MID(UPPER(TRIM(D496)),4,1))/10)+MOD(2*VALUE(MID(UPPER(TRIM(D496)),4,1)),10))+(INT(2*VALUE(MID(UPPER(TRIM(D496)),6,1))/10)+MOD(2*VALUE(MID(UPPER(TRIM(D496)),6,1)),10))+(INT(2*VALUE(MID(UPPER(TRIM(D496)),8,1))/10)+MOD(2*VALUE(MID(UPPER(TRIM(D496)),8,1)),10)),10),10),"0"),RIGHT(UPPER(TRIM(D496)),1)=MID("JABCDEFGHI",MOD(10-MOD((VALUE(MID(UPPER(TRIM(D496)),3,1))+VALUE(MID(UPPER(TRIM(D496)),5,1))+VALUE(MID(UPPER(TRIM(D496)),7,1)))+(INT(2*VALUE(MID(UPPER(TRIM(D496)),2,1))/10)+MOD(2*VALUE(MID(UPPER(TRIM(D496)),2,1)),10))+(INT(2*VALUE(MID(UPPER(TRIM(D496)),4,1))/10)+MOD(2*VALUE(MID(UPPER(TRIM(D496)),4,1)),10))+(INT(2*VALUE(MID(UPPER(TRIM(D496)),6,1))/10)+MOD(2*VALUE(MID(UPPER(TRIM(D496)),6,1)),10))+(INT(2*VALUE(MID(UPPER(TRIM(D496)),8,1))/10)+MOD(2*VALUE(MID(UPPER(TRIM(D496)),8,1)),10)),10),10)+1,1)),"OK","REVISAR")),"REVISAR")))</f>
        <v/>
      </c>
      <c r="Q496">
        <f>IF(B496="","",IF(COUNTIFS($B$2:$B$501,B496,$D$2:$D$501,D496)&gt;1,"DUPLICADA",""))</f>
        <v/>
      </c>
      <c r="R496">
        <f>IF(A496="","",ROUNDUP(MONTH(A496)/3,0))</f>
        <v/>
      </c>
      <c r="S496" s="3" t="n"/>
    </row>
    <row r="497">
      <c r="A497" s="2" t="n"/>
      <c r="B497" s="3" t="n"/>
      <c r="C497" s="3" t="n"/>
      <c r="D497" s="3" t="n"/>
      <c r="E497" s="4" t="n"/>
      <c r="F497" s="4" t="n"/>
      <c r="G497" s="4" t="n"/>
      <c r="H497" s="4" t="n"/>
      <c r="I497" s="5">
        <f>IF(E497="","",ROUND(E497*0.21,2))</f>
        <v/>
      </c>
      <c r="J497" s="5">
        <f>IF(F497="","",ROUND(F497*0.1,2))</f>
        <v/>
      </c>
      <c r="K497" s="5">
        <f>IF(G497="","",ROUND(G497*0.04,2))</f>
        <v/>
      </c>
      <c r="L497" s="4" t="n"/>
      <c r="M497" s="4" t="n"/>
      <c r="N497" s="5">
        <f>IF(A497="","",SUM(E497:K497)-N(L497))</f>
        <v/>
      </c>
      <c r="O497">
        <f>IF(OR(A497="",M497=""),"",IF(ABS(M497-N497)&lt;=0.02,"OK","REVISAR"))</f>
        <v/>
      </c>
      <c r="P497">
        <f>IF(D497="","",IF(LEN(TRIM(D497))&lt;&gt;9,"REVISAR",IFERROR(IF(OR(ISNUMBER(VALUE(LEFT(UPPER(TRIM(D497)),1))),LEFT(UPPER(TRIM(D497)),1)="X",LEFT(UPPER(TRIM(D497)),1)="Y",LEFT(UPPER(TRIM(D497)),1)="Z"),IF(MID("TRWAGMYFPDXBNJZSQVHLCKE",MOD(VALUE(SUBSTITUTE(SUBSTITUTE(SUBSTITUTE(LEFT(UPPER(TRIM(D497)),8),"X","0"),"Y","1"),"Z","2")),23)+1,1)=RIGHT(UPPER(TRIM(D497)),1),"OK","REVISAR"),IF(OR(RIGHT(UPPER(TRIM(D497)),1)=TEXT(MOD(10-MOD((VALUE(MID(UPPER(TRIM(D497)),3,1))+VALUE(MID(UPPER(TRIM(D497)),5,1))+VALUE(MID(UPPER(TRIM(D497)),7,1)))+(INT(2*VALUE(MID(UPPER(TRIM(D497)),2,1))/10)+MOD(2*VALUE(MID(UPPER(TRIM(D497)),2,1)),10))+(INT(2*VALUE(MID(UPPER(TRIM(D497)),4,1))/10)+MOD(2*VALUE(MID(UPPER(TRIM(D497)),4,1)),10))+(INT(2*VALUE(MID(UPPER(TRIM(D497)),6,1))/10)+MOD(2*VALUE(MID(UPPER(TRIM(D497)),6,1)),10))+(INT(2*VALUE(MID(UPPER(TRIM(D497)),8,1))/10)+MOD(2*VALUE(MID(UPPER(TRIM(D497)),8,1)),10)),10),10),"0"),RIGHT(UPPER(TRIM(D497)),1)=MID("JABCDEFGHI",MOD(10-MOD((VALUE(MID(UPPER(TRIM(D497)),3,1))+VALUE(MID(UPPER(TRIM(D497)),5,1))+VALUE(MID(UPPER(TRIM(D497)),7,1)))+(INT(2*VALUE(MID(UPPER(TRIM(D497)),2,1))/10)+MOD(2*VALUE(MID(UPPER(TRIM(D497)),2,1)),10))+(INT(2*VALUE(MID(UPPER(TRIM(D497)),4,1))/10)+MOD(2*VALUE(MID(UPPER(TRIM(D497)),4,1)),10))+(INT(2*VALUE(MID(UPPER(TRIM(D497)),6,1))/10)+MOD(2*VALUE(MID(UPPER(TRIM(D497)),6,1)),10))+(INT(2*VALUE(MID(UPPER(TRIM(D497)),8,1))/10)+MOD(2*VALUE(MID(UPPER(TRIM(D497)),8,1)),10)),10),10)+1,1)),"OK","REVISAR")),"REVISAR")))</f>
        <v/>
      </c>
      <c r="Q497">
        <f>IF(B497="","",IF(COUNTIFS($B$2:$B$501,B497,$D$2:$D$501,D497)&gt;1,"DUPLICADA",""))</f>
        <v/>
      </c>
      <c r="R497">
        <f>IF(A497="","",ROUNDUP(MONTH(A497)/3,0))</f>
        <v/>
      </c>
      <c r="S497" s="3" t="n"/>
    </row>
    <row r="498">
      <c r="A498" s="2" t="n"/>
      <c r="B498" s="3" t="n"/>
      <c r="C498" s="3" t="n"/>
      <c r="D498" s="3" t="n"/>
      <c r="E498" s="4" t="n"/>
      <c r="F498" s="4" t="n"/>
      <c r="G498" s="4" t="n"/>
      <c r="H498" s="4" t="n"/>
      <c r="I498" s="5">
        <f>IF(E498="","",ROUND(E498*0.21,2))</f>
        <v/>
      </c>
      <c r="J498" s="5">
        <f>IF(F498="","",ROUND(F498*0.1,2))</f>
        <v/>
      </c>
      <c r="K498" s="5">
        <f>IF(G498="","",ROUND(G498*0.04,2))</f>
        <v/>
      </c>
      <c r="L498" s="4" t="n"/>
      <c r="M498" s="4" t="n"/>
      <c r="N498" s="5">
        <f>IF(A498="","",SUM(E498:K498)-N(L498))</f>
        <v/>
      </c>
      <c r="O498">
        <f>IF(OR(A498="",M498=""),"",IF(ABS(M498-N498)&lt;=0.02,"OK","REVISAR"))</f>
        <v/>
      </c>
      <c r="P498">
        <f>IF(D498="","",IF(LEN(TRIM(D498))&lt;&gt;9,"REVISAR",IFERROR(IF(OR(ISNUMBER(VALUE(LEFT(UPPER(TRIM(D498)),1))),LEFT(UPPER(TRIM(D498)),1)="X",LEFT(UPPER(TRIM(D498)),1)="Y",LEFT(UPPER(TRIM(D498)),1)="Z"),IF(MID("TRWAGMYFPDXBNJZSQVHLCKE",MOD(VALUE(SUBSTITUTE(SUBSTITUTE(SUBSTITUTE(LEFT(UPPER(TRIM(D498)),8),"X","0"),"Y","1"),"Z","2")),23)+1,1)=RIGHT(UPPER(TRIM(D498)),1),"OK","REVISAR"),IF(OR(RIGHT(UPPER(TRIM(D498)),1)=TEXT(MOD(10-MOD((VALUE(MID(UPPER(TRIM(D498)),3,1))+VALUE(MID(UPPER(TRIM(D498)),5,1))+VALUE(MID(UPPER(TRIM(D498)),7,1)))+(INT(2*VALUE(MID(UPPER(TRIM(D498)),2,1))/10)+MOD(2*VALUE(MID(UPPER(TRIM(D498)),2,1)),10))+(INT(2*VALUE(MID(UPPER(TRIM(D498)),4,1))/10)+MOD(2*VALUE(MID(UPPER(TRIM(D498)),4,1)),10))+(INT(2*VALUE(MID(UPPER(TRIM(D498)),6,1))/10)+MOD(2*VALUE(MID(UPPER(TRIM(D498)),6,1)),10))+(INT(2*VALUE(MID(UPPER(TRIM(D498)),8,1))/10)+MOD(2*VALUE(MID(UPPER(TRIM(D498)),8,1)),10)),10),10),"0"),RIGHT(UPPER(TRIM(D498)),1)=MID("JABCDEFGHI",MOD(10-MOD((VALUE(MID(UPPER(TRIM(D498)),3,1))+VALUE(MID(UPPER(TRIM(D498)),5,1))+VALUE(MID(UPPER(TRIM(D498)),7,1)))+(INT(2*VALUE(MID(UPPER(TRIM(D498)),2,1))/10)+MOD(2*VALUE(MID(UPPER(TRIM(D498)),2,1)),10))+(INT(2*VALUE(MID(UPPER(TRIM(D498)),4,1))/10)+MOD(2*VALUE(MID(UPPER(TRIM(D498)),4,1)),10))+(INT(2*VALUE(MID(UPPER(TRIM(D498)),6,1))/10)+MOD(2*VALUE(MID(UPPER(TRIM(D498)),6,1)),10))+(INT(2*VALUE(MID(UPPER(TRIM(D498)),8,1))/10)+MOD(2*VALUE(MID(UPPER(TRIM(D498)),8,1)),10)),10),10)+1,1)),"OK","REVISAR")),"REVISAR")))</f>
        <v/>
      </c>
      <c r="Q498">
        <f>IF(B498="","",IF(COUNTIFS($B$2:$B$501,B498,$D$2:$D$501,D498)&gt;1,"DUPLICADA",""))</f>
        <v/>
      </c>
      <c r="R498">
        <f>IF(A498="","",ROUNDUP(MONTH(A498)/3,0))</f>
        <v/>
      </c>
      <c r="S498" s="3" t="n"/>
    </row>
    <row r="499">
      <c r="A499" s="2" t="n"/>
      <c r="B499" s="3" t="n"/>
      <c r="C499" s="3" t="n"/>
      <c r="D499" s="3" t="n"/>
      <c r="E499" s="4" t="n"/>
      <c r="F499" s="4" t="n"/>
      <c r="G499" s="4" t="n"/>
      <c r="H499" s="4" t="n"/>
      <c r="I499" s="5">
        <f>IF(E499="","",ROUND(E499*0.21,2))</f>
        <v/>
      </c>
      <c r="J499" s="5">
        <f>IF(F499="","",ROUND(F499*0.1,2))</f>
        <v/>
      </c>
      <c r="K499" s="5">
        <f>IF(G499="","",ROUND(G499*0.04,2))</f>
        <v/>
      </c>
      <c r="L499" s="4" t="n"/>
      <c r="M499" s="4" t="n"/>
      <c r="N499" s="5">
        <f>IF(A499="","",SUM(E499:K499)-N(L499))</f>
        <v/>
      </c>
      <c r="O499">
        <f>IF(OR(A499="",M499=""),"",IF(ABS(M499-N499)&lt;=0.02,"OK","REVISAR"))</f>
        <v/>
      </c>
      <c r="P499">
        <f>IF(D499="","",IF(LEN(TRIM(D499))&lt;&gt;9,"REVISAR",IFERROR(IF(OR(ISNUMBER(VALUE(LEFT(UPPER(TRIM(D499)),1))),LEFT(UPPER(TRIM(D499)),1)="X",LEFT(UPPER(TRIM(D499)),1)="Y",LEFT(UPPER(TRIM(D499)),1)="Z"),IF(MID("TRWAGMYFPDXBNJZSQVHLCKE",MOD(VALUE(SUBSTITUTE(SUBSTITUTE(SUBSTITUTE(LEFT(UPPER(TRIM(D499)),8),"X","0"),"Y","1"),"Z","2")),23)+1,1)=RIGHT(UPPER(TRIM(D499)),1),"OK","REVISAR"),IF(OR(RIGHT(UPPER(TRIM(D499)),1)=TEXT(MOD(10-MOD((VALUE(MID(UPPER(TRIM(D499)),3,1))+VALUE(MID(UPPER(TRIM(D499)),5,1))+VALUE(MID(UPPER(TRIM(D499)),7,1)))+(INT(2*VALUE(MID(UPPER(TRIM(D499)),2,1))/10)+MOD(2*VALUE(MID(UPPER(TRIM(D499)),2,1)),10))+(INT(2*VALUE(MID(UPPER(TRIM(D499)),4,1))/10)+MOD(2*VALUE(MID(UPPER(TRIM(D499)),4,1)),10))+(INT(2*VALUE(MID(UPPER(TRIM(D499)),6,1))/10)+MOD(2*VALUE(MID(UPPER(TRIM(D499)),6,1)),10))+(INT(2*VALUE(MID(UPPER(TRIM(D499)),8,1))/10)+MOD(2*VALUE(MID(UPPER(TRIM(D499)),8,1)),10)),10),10),"0"),RIGHT(UPPER(TRIM(D499)),1)=MID("JABCDEFGHI",MOD(10-MOD((VALUE(MID(UPPER(TRIM(D499)),3,1))+VALUE(MID(UPPER(TRIM(D499)),5,1))+VALUE(MID(UPPER(TRIM(D499)),7,1)))+(INT(2*VALUE(MID(UPPER(TRIM(D499)),2,1))/10)+MOD(2*VALUE(MID(UPPER(TRIM(D499)),2,1)),10))+(INT(2*VALUE(MID(UPPER(TRIM(D499)),4,1))/10)+MOD(2*VALUE(MID(UPPER(TRIM(D499)),4,1)),10))+(INT(2*VALUE(MID(UPPER(TRIM(D499)),6,1))/10)+MOD(2*VALUE(MID(UPPER(TRIM(D499)),6,1)),10))+(INT(2*VALUE(MID(UPPER(TRIM(D499)),8,1))/10)+MOD(2*VALUE(MID(UPPER(TRIM(D499)),8,1)),10)),10),10)+1,1)),"OK","REVISAR")),"REVISAR")))</f>
        <v/>
      </c>
      <c r="Q499">
        <f>IF(B499="","",IF(COUNTIFS($B$2:$B$501,B499,$D$2:$D$501,D499)&gt;1,"DUPLICADA",""))</f>
        <v/>
      </c>
      <c r="R499">
        <f>IF(A499="","",ROUNDUP(MONTH(A499)/3,0))</f>
        <v/>
      </c>
      <c r="S499" s="3" t="n"/>
    </row>
    <row r="500">
      <c r="A500" s="2" t="n"/>
      <c r="B500" s="3" t="n"/>
      <c r="C500" s="3" t="n"/>
      <c r="D500" s="3" t="n"/>
      <c r="E500" s="4" t="n"/>
      <c r="F500" s="4" t="n"/>
      <c r="G500" s="4" t="n"/>
      <c r="H500" s="4" t="n"/>
      <c r="I500" s="5">
        <f>IF(E500="","",ROUND(E500*0.21,2))</f>
        <v/>
      </c>
      <c r="J500" s="5">
        <f>IF(F500="","",ROUND(F500*0.1,2))</f>
        <v/>
      </c>
      <c r="K500" s="5">
        <f>IF(G500="","",ROUND(G500*0.04,2))</f>
        <v/>
      </c>
      <c r="L500" s="4" t="n"/>
      <c r="M500" s="4" t="n"/>
      <c r="N500" s="5">
        <f>IF(A500="","",SUM(E500:K500)-N(L500))</f>
        <v/>
      </c>
      <c r="O500">
        <f>IF(OR(A500="",M500=""),"",IF(ABS(M500-N500)&lt;=0.02,"OK","REVISAR"))</f>
        <v/>
      </c>
      <c r="P500">
        <f>IF(D500="","",IF(LEN(TRIM(D500))&lt;&gt;9,"REVISAR",IFERROR(IF(OR(ISNUMBER(VALUE(LEFT(UPPER(TRIM(D500)),1))),LEFT(UPPER(TRIM(D500)),1)="X",LEFT(UPPER(TRIM(D500)),1)="Y",LEFT(UPPER(TRIM(D500)),1)="Z"),IF(MID("TRWAGMYFPDXBNJZSQVHLCKE",MOD(VALUE(SUBSTITUTE(SUBSTITUTE(SUBSTITUTE(LEFT(UPPER(TRIM(D500)),8),"X","0"),"Y","1"),"Z","2")),23)+1,1)=RIGHT(UPPER(TRIM(D500)),1),"OK","REVISAR"),IF(OR(RIGHT(UPPER(TRIM(D500)),1)=TEXT(MOD(10-MOD((VALUE(MID(UPPER(TRIM(D500)),3,1))+VALUE(MID(UPPER(TRIM(D500)),5,1))+VALUE(MID(UPPER(TRIM(D500)),7,1)))+(INT(2*VALUE(MID(UPPER(TRIM(D500)),2,1))/10)+MOD(2*VALUE(MID(UPPER(TRIM(D500)),2,1)),10))+(INT(2*VALUE(MID(UPPER(TRIM(D500)),4,1))/10)+MOD(2*VALUE(MID(UPPER(TRIM(D500)),4,1)),10))+(INT(2*VALUE(MID(UPPER(TRIM(D500)),6,1))/10)+MOD(2*VALUE(MID(UPPER(TRIM(D500)),6,1)),10))+(INT(2*VALUE(MID(UPPER(TRIM(D500)),8,1))/10)+MOD(2*VALUE(MID(UPPER(TRIM(D500)),8,1)),10)),10),10),"0"),RIGHT(UPPER(TRIM(D500)),1)=MID("JABCDEFGHI",MOD(10-MOD((VALUE(MID(UPPER(TRIM(D500)),3,1))+VALUE(MID(UPPER(TRIM(D500)),5,1))+VALUE(MID(UPPER(TRIM(D500)),7,1)))+(INT(2*VALUE(MID(UPPER(TRIM(D500)),2,1))/10)+MOD(2*VALUE(MID(UPPER(TRIM(D500)),2,1)),10))+(INT(2*VALUE(MID(UPPER(TRIM(D500)),4,1))/10)+MOD(2*VALUE(MID(UPPER(TRIM(D500)),4,1)),10))+(INT(2*VALUE(MID(UPPER(TRIM(D500)),6,1))/10)+MOD(2*VALUE(MID(UPPER(TRIM(D500)),6,1)),10))+(INT(2*VALUE(MID(UPPER(TRIM(D500)),8,1))/10)+MOD(2*VALUE(MID(UPPER(TRIM(D500)),8,1)),10)),10),10)+1,1)),"OK","REVISAR")),"REVISAR")))</f>
        <v/>
      </c>
      <c r="Q500">
        <f>IF(B500="","",IF(COUNTIFS($B$2:$B$501,B500,$D$2:$D$501,D500)&gt;1,"DUPLICADA",""))</f>
        <v/>
      </c>
      <c r="R500">
        <f>IF(A500="","",ROUNDUP(MONTH(A500)/3,0))</f>
        <v/>
      </c>
      <c r="S500" s="3" t="n"/>
    </row>
    <row r="501">
      <c r="A501" s="2" t="n"/>
      <c r="B501" s="3" t="n"/>
      <c r="C501" s="3" t="n"/>
      <c r="D501" s="3" t="n"/>
      <c r="E501" s="4" t="n"/>
      <c r="F501" s="4" t="n"/>
      <c r="G501" s="4" t="n"/>
      <c r="H501" s="4" t="n"/>
      <c r="I501" s="5">
        <f>IF(E501="","",ROUND(E501*0.21,2))</f>
        <v/>
      </c>
      <c r="J501" s="5">
        <f>IF(F501="","",ROUND(F501*0.1,2))</f>
        <v/>
      </c>
      <c r="K501" s="5">
        <f>IF(G501="","",ROUND(G501*0.04,2))</f>
        <v/>
      </c>
      <c r="L501" s="4" t="n"/>
      <c r="M501" s="4" t="n"/>
      <c r="N501" s="5">
        <f>IF(A501="","",SUM(E501:K501)-N(L501))</f>
        <v/>
      </c>
      <c r="O501">
        <f>IF(OR(A501="",M501=""),"",IF(ABS(M501-N501)&lt;=0.02,"OK","REVISAR"))</f>
        <v/>
      </c>
      <c r="P501">
        <f>IF(D501="","",IF(LEN(TRIM(D501))&lt;&gt;9,"REVISAR",IFERROR(IF(OR(ISNUMBER(VALUE(LEFT(UPPER(TRIM(D501)),1))),LEFT(UPPER(TRIM(D501)),1)="X",LEFT(UPPER(TRIM(D501)),1)="Y",LEFT(UPPER(TRIM(D501)),1)="Z"),IF(MID("TRWAGMYFPDXBNJZSQVHLCKE",MOD(VALUE(SUBSTITUTE(SUBSTITUTE(SUBSTITUTE(LEFT(UPPER(TRIM(D501)),8),"X","0"),"Y","1"),"Z","2")),23)+1,1)=RIGHT(UPPER(TRIM(D501)),1),"OK","REVISAR"),IF(OR(RIGHT(UPPER(TRIM(D501)),1)=TEXT(MOD(10-MOD((VALUE(MID(UPPER(TRIM(D501)),3,1))+VALUE(MID(UPPER(TRIM(D501)),5,1))+VALUE(MID(UPPER(TRIM(D501)),7,1)))+(INT(2*VALUE(MID(UPPER(TRIM(D501)),2,1))/10)+MOD(2*VALUE(MID(UPPER(TRIM(D501)),2,1)),10))+(INT(2*VALUE(MID(UPPER(TRIM(D501)),4,1))/10)+MOD(2*VALUE(MID(UPPER(TRIM(D501)),4,1)),10))+(INT(2*VALUE(MID(UPPER(TRIM(D501)),6,1))/10)+MOD(2*VALUE(MID(UPPER(TRIM(D501)),6,1)),10))+(INT(2*VALUE(MID(UPPER(TRIM(D501)),8,1))/10)+MOD(2*VALUE(MID(UPPER(TRIM(D501)),8,1)),10)),10),10),"0"),RIGHT(UPPER(TRIM(D501)),1)=MID("JABCDEFGHI",MOD(10-MOD((VALUE(MID(UPPER(TRIM(D501)),3,1))+VALUE(MID(UPPER(TRIM(D501)),5,1))+VALUE(MID(UPPER(TRIM(D501)),7,1)))+(INT(2*VALUE(MID(UPPER(TRIM(D501)),2,1))/10)+MOD(2*VALUE(MID(UPPER(TRIM(D501)),2,1)),10))+(INT(2*VALUE(MID(UPPER(TRIM(D501)),4,1))/10)+MOD(2*VALUE(MID(UPPER(TRIM(D501)),4,1)),10))+(INT(2*VALUE(MID(UPPER(TRIM(D501)),6,1))/10)+MOD(2*VALUE(MID(UPPER(TRIM(D501)),6,1)),10))+(INT(2*VALUE(MID(UPPER(TRIM(D501)),8,1))/10)+MOD(2*VALUE(MID(UPPER(TRIM(D501)),8,1)),10)),10),10)+1,1)),"OK","REVISAR")),"REVISAR")))</f>
        <v/>
      </c>
      <c r="Q501">
        <f>IF(B501="","",IF(COUNTIFS($B$2:$B$501,B501,$D$2:$D$501,D501)&gt;1,"DUPLICADA",""))</f>
        <v/>
      </c>
      <c r="R501">
        <f>IF(A501="","",ROUNDUP(MONTH(A501)/3,0))</f>
        <v/>
      </c>
      <c r="S5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  <col width="9" customWidth="1" min="18" max="18"/>
    <col width="10" customWidth="1" min="19" max="19"/>
  </cols>
  <sheetData>
    <row r="1">
      <c r="A1" s="1" t="inlineStr">
        <is>
          <t>Fecha</t>
        </is>
      </c>
      <c r="B1" s="1" t="inlineStr">
        <is>
          <t>N.º factura</t>
        </is>
      </c>
      <c r="C1" s="1" t="inlineStr">
        <is>
          <t>Proveedor</t>
        </is>
      </c>
      <c r="D1" s="1" t="inlineStr">
        <is>
          <t>NIF</t>
        </is>
      </c>
      <c r="E1" s="1" t="inlineStr">
        <is>
          <t>Base 21 %</t>
        </is>
      </c>
      <c r="F1" s="1" t="inlineStr">
        <is>
          <t>Base 10 %</t>
        </is>
      </c>
      <c r="G1" s="1" t="inlineStr">
        <is>
          <t>Base 4 %</t>
        </is>
      </c>
      <c r="H1" s="1" t="inlineStr">
        <is>
          <t>Base exenta o 0 %</t>
        </is>
      </c>
      <c r="I1" s="1" t="inlineStr">
        <is>
          <t>Cuota 21 %</t>
        </is>
      </c>
      <c r="J1" s="1" t="inlineStr">
        <is>
          <t>Cuota 10 %</t>
        </is>
      </c>
      <c r="K1" s="1" t="inlineStr">
        <is>
          <t>Cuota 4 %</t>
        </is>
      </c>
      <c r="L1" s="1" t="inlineStr">
        <is>
          <t>Retención IRPF</t>
        </is>
      </c>
      <c r="M1" s="1" t="inlineStr">
        <is>
          <t>Total en la factura</t>
        </is>
      </c>
      <c r="N1" s="1" t="inlineStr">
        <is>
          <t>Total calculado</t>
        </is>
      </c>
      <c r="O1" s="1" t="inlineStr">
        <is>
          <t>¿Cuadra?</t>
        </is>
      </c>
      <c r="P1" s="1" t="inlineStr">
        <is>
          <t>¿NIF válido?</t>
        </is>
      </c>
      <c r="Q1" s="1" t="inlineStr">
        <is>
          <t>¿Duplicada?</t>
        </is>
      </c>
      <c r="R1" s="1" t="inlineStr">
        <is>
          <t>Trimestre</t>
        </is>
      </c>
      <c r="S1" s="1" t="inlineStr">
        <is>
          <t>Cuenta PGC</t>
        </is>
      </c>
    </row>
    <row r="2">
      <c r="A2" s="2" t="n">
        <v>46205</v>
      </c>
      <c r="B2" s="3" t="inlineStr">
        <is>
          <t>A-1187</t>
        </is>
      </c>
      <c r="C2" s="3" t="inlineStr">
        <is>
          <t>Suministros Ejemplo, S.L.</t>
        </is>
      </c>
      <c r="D2" s="3" t="inlineStr">
        <is>
          <t>B12345674</t>
        </is>
      </c>
      <c r="E2" s="4" t="n">
        <v>412.4</v>
      </c>
      <c r="F2" s="4" t="n"/>
      <c r="G2" s="4" t="n"/>
      <c r="H2" s="4" t="n"/>
      <c r="I2" s="5">
        <f>IF(E2="","",ROUND(E2*0.21,2))</f>
        <v/>
      </c>
      <c r="J2" s="5">
        <f>IF(F2="","",ROUND(F2*0.1,2))</f>
        <v/>
      </c>
      <c r="K2" s="5">
        <f>IF(G2="","",ROUND(G2*0.04,2))</f>
        <v/>
      </c>
      <c r="L2" s="4" t="n"/>
      <c r="M2" s="4" t="n">
        <v>499</v>
      </c>
      <c r="N2" s="5">
        <f>IF(A2="","",SUM(E2:K2)-N(L2))</f>
        <v/>
      </c>
      <c r="O2">
        <f>IF(OR(A2="",M2=""),"",IF(ABS(M2-N2)&lt;=0.02,"OK","REVISAR"))</f>
        <v/>
      </c>
      <c r="P2">
        <f>IF(D2="","",IF(LEN(TRIM(D2))&lt;&gt;9,"REVISAR",IFERROR(IF(OR(ISNUMBER(VALUE(LEFT(UPPER(TRIM(D2)),1))),LEFT(UPPER(TRIM(D2)),1)="X",LEFT(UPPER(TRIM(D2)),1)="Y",LEFT(UPPER(TRIM(D2)),1)="Z"),IF(MID("TRWAGMYFPDXBNJZSQVHLCKE",MOD(VALUE(SUBSTITUTE(SUBSTITUTE(SUBSTITUTE(LEFT(UPPER(TRIM(D2)),8),"X","0"),"Y","1"),"Z","2")),23)+1,1)=RIGHT(UPPER(TRIM(D2)),1),"OK","REVISAR"),IF(OR(RIGHT(UPPER(TRIM(D2)),1)=TEXT(MOD(10-MOD((VALUE(MID(UPPER(TRIM(D2)),3,1))+VALUE(MID(UPPER(TRIM(D2)),5,1))+VALUE(MID(UPPER(TRIM(D2)),7,1)))+(INT(2*VALUE(MID(UPPER(TRIM(D2)),2,1))/10)+MOD(2*VALUE(MID(UPPER(TRIM(D2)),2,1)),10))+(INT(2*VALUE(MID(UPPER(TRIM(D2)),4,1))/10)+MOD(2*VALUE(MID(UPPER(TRIM(D2)),4,1)),10))+(INT(2*VALUE(MID(UPPER(TRIM(D2)),6,1))/10)+MOD(2*VALUE(MID(UPPER(TRIM(D2)),6,1)),10))+(INT(2*VALUE(MID(UPPER(TRIM(D2)),8,1))/10)+MOD(2*VALUE(MID(UPPER(TRIM(D2)),8,1)),10)),10),10),"0"),RIGHT(UPPER(TRIM(D2)),1)=MID("JABCDEFGHI",MOD(10-MOD((VALUE(MID(UPPER(TRIM(D2)),3,1))+VALUE(MID(UPPER(TRIM(D2)),5,1))+VALUE(MID(UPPER(TRIM(D2)),7,1)))+(INT(2*VALUE(MID(UPPER(TRIM(D2)),2,1))/10)+MOD(2*VALUE(MID(UPPER(TRIM(D2)),2,1)),10))+(INT(2*VALUE(MID(UPPER(TRIM(D2)),4,1))/10)+MOD(2*VALUE(MID(UPPER(TRIM(D2)),4,1)),10))+(INT(2*VALUE(MID(UPPER(TRIM(D2)),6,1))/10)+MOD(2*VALUE(MID(UPPER(TRIM(D2)),6,1)),10))+(INT(2*VALUE(MID(UPPER(TRIM(D2)),8,1))/10)+MOD(2*VALUE(MID(UPPER(TRIM(D2)),8,1)),10)),10),10)+1,1)),"OK","REVISAR")),"REVISAR")))</f>
        <v/>
      </c>
      <c r="Q2">
        <f>IF(B2="","",IF(COUNTIFS($B$2:$B$501,B2,$D$2:$D$501,D2)&gt;1,"DUPLICADA",""))</f>
        <v/>
      </c>
      <c r="R2">
        <f>IF(A2="","",ROUNDUP(MONTH(A2)/3,0))</f>
        <v/>
      </c>
      <c r="S2" s="3" t="inlineStr">
        <is>
          <t>602</t>
        </is>
      </c>
    </row>
    <row r="3">
      <c r="A3" s="2" t="n">
        <v>46249</v>
      </c>
      <c r="B3" s="3" t="inlineStr">
        <is>
          <t>2026/311</t>
        </is>
      </c>
      <c r="C3" s="3" t="inlineStr">
        <is>
          <t>Asesor Ejemplo</t>
        </is>
      </c>
      <c r="D3" s="3" t="inlineStr">
        <is>
          <t>12345678Z</t>
        </is>
      </c>
      <c r="E3" s="4" t="n">
        <v>300</v>
      </c>
      <c r="F3" s="4" t="n"/>
      <c r="G3" s="4" t="n"/>
      <c r="H3" s="4" t="n"/>
      <c r="I3" s="5">
        <f>IF(E3="","",ROUND(E3*0.21,2))</f>
        <v/>
      </c>
      <c r="J3" s="5">
        <f>IF(F3="","",ROUND(F3*0.1,2))</f>
        <v/>
      </c>
      <c r="K3" s="5">
        <f>IF(G3="","",ROUND(G3*0.04,2))</f>
        <v/>
      </c>
      <c r="L3" s="4" t="n">
        <v>45</v>
      </c>
      <c r="M3" s="4" t="n">
        <v>318</v>
      </c>
      <c r="N3" s="5">
        <f>IF(A3="","",SUM(E3:K3)-N(L3))</f>
        <v/>
      </c>
      <c r="O3">
        <f>IF(OR(A3="",M3=""),"",IF(ABS(M3-N3)&lt;=0.02,"OK","REVISAR"))</f>
        <v/>
      </c>
      <c r="P3">
        <f>IF(D3="","",IF(LEN(TRIM(D3))&lt;&gt;9,"REVISAR",IFERROR(IF(OR(ISNUMBER(VALUE(LEFT(UPPER(TRIM(D3)),1))),LEFT(UPPER(TRIM(D3)),1)="X",LEFT(UPPER(TRIM(D3)),1)="Y",LEFT(UPPER(TRIM(D3)),1)="Z"),IF(MID("TRWAGMYFPDXBNJZSQVHLCKE",MOD(VALUE(SUBSTITUTE(SUBSTITUTE(SUBSTITUTE(LEFT(UPPER(TRIM(D3)),8),"X","0"),"Y","1"),"Z","2")),23)+1,1)=RIGHT(UPPER(TRIM(D3)),1),"OK","REVISAR"),IF(OR(RIGHT(UPPER(TRIM(D3)),1)=TEXT(MOD(10-MOD((VALUE(MID(UPPER(TRIM(D3)),3,1))+VALUE(MID(UPPER(TRIM(D3)),5,1))+VALUE(MID(UPPER(TRIM(D3)),7,1)))+(INT(2*VALUE(MID(UPPER(TRIM(D3)),2,1))/10)+MOD(2*VALUE(MID(UPPER(TRIM(D3)),2,1)),10))+(INT(2*VALUE(MID(UPPER(TRIM(D3)),4,1))/10)+MOD(2*VALUE(MID(UPPER(TRIM(D3)),4,1)),10))+(INT(2*VALUE(MID(UPPER(TRIM(D3)),6,1))/10)+MOD(2*VALUE(MID(UPPER(TRIM(D3)),6,1)),10))+(INT(2*VALUE(MID(UPPER(TRIM(D3)),8,1))/10)+MOD(2*VALUE(MID(UPPER(TRIM(D3)),8,1)),10)),10),10),"0"),RIGHT(UPPER(TRIM(D3)),1)=MID("JABCDEFGHI",MOD(10-MOD((VALUE(MID(UPPER(TRIM(D3)),3,1))+VALUE(MID(UPPER(TRIM(D3)),5,1))+VALUE(MID(UPPER(TRIM(D3)),7,1)))+(INT(2*VALUE(MID(UPPER(TRIM(D3)),2,1))/10)+MOD(2*VALUE(MID(UPPER(TRIM(D3)),2,1)),10))+(INT(2*VALUE(MID(UPPER(TRIM(D3)),4,1))/10)+MOD(2*VALUE(MID(UPPER(TRIM(D3)),4,1)),10))+(INT(2*VALUE(MID(UPPER(TRIM(D3)),6,1))/10)+MOD(2*VALUE(MID(UPPER(TRIM(D3)),6,1)),10))+(INT(2*VALUE(MID(UPPER(TRIM(D3)),8,1))/10)+MOD(2*VALUE(MID(UPPER(TRIM(D3)),8,1)),10)),10),10)+1,1)),"OK","REVISAR")),"REVISAR")))</f>
        <v/>
      </c>
      <c r="Q3">
        <f>IF(B3="","",IF(COUNTIFS($B$2:$B$501,B3,$D$2:$D$501,D3)&gt;1,"DUPLICADA",""))</f>
        <v/>
      </c>
      <c r="R3">
        <f>IF(A3="","",ROUNDUP(MONTH(A3)/3,0))</f>
        <v/>
      </c>
      <c r="S3" s="3" t="inlineStr">
        <is>
          <t>623</t>
        </is>
      </c>
    </row>
    <row r="4">
      <c r="A4" s="2" t="n">
        <v>46293</v>
      </c>
      <c r="B4" s="3" t="inlineStr">
        <is>
          <t>F-77</t>
        </is>
      </c>
      <c r="C4" s="3" t="inlineStr">
        <is>
          <t>Restaurante Ejemplo</t>
        </is>
      </c>
      <c r="D4" s="3" t="inlineStr">
        <is>
          <t>B12345675</t>
        </is>
      </c>
      <c r="E4" s="4" t="n"/>
      <c r="F4" s="4" t="n">
        <v>54.55</v>
      </c>
      <c r="G4" s="4" t="n"/>
      <c r="H4" s="4" t="n"/>
      <c r="I4" s="5">
        <f>IF(E4="","",ROUND(E4*0.21,2))</f>
        <v/>
      </c>
      <c r="J4" s="5">
        <f>IF(F4="","",ROUND(F4*0.1,2))</f>
        <v/>
      </c>
      <c r="K4" s="5">
        <f>IF(G4="","",ROUND(G4*0.04,2))</f>
        <v/>
      </c>
      <c r="L4" s="4" t="n"/>
      <c r="M4" s="4" t="n">
        <v>60.01</v>
      </c>
      <c r="N4" s="5">
        <f>IF(A4="","",SUM(E4:K4)-N(L4))</f>
        <v/>
      </c>
      <c r="O4">
        <f>IF(OR(A4="",M4=""),"",IF(ABS(M4-N4)&lt;=0.02,"OK","REVISAR"))</f>
        <v/>
      </c>
      <c r="P4">
        <f>IF(D4="","",IF(LEN(TRIM(D4))&lt;&gt;9,"REVISAR",IFERROR(IF(OR(ISNUMBER(VALUE(LEFT(UPPER(TRIM(D4)),1))),LEFT(UPPER(TRIM(D4)),1)="X",LEFT(UPPER(TRIM(D4)),1)="Y",LEFT(UPPER(TRIM(D4)),1)="Z"),IF(MID("TRWAGMYFPDXBNJZSQVHLCKE",MOD(VALUE(SUBSTITUTE(SUBSTITUTE(SUBSTITUTE(LEFT(UPPER(TRIM(D4)),8),"X","0"),"Y","1"),"Z","2")),23)+1,1)=RIGHT(UPPER(TRIM(D4)),1),"OK","REVISAR"),IF(OR(RIGHT(UPPER(TRIM(D4)),1)=TEXT(MOD(10-MOD((VALUE(MID(UPPER(TRIM(D4)),3,1))+VALUE(MID(UPPER(TRIM(D4)),5,1))+VALUE(MID(UPPER(TRIM(D4)),7,1)))+(INT(2*VALUE(MID(UPPER(TRIM(D4)),2,1))/10)+MOD(2*VALUE(MID(UPPER(TRIM(D4)),2,1)),10))+(INT(2*VALUE(MID(UPPER(TRIM(D4)),4,1))/10)+MOD(2*VALUE(MID(UPPER(TRIM(D4)),4,1)),10))+(INT(2*VALUE(MID(UPPER(TRIM(D4)),6,1))/10)+MOD(2*VALUE(MID(UPPER(TRIM(D4)),6,1)),10))+(INT(2*VALUE(MID(UPPER(TRIM(D4)),8,1))/10)+MOD(2*VALUE(MID(UPPER(TRIM(D4)),8,1)),10)),10),10),"0"),RIGHT(UPPER(TRIM(D4)),1)=MID("JABCDEFGHI",MOD(10-MOD((VALUE(MID(UPPER(TRIM(D4)),3,1))+VALUE(MID(UPPER(TRIM(D4)),5,1))+VALUE(MID(UPPER(TRIM(D4)),7,1)))+(INT(2*VALUE(MID(UPPER(TRIM(D4)),2,1))/10)+MOD(2*VALUE(MID(UPPER(TRIM(D4)),2,1)),10))+(INT(2*VALUE(MID(UPPER(TRIM(D4)),4,1))/10)+MOD(2*VALUE(MID(UPPER(TRIM(D4)),4,1)),10))+(INT(2*VALUE(MID(UPPER(TRIM(D4)),6,1))/10)+MOD(2*VALUE(MID(UPPER(TRIM(D4)),6,1)),10))+(INT(2*VALUE(MID(UPPER(TRIM(D4)),8,1))/10)+MOD(2*VALUE(MID(UPPER(TRIM(D4)),8,1)),10)),10),10)+1,1)),"OK","REVISAR")),"REVISAR")))</f>
        <v/>
      </c>
      <c r="Q4">
        <f>IF(B4="","",IF(COUNTIFS($B$2:$B$501,B4,$D$2:$D$501,D4)&gt;1,"DUPLICADA",""))</f>
        <v/>
      </c>
      <c r="R4">
        <f>IF(A4="","",ROUNDUP(MONTH(A4)/3,0))</f>
        <v/>
      </c>
      <c r="S4" s="3" t="inlineStr">
        <is>
          <t>629</t>
        </is>
      </c>
    </row>
    <row r="5">
      <c r="A5" s="2" t="n"/>
      <c r="B5" s="3" t="n"/>
      <c r="C5" s="3" t="n"/>
      <c r="D5" s="3" t="n"/>
      <c r="E5" s="4" t="n"/>
      <c r="F5" s="4" t="n"/>
      <c r="G5" s="4" t="n"/>
      <c r="H5" s="4" t="n"/>
      <c r="I5" s="5">
        <f>IF(E5="","",ROUND(E5*0.21,2))</f>
        <v/>
      </c>
      <c r="J5" s="5">
        <f>IF(F5="","",ROUND(F5*0.1,2))</f>
        <v/>
      </c>
      <c r="K5" s="5">
        <f>IF(G5="","",ROUND(G5*0.04,2))</f>
        <v/>
      </c>
      <c r="L5" s="4" t="n"/>
      <c r="M5" s="4" t="n"/>
      <c r="N5" s="5">
        <f>IF(A5="","",SUM(E5:K5)-N(L5))</f>
        <v/>
      </c>
      <c r="O5">
        <f>IF(OR(A5="",M5=""),"",IF(ABS(M5-N5)&lt;=0.02,"OK","REVISAR"))</f>
        <v/>
      </c>
      <c r="P5">
        <f>IF(D5="","",IF(LEN(TRIM(D5))&lt;&gt;9,"REVISAR",IFERROR(IF(OR(ISNUMBER(VALUE(LEFT(UPPER(TRIM(D5)),1))),LEFT(UPPER(TRIM(D5)),1)="X",LEFT(UPPER(TRIM(D5)),1)="Y",LEFT(UPPER(TRIM(D5)),1)="Z"),IF(MID("TRWAGMYFPDXBNJZSQVHLCKE",MOD(VALUE(SUBSTITUTE(SUBSTITUTE(SUBSTITUTE(LEFT(UPPER(TRIM(D5)),8),"X","0"),"Y","1"),"Z","2")),23)+1,1)=RIGHT(UPPER(TRIM(D5)),1),"OK","REVISAR"),IF(OR(RIGHT(UPPER(TRIM(D5)),1)=TEXT(MOD(10-MOD((VALUE(MID(UPPER(TRIM(D5)),3,1))+VALUE(MID(UPPER(TRIM(D5)),5,1))+VALUE(MID(UPPER(TRIM(D5)),7,1)))+(INT(2*VALUE(MID(UPPER(TRIM(D5)),2,1))/10)+MOD(2*VALUE(MID(UPPER(TRIM(D5)),2,1)),10))+(INT(2*VALUE(MID(UPPER(TRIM(D5)),4,1))/10)+MOD(2*VALUE(MID(UPPER(TRIM(D5)),4,1)),10))+(INT(2*VALUE(MID(UPPER(TRIM(D5)),6,1))/10)+MOD(2*VALUE(MID(UPPER(TRIM(D5)),6,1)),10))+(INT(2*VALUE(MID(UPPER(TRIM(D5)),8,1))/10)+MOD(2*VALUE(MID(UPPER(TRIM(D5)),8,1)),10)),10),10),"0"),RIGHT(UPPER(TRIM(D5)),1)=MID("JABCDEFGHI",MOD(10-MOD((VALUE(MID(UPPER(TRIM(D5)),3,1))+VALUE(MID(UPPER(TRIM(D5)),5,1))+VALUE(MID(UPPER(TRIM(D5)),7,1)))+(INT(2*VALUE(MID(UPPER(TRIM(D5)),2,1))/10)+MOD(2*VALUE(MID(UPPER(TRIM(D5)),2,1)),10))+(INT(2*VALUE(MID(UPPER(TRIM(D5)),4,1))/10)+MOD(2*VALUE(MID(UPPER(TRIM(D5)),4,1)),10))+(INT(2*VALUE(MID(UPPER(TRIM(D5)),6,1))/10)+MOD(2*VALUE(MID(UPPER(TRIM(D5)),6,1)),10))+(INT(2*VALUE(MID(UPPER(TRIM(D5)),8,1))/10)+MOD(2*VALUE(MID(UPPER(TRIM(D5)),8,1)),10)),10),10)+1,1)),"OK","REVISAR")),"REVISAR")))</f>
        <v/>
      </c>
      <c r="Q5">
        <f>IF(B5="","",IF(COUNTIFS($B$2:$B$501,B5,$D$2:$D$501,D5)&gt;1,"DUPLICADA",""))</f>
        <v/>
      </c>
      <c r="R5">
        <f>IF(A5="","",ROUNDUP(MONTH(A5)/3,0))</f>
        <v/>
      </c>
      <c r="S5" s="3" t="n"/>
    </row>
    <row r="6">
      <c r="A6" s="2" t="n"/>
      <c r="B6" s="3" t="n"/>
      <c r="C6" s="3" t="n"/>
      <c r="D6" s="3" t="n"/>
      <c r="E6" s="4" t="n"/>
      <c r="F6" s="4" t="n"/>
      <c r="G6" s="4" t="n"/>
      <c r="H6" s="4" t="n"/>
      <c r="I6" s="5">
        <f>IF(E6="","",ROUND(E6*0.21,2))</f>
        <v/>
      </c>
      <c r="J6" s="5">
        <f>IF(F6="","",ROUND(F6*0.1,2))</f>
        <v/>
      </c>
      <c r="K6" s="5">
        <f>IF(G6="","",ROUND(G6*0.04,2))</f>
        <v/>
      </c>
      <c r="L6" s="4" t="n"/>
      <c r="M6" s="4" t="n"/>
      <c r="N6" s="5">
        <f>IF(A6="","",SUM(E6:K6)-N(L6))</f>
        <v/>
      </c>
      <c r="O6">
        <f>IF(OR(A6="",M6=""),"",IF(ABS(M6-N6)&lt;=0.02,"OK","REVISAR"))</f>
        <v/>
      </c>
      <c r="P6">
        <f>IF(D6="","",IF(LEN(TRIM(D6))&lt;&gt;9,"REVISAR",IFERROR(IF(OR(ISNUMBER(VALUE(LEFT(UPPER(TRIM(D6)),1))),LEFT(UPPER(TRIM(D6)),1)="X",LEFT(UPPER(TRIM(D6)),1)="Y",LEFT(UPPER(TRIM(D6)),1)="Z"),IF(MID("TRWAGMYFPDXBNJZSQVHLCKE",MOD(VALUE(SUBSTITUTE(SUBSTITUTE(SUBSTITUTE(LEFT(UPPER(TRIM(D6)),8),"X","0"),"Y","1"),"Z","2")),23)+1,1)=RIGHT(UPPER(TRIM(D6)),1),"OK","REVISAR"),IF(OR(RIGHT(UPPER(TRIM(D6)),1)=TEXT(MOD(10-MOD((VALUE(MID(UPPER(TRIM(D6)),3,1))+VALUE(MID(UPPER(TRIM(D6)),5,1))+VALUE(MID(UPPER(TRIM(D6)),7,1)))+(INT(2*VALUE(MID(UPPER(TRIM(D6)),2,1))/10)+MOD(2*VALUE(MID(UPPER(TRIM(D6)),2,1)),10))+(INT(2*VALUE(MID(UPPER(TRIM(D6)),4,1))/10)+MOD(2*VALUE(MID(UPPER(TRIM(D6)),4,1)),10))+(INT(2*VALUE(MID(UPPER(TRIM(D6)),6,1))/10)+MOD(2*VALUE(MID(UPPER(TRIM(D6)),6,1)),10))+(INT(2*VALUE(MID(UPPER(TRIM(D6)),8,1))/10)+MOD(2*VALUE(MID(UPPER(TRIM(D6)),8,1)),10)),10),10),"0"),RIGHT(UPPER(TRIM(D6)),1)=MID("JABCDEFGHI",MOD(10-MOD((VALUE(MID(UPPER(TRIM(D6)),3,1))+VALUE(MID(UPPER(TRIM(D6)),5,1))+VALUE(MID(UPPER(TRIM(D6)),7,1)))+(INT(2*VALUE(MID(UPPER(TRIM(D6)),2,1))/10)+MOD(2*VALUE(MID(UPPER(TRIM(D6)),2,1)),10))+(INT(2*VALUE(MID(UPPER(TRIM(D6)),4,1))/10)+MOD(2*VALUE(MID(UPPER(TRIM(D6)),4,1)),10))+(INT(2*VALUE(MID(UPPER(TRIM(D6)),6,1))/10)+MOD(2*VALUE(MID(UPPER(TRIM(D6)),6,1)),10))+(INT(2*VALUE(MID(UPPER(TRIM(D6)),8,1))/10)+MOD(2*VALUE(MID(UPPER(TRIM(D6)),8,1)),10)),10),10)+1,1)),"OK","REVISAR")),"REVISAR")))</f>
        <v/>
      </c>
      <c r="Q6">
        <f>IF(B6="","",IF(COUNTIFS($B$2:$B$501,B6,$D$2:$D$501,D6)&gt;1,"DUPLICADA",""))</f>
        <v/>
      </c>
      <c r="R6">
        <f>IF(A6="","",ROUNDUP(MONTH(A6)/3,0))</f>
        <v/>
      </c>
      <c r="S6" s="3" t="n"/>
    </row>
    <row r="7">
      <c r="A7" s="2" t="n"/>
      <c r="B7" s="3" t="n"/>
      <c r="C7" s="3" t="n"/>
      <c r="D7" s="3" t="n"/>
      <c r="E7" s="4" t="n"/>
      <c r="F7" s="4" t="n"/>
      <c r="G7" s="4" t="n"/>
      <c r="H7" s="4" t="n"/>
      <c r="I7" s="5">
        <f>IF(E7="","",ROUND(E7*0.21,2))</f>
        <v/>
      </c>
      <c r="J7" s="5">
        <f>IF(F7="","",ROUND(F7*0.1,2))</f>
        <v/>
      </c>
      <c r="K7" s="5">
        <f>IF(G7="","",ROUND(G7*0.04,2))</f>
        <v/>
      </c>
      <c r="L7" s="4" t="n"/>
      <c r="M7" s="4" t="n"/>
      <c r="N7" s="5">
        <f>IF(A7="","",SUM(E7:K7)-N(L7))</f>
        <v/>
      </c>
      <c r="O7">
        <f>IF(OR(A7="",M7=""),"",IF(ABS(M7-N7)&lt;=0.02,"OK","REVISAR"))</f>
        <v/>
      </c>
      <c r="P7">
        <f>IF(D7="","",IF(LEN(TRIM(D7))&lt;&gt;9,"REVISAR",IFERROR(IF(OR(ISNUMBER(VALUE(LEFT(UPPER(TRIM(D7)),1))),LEFT(UPPER(TRIM(D7)),1)="X",LEFT(UPPER(TRIM(D7)),1)="Y",LEFT(UPPER(TRIM(D7)),1)="Z"),IF(MID("TRWAGMYFPDXBNJZSQVHLCKE",MOD(VALUE(SUBSTITUTE(SUBSTITUTE(SUBSTITUTE(LEFT(UPPER(TRIM(D7)),8),"X","0"),"Y","1"),"Z","2")),23)+1,1)=RIGHT(UPPER(TRIM(D7)),1),"OK","REVISAR"),IF(OR(RIGHT(UPPER(TRIM(D7)),1)=TEXT(MOD(10-MOD((VALUE(MID(UPPER(TRIM(D7)),3,1))+VALUE(MID(UPPER(TRIM(D7)),5,1))+VALUE(MID(UPPER(TRIM(D7)),7,1)))+(INT(2*VALUE(MID(UPPER(TRIM(D7)),2,1))/10)+MOD(2*VALUE(MID(UPPER(TRIM(D7)),2,1)),10))+(INT(2*VALUE(MID(UPPER(TRIM(D7)),4,1))/10)+MOD(2*VALUE(MID(UPPER(TRIM(D7)),4,1)),10))+(INT(2*VALUE(MID(UPPER(TRIM(D7)),6,1))/10)+MOD(2*VALUE(MID(UPPER(TRIM(D7)),6,1)),10))+(INT(2*VALUE(MID(UPPER(TRIM(D7)),8,1))/10)+MOD(2*VALUE(MID(UPPER(TRIM(D7)),8,1)),10)),10),10),"0"),RIGHT(UPPER(TRIM(D7)),1)=MID("JABCDEFGHI",MOD(10-MOD((VALUE(MID(UPPER(TRIM(D7)),3,1))+VALUE(MID(UPPER(TRIM(D7)),5,1))+VALUE(MID(UPPER(TRIM(D7)),7,1)))+(INT(2*VALUE(MID(UPPER(TRIM(D7)),2,1))/10)+MOD(2*VALUE(MID(UPPER(TRIM(D7)),2,1)),10))+(INT(2*VALUE(MID(UPPER(TRIM(D7)),4,1))/10)+MOD(2*VALUE(MID(UPPER(TRIM(D7)),4,1)),10))+(INT(2*VALUE(MID(UPPER(TRIM(D7)),6,1))/10)+MOD(2*VALUE(MID(UPPER(TRIM(D7)),6,1)),10))+(INT(2*VALUE(MID(UPPER(TRIM(D7)),8,1))/10)+MOD(2*VALUE(MID(UPPER(TRIM(D7)),8,1)),10)),10),10)+1,1)),"OK","REVISAR")),"REVISAR")))</f>
        <v/>
      </c>
      <c r="Q7">
        <f>IF(B7="","",IF(COUNTIFS($B$2:$B$501,B7,$D$2:$D$501,D7)&gt;1,"DUPLICADA",""))</f>
        <v/>
      </c>
      <c r="R7">
        <f>IF(A7="","",ROUNDUP(MONTH(A7)/3,0))</f>
        <v/>
      </c>
      <c r="S7" s="3" t="n"/>
    </row>
    <row r="8">
      <c r="A8" s="2" t="n"/>
      <c r="B8" s="3" t="n"/>
      <c r="C8" s="3" t="n"/>
      <c r="D8" s="3" t="n"/>
      <c r="E8" s="4" t="n"/>
      <c r="F8" s="4" t="n"/>
      <c r="G8" s="4" t="n"/>
      <c r="H8" s="4" t="n"/>
      <c r="I8" s="5">
        <f>IF(E8="","",ROUND(E8*0.21,2))</f>
        <v/>
      </c>
      <c r="J8" s="5">
        <f>IF(F8="","",ROUND(F8*0.1,2))</f>
        <v/>
      </c>
      <c r="K8" s="5">
        <f>IF(G8="","",ROUND(G8*0.04,2))</f>
        <v/>
      </c>
      <c r="L8" s="4" t="n"/>
      <c r="M8" s="4" t="n"/>
      <c r="N8" s="5">
        <f>IF(A8="","",SUM(E8:K8)-N(L8))</f>
        <v/>
      </c>
      <c r="O8">
        <f>IF(OR(A8="",M8=""),"",IF(ABS(M8-N8)&lt;=0.02,"OK","REVISAR"))</f>
        <v/>
      </c>
      <c r="P8">
        <f>IF(D8="","",IF(LEN(TRIM(D8))&lt;&gt;9,"REVISAR",IFERROR(IF(OR(ISNUMBER(VALUE(LEFT(UPPER(TRIM(D8)),1))),LEFT(UPPER(TRIM(D8)),1)="X",LEFT(UPPER(TRIM(D8)),1)="Y",LEFT(UPPER(TRIM(D8)),1)="Z"),IF(MID("TRWAGMYFPDXBNJZSQVHLCKE",MOD(VALUE(SUBSTITUTE(SUBSTITUTE(SUBSTITUTE(LEFT(UPPER(TRIM(D8)),8),"X","0"),"Y","1"),"Z","2")),23)+1,1)=RIGHT(UPPER(TRIM(D8)),1),"OK","REVISAR"),IF(OR(RIGHT(UPPER(TRIM(D8)),1)=TEXT(MOD(10-MOD((VALUE(MID(UPPER(TRIM(D8)),3,1))+VALUE(MID(UPPER(TRIM(D8)),5,1))+VALUE(MID(UPPER(TRIM(D8)),7,1)))+(INT(2*VALUE(MID(UPPER(TRIM(D8)),2,1))/10)+MOD(2*VALUE(MID(UPPER(TRIM(D8)),2,1)),10))+(INT(2*VALUE(MID(UPPER(TRIM(D8)),4,1))/10)+MOD(2*VALUE(MID(UPPER(TRIM(D8)),4,1)),10))+(INT(2*VALUE(MID(UPPER(TRIM(D8)),6,1))/10)+MOD(2*VALUE(MID(UPPER(TRIM(D8)),6,1)),10))+(INT(2*VALUE(MID(UPPER(TRIM(D8)),8,1))/10)+MOD(2*VALUE(MID(UPPER(TRIM(D8)),8,1)),10)),10),10),"0"),RIGHT(UPPER(TRIM(D8)),1)=MID("JABCDEFGHI",MOD(10-MOD((VALUE(MID(UPPER(TRIM(D8)),3,1))+VALUE(MID(UPPER(TRIM(D8)),5,1))+VALUE(MID(UPPER(TRIM(D8)),7,1)))+(INT(2*VALUE(MID(UPPER(TRIM(D8)),2,1))/10)+MOD(2*VALUE(MID(UPPER(TRIM(D8)),2,1)),10))+(INT(2*VALUE(MID(UPPER(TRIM(D8)),4,1))/10)+MOD(2*VALUE(MID(UPPER(TRIM(D8)),4,1)),10))+(INT(2*VALUE(MID(UPPER(TRIM(D8)),6,1))/10)+MOD(2*VALUE(MID(UPPER(TRIM(D8)),6,1)),10))+(INT(2*VALUE(MID(UPPER(TRIM(D8)),8,1))/10)+MOD(2*VALUE(MID(UPPER(TRIM(D8)),8,1)),10)),10),10)+1,1)),"OK","REVISAR")),"REVISAR")))</f>
        <v/>
      </c>
      <c r="Q8">
        <f>IF(B8="","",IF(COUNTIFS($B$2:$B$501,B8,$D$2:$D$501,D8)&gt;1,"DUPLICADA",""))</f>
        <v/>
      </c>
      <c r="R8">
        <f>IF(A8="","",ROUNDUP(MONTH(A8)/3,0))</f>
        <v/>
      </c>
      <c r="S8" s="3" t="n"/>
    </row>
    <row r="9">
      <c r="A9" s="2" t="n"/>
      <c r="B9" s="3" t="n"/>
      <c r="C9" s="3" t="n"/>
      <c r="D9" s="3" t="n"/>
      <c r="E9" s="4" t="n"/>
      <c r="F9" s="4" t="n"/>
      <c r="G9" s="4" t="n"/>
      <c r="H9" s="4" t="n"/>
      <c r="I9" s="5">
        <f>IF(E9="","",ROUND(E9*0.21,2))</f>
        <v/>
      </c>
      <c r="J9" s="5">
        <f>IF(F9="","",ROUND(F9*0.1,2))</f>
        <v/>
      </c>
      <c r="K9" s="5">
        <f>IF(G9="","",ROUND(G9*0.04,2))</f>
        <v/>
      </c>
      <c r="L9" s="4" t="n"/>
      <c r="M9" s="4" t="n"/>
      <c r="N9" s="5">
        <f>IF(A9="","",SUM(E9:K9)-N(L9))</f>
        <v/>
      </c>
      <c r="O9">
        <f>IF(OR(A9="",M9=""),"",IF(ABS(M9-N9)&lt;=0.02,"OK","REVISAR"))</f>
        <v/>
      </c>
      <c r="P9">
        <f>IF(D9="","",IF(LEN(TRIM(D9))&lt;&gt;9,"REVISAR",IFERROR(IF(OR(ISNUMBER(VALUE(LEFT(UPPER(TRIM(D9)),1))),LEFT(UPPER(TRIM(D9)),1)="X",LEFT(UPPER(TRIM(D9)),1)="Y",LEFT(UPPER(TRIM(D9)),1)="Z"),IF(MID("TRWAGMYFPDXBNJZSQVHLCKE",MOD(VALUE(SUBSTITUTE(SUBSTITUTE(SUBSTITUTE(LEFT(UPPER(TRIM(D9)),8),"X","0"),"Y","1"),"Z","2")),23)+1,1)=RIGHT(UPPER(TRIM(D9)),1),"OK","REVISAR"),IF(OR(RIGHT(UPPER(TRIM(D9)),1)=TEXT(MOD(10-MOD((VALUE(MID(UPPER(TRIM(D9)),3,1))+VALUE(MID(UPPER(TRIM(D9)),5,1))+VALUE(MID(UPPER(TRIM(D9)),7,1)))+(INT(2*VALUE(MID(UPPER(TRIM(D9)),2,1))/10)+MOD(2*VALUE(MID(UPPER(TRIM(D9)),2,1)),10))+(INT(2*VALUE(MID(UPPER(TRIM(D9)),4,1))/10)+MOD(2*VALUE(MID(UPPER(TRIM(D9)),4,1)),10))+(INT(2*VALUE(MID(UPPER(TRIM(D9)),6,1))/10)+MOD(2*VALUE(MID(UPPER(TRIM(D9)),6,1)),10))+(INT(2*VALUE(MID(UPPER(TRIM(D9)),8,1))/10)+MOD(2*VALUE(MID(UPPER(TRIM(D9)),8,1)),10)),10),10),"0"),RIGHT(UPPER(TRIM(D9)),1)=MID("JABCDEFGHI",MOD(10-MOD((VALUE(MID(UPPER(TRIM(D9)),3,1))+VALUE(MID(UPPER(TRIM(D9)),5,1))+VALUE(MID(UPPER(TRIM(D9)),7,1)))+(INT(2*VALUE(MID(UPPER(TRIM(D9)),2,1))/10)+MOD(2*VALUE(MID(UPPER(TRIM(D9)),2,1)),10))+(INT(2*VALUE(MID(UPPER(TRIM(D9)),4,1))/10)+MOD(2*VALUE(MID(UPPER(TRIM(D9)),4,1)),10))+(INT(2*VALUE(MID(UPPER(TRIM(D9)),6,1))/10)+MOD(2*VALUE(MID(UPPER(TRIM(D9)),6,1)),10))+(INT(2*VALUE(MID(UPPER(TRIM(D9)),8,1))/10)+MOD(2*VALUE(MID(UPPER(TRIM(D9)),8,1)),10)),10),10)+1,1)),"OK","REVISAR")),"REVISAR")))</f>
        <v/>
      </c>
      <c r="Q9">
        <f>IF(B9="","",IF(COUNTIFS($B$2:$B$501,B9,$D$2:$D$501,D9)&gt;1,"DUPLICADA",""))</f>
        <v/>
      </c>
      <c r="R9">
        <f>IF(A9="","",ROUNDUP(MONTH(A9)/3,0))</f>
        <v/>
      </c>
      <c r="S9" s="3" t="n"/>
    </row>
    <row r="10">
      <c r="A10" s="2" t="n"/>
      <c r="B10" s="3" t="n"/>
      <c r="C10" s="3" t="n"/>
      <c r="D10" s="3" t="n"/>
      <c r="E10" s="4" t="n"/>
      <c r="F10" s="4" t="n"/>
      <c r="G10" s="4" t="n"/>
      <c r="H10" s="4" t="n"/>
      <c r="I10" s="5">
        <f>IF(E10="","",ROUND(E10*0.21,2))</f>
        <v/>
      </c>
      <c r="J10" s="5">
        <f>IF(F10="","",ROUND(F10*0.1,2))</f>
        <v/>
      </c>
      <c r="K10" s="5">
        <f>IF(G10="","",ROUND(G10*0.04,2))</f>
        <v/>
      </c>
      <c r="L10" s="4" t="n"/>
      <c r="M10" s="4" t="n"/>
      <c r="N10" s="5">
        <f>IF(A10="","",SUM(E10:K10)-N(L10))</f>
        <v/>
      </c>
      <c r="O10">
        <f>IF(OR(A10="",M10=""),"",IF(ABS(M10-N10)&lt;=0.02,"OK","REVISAR"))</f>
        <v/>
      </c>
      <c r="P10">
        <f>IF(D10="","",IF(LEN(TRIM(D10))&lt;&gt;9,"REVISAR",IFERROR(IF(OR(ISNUMBER(VALUE(LEFT(UPPER(TRIM(D10)),1))),LEFT(UPPER(TRIM(D10)),1)="X",LEFT(UPPER(TRIM(D10)),1)="Y",LEFT(UPPER(TRIM(D10)),1)="Z"),IF(MID("TRWAGMYFPDXBNJZSQVHLCKE",MOD(VALUE(SUBSTITUTE(SUBSTITUTE(SUBSTITUTE(LEFT(UPPER(TRIM(D10)),8),"X","0"),"Y","1"),"Z","2")),23)+1,1)=RIGHT(UPPER(TRIM(D10)),1),"OK","REVISAR"),IF(OR(RIGHT(UPPER(TRIM(D10)),1)=TEXT(MOD(10-MOD((VALUE(MID(UPPER(TRIM(D10)),3,1))+VALUE(MID(UPPER(TRIM(D10)),5,1))+VALUE(MID(UPPER(TRIM(D10)),7,1)))+(INT(2*VALUE(MID(UPPER(TRIM(D10)),2,1))/10)+MOD(2*VALUE(MID(UPPER(TRIM(D10)),2,1)),10))+(INT(2*VALUE(MID(UPPER(TRIM(D10)),4,1))/10)+MOD(2*VALUE(MID(UPPER(TRIM(D10)),4,1)),10))+(INT(2*VALUE(MID(UPPER(TRIM(D10)),6,1))/10)+MOD(2*VALUE(MID(UPPER(TRIM(D10)),6,1)),10))+(INT(2*VALUE(MID(UPPER(TRIM(D10)),8,1))/10)+MOD(2*VALUE(MID(UPPER(TRIM(D10)),8,1)),10)),10),10),"0"),RIGHT(UPPER(TRIM(D10)),1)=MID("JABCDEFGHI",MOD(10-MOD((VALUE(MID(UPPER(TRIM(D10)),3,1))+VALUE(MID(UPPER(TRIM(D10)),5,1))+VALUE(MID(UPPER(TRIM(D10)),7,1)))+(INT(2*VALUE(MID(UPPER(TRIM(D10)),2,1))/10)+MOD(2*VALUE(MID(UPPER(TRIM(D10)),2,1)),10))+(INT(2*VALUE(MID(UPPER(TRIM(D10)),4,1))/10)+MOD(2*VALUE(MID(UPPER(TRIM(D10)),4,1)),10))+(INT(2*VALUE(MID(UPPER(TRIM(D10)),6,1))/10)+MOD(2*VALUE(MID(UPPER(TRIM(D10)),6,1)),10))+(INT(2*VALUE(MID(UPPER(TRIM(D10)),8,1))/10)+MOD(2*VALUE(MID(UPPER(TRIM(D10)),8,1)),10)),10),10)+1,1)),"OK","REVISAR")),"REVISAR")))</f>
        <v/>
      </c>
      <c r="Q10">
        <f>IF(B10="","",IF(COUNTIFS($B$2:$B$501,B10,$D$2:$D$501,D10)&gt;1,"DUPLICADA",""))</f>
        <v/>
      </c>
      <c r="R10">
        <f>IF(A10="","",ROUNDUP(MONTH(A10)/3,0))</f>
        <v/>
      </c>
      <c r="S10" s="3" t="n"/>
    </row>
    <row r="11">
      <c r="A11" s="2" t="n"/>
      <c r="B11" s="3" t="n"/>
      <c r="C11" s="3" t="n"/>
      <c r="D11" s="3" t="n"/>
      <c r="E11" s="4" t="n"/>
      <c r="F11" s="4" t="n"/>
      <c r="G11" s="4" t="n"/>
      <c r="H11" s="4" t="n"/>
      <c r="I11" s="5">
        <f>IF(E11="","",ROUND(E11*0.21,2))</f>
        <v/>
      </c>
      <c r="J11" s="5">
        <f>IF(F11="","",ROUND(F11*0.1,2))</f>
        <v/>
      </c>
      <c r="K11" s="5">
        <f>IF(G11="","",ROUND(G11*0.04,2))</f>
        <v/>
      </c>
      <c r="L11" s="4" t="n"/>
      <c r="M11" s="4" t="n"/>
      <c r="N11" s="5">
        <f>IF(A11="","",SUM(E11:K11)-N(L11))</f>
        <v/>
      </c>
      <c r="O11">
        <f>IF(OR(A11="",M11=""),"",IF(ABS(M11-N11)&lt;=0.02,"OK","REVISAR"))</f>
        <v/>
      </c>
      <c r="P11">
        <f>IF(D11="","",IF(LEN(TRIM(D11))&lt;&gt;9,"REVISAR",IFERROR(IF(OR(ISNUMBER(VALUE(LEFT(UPPER(TRIM(D11)),1))),LEFT(UPPER(TRIM(D11)),1)="X",LEFT(UPPER(TRIM(D11)),1)="Y",LEFT(UPPER(TRIM(D11)),1)="Z"),IF(MID("TRWAGMYFPDXBNJZSQVHLCKE",MOD(VALUE(SUBSTITUTE(SUBSTITUTE(SUBSTITUTE(LEFT(UPPER(TRIM(D11)),8),"X","0"),"Y","1"),"Z","2")),23)+1,1)=RIGHT(UPPER(TRIM(D11)),1),"OK","REVISAR"),IF(OR(RIGHT(UPPER(TRIM(D11)),1)=TEXT(MOD(10-MOD((VALUE(MID(UPPER(TRIM(D11)),3,1))+VALUE(MID(UPPER(TRIM(D11)),5,1))+VALUE(MID(UPPER(TRIM(D11)),7,1)))+(INT(2*VALUE(MID(UPPER(TRIM(D11)),2,1))/10)+MOD(2*VALUE(MID(UPPER(TRIM(D11)),2,1)),10))+(INT(2*VALUE(MID(UPPER(TRIM(D11)),4,1))/10)+MOD(2*VALUE(MID(UPPER(TRIM(D11)),4,1)),10))+(INT(2*VALUE(MID(UPPER(TRIM(D11)),6,1))/10)+MOD(2*VALUE(MID(UPPER(TRIM(D11)),6,1)),10))+(INT(2*VALUE(MID(UPPER(TRIM(D11)),8,1))/10)+MOD(2*VALUE(MID(UPPER(TRIM(D11)),8,1)),10)),10),10),"0"),RIGHT(UPPER(TRIM(D11)),1)=MID("JABCDEFGHI",MOD(10-MOD((VALUE(MID(UPPER(TRIM(D11)),3,1))+VALUE(MID(UPPER(TRIM(D11)),5,1))+VALUE(MID(UPPER(TRIM(D11)),7,1)))+(INT(2*VALUE(MID(UPPER(TRIM(D11)),2,1))/10)+MOD(2*VALUE(MID(UPPER(TRIM(D11)),2,1)),10))+(INT(2*VALUE(MID(UPPER(TRIM(D11)),4,1))/10)+MOD(2*VALUE(MID(UPPER(TRIM(D11)),4,1)),10))+(INT(2*VALUE(MID(UPPER(TRIM(D11)),6,1))/10)+MOD(2*VALUE(MID(UPPER(TRIM(D11)),6,1)),10))+(INT(2*VALUE(MID(UPPER(TRIM(D11)),8,1))/10)+MOD(2*VALUE(MID(UPPER(TRIM(D11)),8,1)),10)),10),10)+1,1)),"OK","REVISAR")),"REVISAR")))</f>
        <v/>
      </c>
      <c r="Q11">
        <f>IF(B11="","",IF(COUNTIFS($B$2:$B$501,B11,$D$2:$D$501,D11)&gt;1,"DUPLICADA",""))</f>
        <v/>
      </c>
      <c r="R11">
        <f>IF(A11="","",ROUNDUP(MONTH(A11)/3,0))</f>
        <v/>
      </c>
      <c r="S11" s="3" t="n"/>
    </row>
    <row r="12">
      <c r="A12" s="2" t="n"/>
      <c r="B12" s="3" t="n"/>
      <c r="C12" s="3" t="n"/>
      <c r="D12" s="3" t="n"/>
      <c r="E12" s="4" t="n"/>
      <c r="F12" s="4" t="n"/>
      <c r="G12" s="4" t="n"/>
      <c r="H12" s="4" t="n"/>
      <c r="I12" s="5">
        <f>IF(E12="","",ROUND(E12*0.21,2))</f>
        <v/>
      </c>
      <c r="J12" s="5">
        <f>IF(F12="","",ROUND(F12*0.1,2))</f>
        <v/>
      </c>
      <c r="K12" s="5">
        <f>IF(G12="","",ROUND(G12*0.04,2))</f>
        <v/>
      </c>
      <c r="L12" s="4" t="n"/>
      <c r="M12" s="4" t="n"/>
      <c r="N12" s="5">
        <f>IF(A12="","",SUM(E12:K12)-N(L12))</f>
        <v/>
      </c>
      <c r="O12">
        <f>IF(OR(A12="",M12=""),"",IF(ABS(M12-N12)&lt;=0.02,"OK","REVISAR"))</f>
        <v/>
      </c>
      <c r="P12">
        <f>IF(D12="","",IF(LEN(TRIM(D12))&lt;&gt;9,"REVISAR",IFERROR(IF(OR(ISNUMBER(VALUE(LEFT(UPPER(TRIM(D12)),1))),LEFT(UPPER(TRIM(D12)),1)="X",LEFT(UPPER(TRIM(D12)),1)="Y",LEFT(UPPER(TRIM(D12)),1)="Z"),IF(MID("TRWAGMYFPDXBNJZSQVHLCKE",MOD(VALUE(SUBSTITUTE(SUBSTITUTE(SUBSTITUTE(LEFT(UPPER(TRIM(D12)),8),"X","0"),"Y","1"),"Z","2")),23)+1,1)=RIGHT(UPPER(TRIM(D12)),1),"OK","REVISAR"),IF(OR(RIGHT(UPPER(TRIM(D12)),1)=TEXT(MOD(10-MOD((VALUE(MID(UPPER(TRIM(D12)),3,1))+VALUE(MID(UPPER(TRIM(D12)),5,1))+VALUE(MID(UPPER(TRIM(D12)),7,1)))+(INT(2*VALUE(MID(UPPER(TRIM(D12)),2,1))/10)+MOD(2*VALUE(MID(UPPER(TRIM(D12)),2,1)),10))+(INT(2*VALUE(MID(UPPER(TRIM(D12)),4,1))/10)+MOD(2*VALUE(MID(UPPER(TRIM(D12)),4,1)),10))+(INT(2*VALUE(MID(UPPER(TRIM(D12)),6,1))/10)+MOD(2*VALUE(MID(UPPER(TRIM(D12)),6,1)),10))+(INT(2*VALUE(MID(UPPER(TRIM(D12)),8,1))/10)+MOD(2*VALUE(MID(UPPER(TRIM(D12)),8,1)),10)),10),10),"0"),RIGHT(UPPER(TRIM(D12)),1)=MID("JABCDEFGHI",MOD(10-MOD((VALUE(MID(UPPER(TRIM(D12)),3,1))+VALUE(MID(UPPER(TRIM(D12)),5,1))+VALUE(MID(UPPER(TRIM(D12)),7,1)))+(INT(2*VALUE(MID(UPPER(TRIM(D12)),2,1))/10)+MOD(2*VALUE(MID(UPPER(TRIM(D12)),2,1)),10))+(INT(2*VALUE(MID(UPPER(TRIM(D12)),4,1))/10)+MOD(2*VALUE(MID(UPPER(TRIM(D12)),4,1)),10))+(INT(2*VALUE(MID(UPPER(TRIM(D12)),6,1))/10)+MOD(2*VALUE(MID(UPPER(TRIM(D12)),6,1)),10))+(INT(2*VALUE(MID(UPPER(TRIM(D12)),8,1))/10)+MOD(2*VALUE(MID(UPPER(TRIM(D12)),8,1)),10)),10),10)+1,1)),"OK","REVISAR")),"REVISAR")))</f>
        <v/>
      </c>
      <c r="Q12">
        <f>IF(B12="","",IF(COUNTIFS($B$2:$B$501,B12,$D$2:$D$501,D12)&gt;1,"DUPLICADA",""))</f>
        <v/>
      </c>
      <c r="R12">
        <f>IF(A12="","",ROUNDUP(MONTH(A12)/3,0))</f>
        <v/>
      </c>
      <c r="S12" s="3" t="n"/>
    </row>
    <row r="13">
      <c r="A13" s="2" t="n"/>
      <c r="B13" s="3" t="n"/>
      <c r="C13" s="3" t="n"/>
      <c r="D13" s="3" t="n"/>
      <c r="E13" s="4" t="n"/>
      <c r="F13" s="4" t="n"/>
      <c r="G13" s="4" t="n"/>
      <c r="H13" s="4" t="n"/>
      <c r="I13" s="5">
        <f>IF(E13="","",ROUND(E13*0.21,2))</f>
        <v/>
      </c>
      <c r="J13" s="5">
        <f>IF(F13="","",ROUND(F13*0.1,2))</f>
        <v/>
      </c>
      <c r="K13" s="5">
        <f>IF(G13="","",ROUND(G13*0.04,2))</f>
        <v/>
      </c>
      <c r="L13" s="4" t="n"/>
      <c r="M13" s="4" t="n"/>
      <c r="N13" s="5">
        <f>IF(A13="","",SUM(E13:K13)-N(L13))</f>
        <v/>
      </c>
      <c r="O13">
        <f>IF(OR(A13="",M13=""),"",IF(ABS(M13-N13)&lt;=0.02,"OK","REVISAR"))</f>
        <v/>
      </c>
      <c r="P13">
        <f>IF(D13="","",IF(LEN(TRIM(D13))&lt;&gt;9,"REVISAR",IFERROR(IF(OR(ISNUMBER(VALUE(LEFT(UPPER(TRIM(D13)),1))),LEFT(UPPER(TRIM(D13)),1)="X",LEFT(UPPER(TRIM(D13)),1)="Y",LEFT(UPPER(TRIM(D13)),1)="Z"),IF(MID("TRWAGMYFPDXBNJZSQVHLCKE",MOD(VALUE(SUBSTITUTE(SUBSTITUTE(SUBSTITUTE(LEFT(UPPER(TRIM(D13)),8),"X","0"),"Y","1"),"Z","2")),23)+1,1)=RIGHT(UPPER(TRIM(D13)),1),"OK","REVISAR"),IF(OR(RIGHT(UPPER(TRIM(D13)),1)=TEXT(MOD(10-MOD((VALUE(MID(UPPER(TRIM(D13)),3,1))+VALUE(MID(UPPER(TRIM(D13)),5,1))+VALUE(MID(UPPER(TRIM(D13)),7,1)))+(INT(2*VALUE(MID(UPPER(TRIM(D13)),2,1))/10)+MOD(2*VALUE(MID(UPPER(TRIM(D13)),2,1)),10))+(INT(2*VALUE(MID(UPPER(TRIM(D13)),4,1))/10)+MOD(2*VALUE(MID(UPPER(TRIM(D13)),4,1)),10))+(INT(2*VALUE(MID(UPPER(TRIM(D13)),6,1))/10)+MOD(2*VALUE(MID(UPPER(TRIM(D13)),6,1)),10))+(INT(2*VALUE(MID(UPPER(TRIM(D13)),8,1))/10)+MOD(2*VALUE(MID(UPPER(TRIM(D13)),8,1)),10)),10),10),"0"),RIGHT(UPPER(TRIM(D13)),1)=MID("JABCDEFGHI",MOD(10-MOD((VALUE(MID(UPPER(TRIM(D13)),3,1))+VALUE(MID(UPPER(TRIM(D13)),5,1))+VALUE(MID(UPPER(TRIM(D13)),7,1)))+(INT(2*VALUE(MID(UPPER(TRIM(D13)),2,1))/10)+MOD(2*VALUE(MID(UPPER(TRIM(D13)),2,1)),10))+(INT(2*VALUE(MID(UPPER(TRIM(D13)),4,1))/10)+MOD(2*VALUE(MID(UPPER(TRIM(D13)),4,1)),10))+(INT(2*VALUE(MID(UPPER(TRIM(D13)),6,1))/10)+MOD(2*VALUE(MID(UPPER(TRIM(D13)),6,1)),10))+(INT(2*VALUE(MID(UPPER(TRIM(D13)),8,1))/10)+MOD(2*VALUE(MID(UPPER(TRIM(D13)),8,1)),10)),10),10)+1,1)),"OK","REVISAR")),"REVISAR")))</f>
        <v/>
      </c>
      <c r="Q13">
        <f>IF(B13="","",IF(COUNTIFS($B$2:$B$501,B13,$D$2:$D$501,D13)&gt;1,"DUPLICADA",""))</f>
        <v/>
      </c>
      <c r="R13">
        <f>IF(A13="","",ROUNDUP(MONTH(A13)/3,0))</f>
        <v/>
      </c>
      <c r="S13" s="3" t="n"/>
    </row>
    <row r="14">
      <c r="A14" s="2" t="n"/>
      <c r="B14" s="3" t="n"/>
      <c r="C14" s="3" t="n"/>
      <c r="D14" s="3" t="n"/>
      <c r="E14" s="4" t="n"/>
      <c r="F14" s="4" t="n"/>
      <c r="G14" s="4" t="n"/>
      <c r="H14" s="4" t="n"/>
      <c r="I14" s="5">
        <f>IF(E14="","",ROUND(E14*0.21,2))</f>
        <v/>
      </c>
      <c r="J14" s="5">
        <f>IF(F14="","",ROUND(F14*0.1,2))</f>
        <v/>
      </c>
      <c r="K14" s="5">
        <f>IF(G14="","",ROUND(G14*0.04,2))</f>
        <v/>
      </c>
      <c r="L14" s="4" t="n"/>
      <c r="M14" s="4" t="n"/>
      <c r="N14" s="5">
        <f>IF(A14="","",SUM(E14:K14)-N(L14))</f>
        <v/>
      </c>
      <c r="O14">
        <f>IF(OR(A14="",M14=""),"",IF(ABS(M14-N14)&lt;=0.02,"OK","REVISAR"))</f>
        <v/>
      </c>
      <c r="P14">
        <f>IF(D14="","",IF(LEN(TRIM(D14))&lt;&gt;9,"REVISAR",IFERROR(IF(OR(ISNUMBER(VALUE(LEFT(UPPER(TRIM(D14)),1))),LEFT(UPPER(TRIM(D14)),1)="X",LEFT(UPPER(TRIM(D14)),1)="Y",LEFT(UPPER(TRIM(D14)),1)="Z"),IF(MID("TRWAGMYFPDXBNJZSQVHLCKE",MOD(VALUE(SUBSTITUTE(SUBSTITUTE(SUBSTITUTE(LEFT(UPPER(TRIM(D14)),8),"X","0"),"Y","1"),"Z","2")),23)+1,1)=RIGHT(UPPER(TRIM(D14)),1),"OK","REVISAR"),IF(OR(RIGHT(UPPER(TRIM(D14)),1)=TEXT(MOD(10-MOD((VALUE(MID(UPPER(TRIM(D14)),3,1))+VALUE(MID(UPPER(TRIM(D14)),5,1))+VALUE(MID(UPPER(TRIM(D14)),7,1)))+(INT(2*VALUE(MID(UPPER(TRIM(D14)),2,1))/10)+MOD(2*VALUE(MID(UPPER(TRIM(D14)),2,1)),10))+(INT(2*VALUE(MID(UPPER(TRIM(D14)),4,1))/10)+MOD(2*VALUE(MID(UPPER(TRIM(D14)),4,1)),10))+(INT(2*VALUE(MID(UPPER(TRIM(D14)),6,1))/10)+MOD(2*VALUE(MID(UPPER(TRIM(D14)),6,1)),10))+(INT(2*VALUE(MID(UPPER(TRIM(D14)),8,1))/10)+MOD(2*VALUE(MID(UPPER(TRIM(D14)),8,1)),10)),10),10),"0"),RIGHT(UPPER(TRIM(D14)),1)=MID("JABCDEFGHI",MOD(10-MOD((VALUE(MID(UPPER(TRIM(D14)),3,1))+VALUE(MID(UPPER(TRIM(D14)),5,1))+VALUE(MID(UPPER(TRIM(D14)),7,1)))+(INT(2*VALUE(MID(UPPER(TRIM(D14)),2,1))/10)+MOD(2*VALUE(MID(UPPER(TRIM(D14)),2,1)),10))+(INT(2*VALUE(MID(UPPER(TRIM(D14)),4,1))/10)+MOD(2*VALUE(MID(UPPER(TRIM(D14)),4,1)),10))+(INT(2*VALUE(MID(UPPER(TRIM(D14)),6,1))/10)+MOD(2*VALUE(MID(UPPER(TRIM(D14)),6,1)),10))+(INT(2*VALUE(MID(UPPER(TRIM(D14)),8,1))/10)+MOD(2*VALUE(MID(UPPER(TRIM(D14)),8,1)),10)),10),10)+1,1)),"OK","REVISAR")),"REVISAR")))</f>
        <v/>
      </c>
      <c r="Q14">
        <f>IF(B14="","",IF(COUNTIFS($B$2:$B$501,B14,$D$2:$D$501,D14)&gt;1,"DUPLICADA",""))</f>
        <v/>
      </c>
      <c r="R14">
        <f>IF(A14="","",ROUNDUP(MONTH(A14)/3,0))</f>
        <v/>
      </c>
      <c r="S14" s="3" t="n"/>
    </row>
    <row r="15">
      <c r="A15" s="2" t="n"/>
      <c r="B15" s="3" t="n"/>
      <c r="C15" s="3" t="n"/>
      <c r="D15" s="3" t="n"/>
      <c r="E15" s="4" t="n"/>
      <c r="F15" s="4" t="n"/>
      <c r="G15" s="4" t="n"/>
      <c r="H15" s="4" t="n"/>
      <c r="I15" s="5">
        <f>IF(E15="","",ROUND(E15*0.21,2))</f>
        <v/>
      </c>
      <c r="J15" s="5">
        <f>IF(F15="","",ROUND(F15*0.1,2))</f>
        <v/>
      </c>
      <c r="K15" s="5">
        <f>IF(G15="","",ROUND(G15*0.04,2))</f>
        <v/>
      </c>
      <c r="L15" s="4" t="n"/>
      <c r="M15" s="4" t="n"/>
      <c r="N15" s="5">
        <f>IF(A15="","",SUM(E15:K15)-N(L15))</f>
        <v/>
      </c>
      <c r="O15">
        <f>IF(OR(A15="",M15=""),"",IF(ABS(M15-N15)&lt;=0.02,"OK","REVISAR"))</f>
        <v/>
      </c>
      <c r="P15">
        <f>IF(D15="","",IF(LEN(TRIM(D15))&lt;&gt;9,"REVISAR",IFERROR(IF(OR(ISNUMBER(VALUE(LEFT(UPPER(TRIM(D15)),1))),LEFT(UPPER(TRIM(D15)),1)="X",LEFT(UPPER(TRIM(D15)),1)="Y",LEFT(UPPER(TRIM(D15)),1)="Z"),IF(MID("TRWAGMYFPDXBNJZSQVHLCKE",MOD(VALUE(SUBSTITUTE(SUBSTITUTE(SUBSTITUTE(LEFT(UPPER(TRIM(D15)),8),"X","0"),"Y","1"),"Z","2")),23)+1,1)=RIGHT(UPPER(TRIM(D15)),1),"OK","REVISAR"),IF(OR(RIGHT(UPPER(TRIM(D15)),1)=TEXT(MOD(10-MOD((VALUE(MID(UPPER(TRIM(D15)),3,1))+VALUE(MID(UPPER(TRIM(D15)),5,1))+VALUE(MID(UPPER(TRIM(D15)),7,1)))+(INT(2*VALUE(MID(UPPER(TRIM(D15)),2,1))/10)+MOD(2*VALUE(MID(UPPER(TRIM(D15)),2,1)),10))+(INT(2*VALUE(MID(UPPER(TRIM(D15)),4,1))/10)+MOD(2*VALUE(MID(UPPER(TRIM(D15)),4,1)),10))+(INT(2*VALUE(MID(UPPER(TRIM(D15)),6,1))/10)+MOD(2*VALUE(MID(UPPER(TRIM(D15)),6,1)),10))+(INT(2*VALUE(MID(UPPER(TRIM(D15)),8,1))/10)+MOD(2*VALUE(MID(UPPER(TRIM(D15)),8,1)),10)),10),10),"0"),RIGHT(UPPER(TRIM(D15)),1)=MID("JABCDEFGHI",MOD(10-MOD((VALUE(MID(UPPER(TRIM(D15)),3,1))+VALUE(MID(UPPER(TRIM(D15)),5,1))+VALUE(MID(UPPER(TRIM(D15)),7,1)))+(INT(2*VALUE(MID(UPPER(TRIM(D15)),2,1))/10)+MOD(2*VALUE(MID(UPPER(TRIM(D15)),2,1)),10))+(INT(2*VALUE(MID(UPPER(TRIM(D15)),4,1))/10)+MOD(2*VALUE(MID(UPPER(TRIM(D15)),4,1)),10))+(INT(2*VALUE(MID(UPPER(TRIM(D15)),6,1))/10)+MOD(2*VALUE(MID(UPPER(TRIM(D15)),6,1)),10))+(INT(2*VALUE(MID(UPPER(TRIM(D15)),8,1))/10)+MOD(2*VALUE(MID(UPPER(TRIM(D15)),8,1)),10)),10),10)+1,1)),"OK","REVISAR")),"REVISAR")))</f>
        <v/>
      </c>
      <c r="Q15">
        <f>IF(B15="","",IF(COUNTIFS($B$2:$B$501,B15,$D$2:$D$501,D15)&gt;1,"DUPLICADA",""))</f>
        <v/>
      </c>
      <c r="R15">
        <f>IF(A15="","",ROUNDUP(MONTH(A15)/3,0))</f>
        <v/>
      </c>
      <c r="S15" s="3" t="n"/>
    </row>
    <row r="16">
      <c r="A16" s="2" t="n"/>
      <c r="B16" s="3" t="n"/>
      <c r="C16" s="3" t="n"/>
      <c r="D16" s="3" t="n"/>
      <c r="E16" s="4" t="n"/>
      <c r="F16" s="4" t="n"/>
      <c r="G16" s="4" t="n"/>
      <c r="H16" s="4" t="n"/>
      <c r="I16" s="5">
        <f>IF(E16="","",ROUND(E16*0.21,2))</f>
        <v/>
      </c>
      <c r="J16" s="5">
        <f>IF(F16="","",ROUND(F16*0.1,2))</f>
        <v/>
      </c>
      <c r="K16" s="5">
        <f>IF(G16="","",ROUND(G16*0.04,2))</f>
        <v/>
      </c>
      <c r="L16" s="4" t="n"/>
      <c r="M16" s="4" t="n"/>
      <c r="N16" s="5">
        <f>IF(A16="","",SUM(E16:K16)-N(L16))</f>
        <v/>
      </c>
      <c r="O16">
        <f>IF(OR(A16="",M16=""),"",IF(ABS(M16-N16)&lt;=0.02,"OK","REVISAR"))</f>
        <v/>
      </c>
      <c r="P16">
        <f>IF(D16="","",IF(LEN(TRIM(D16))&lt;&gt;9,"REVISAR",IFERROR(IF(OR(ISNUMBER(VALUE(LEFT(UPPER(TRIM(D16)),1))),LEFT(UPPER(TRIM(D16)),1)="X",LEFT(UPPER(TRIM(D16)),1)="Y",LEFT(UPPER(TRIM(D16)),1)="Z"),IF(MID("TRWAGMYFPDXBNJZSQVHLCKE",MOD(VALUE(SUBSTITUTE(SUBSTITUTE(SUBSTITUTE(LEFT(UPPER(TRIM(D16)),8),"X","0"),"Y","1"),"Z","2")),23)+1,1)=RIGHT(UPPER(TRIM(D16)),1),"OK","REVISAR"),IF(OR(RIGHT(UPPER(TRIM(D16)),1)=TEXT(MOD(10-MOD((VALUE(MID(UPPER(TRIM(D16)),3,1))+VALUE(MID(UPPER(TRIM(D16)),5,1))+VALUE(MID(UPPER(TRIM(D16)),7,1)))+(INT(2*VALUE(MID(UPPER(TRIM(D16)),2,1))/10)+MOD(2*VALUE(MID(UPPER(TRIM(D16)),2,1)),10))+(INT(2*VALUE(MID(UPPER(TRIM(D16)),4,1))/10)+MOD(2*VALUE(MID(UPPER(TRIM(D16)),4,1)),10))+(INT(2*VALUE(MID(UPPER(TRIM(D16)),6,1))/10)+MOD(2*VALUE(MID(UPPER(TRIM(D16)),6,1)),10))+(INT(2*VALUE(MID(UPPER(TRIM(D16)),8,1))/10)+MOD(2*VALUE(MID(UPPER(TRIM(D16)),8,1)),10)),10),10),"0"),RIGHT(UPPER(TRIM(D16)),1)=MID("JABCDEFGHI",MOD(10-MOD((VALUE(MID(UPPER(TRIM(D16)),3,1))+VALUE(MID(UPPER(TRIM(D16)),5,1))+VALUE(MID(UPPER(TRIM(D16)),7,1)))+(INT(2*VALUE(MID(UPPER(TRIM(D16)),2,1))/10)+MOD(2*VALUE(MID(UPPER(TRIM(D16)),2,1)),10))+(INT(2*VALUE(MID(UPPER(TRIM(D16)),4,1))/10)+MOD(2*VALUE(MID(UPPER(TRIM(D16)),4,1)),10))+(INT(2*VALUE(MID(UPPER(TRIM(D16)),6,1))/10)+MOD(2*VALUE(MID(UPPER(TRIM(D16)),6,1)),10))+(INT(2*VALUE(MID(UPPER(TRIM(D16)),8,1))/10)+MOD(2*VALUE(MID(UPPER(TRIM(D16)),8,1)),10)),10),10)+1,1)),"OK","REVISAR")),"REVISAR")))</f>
        <v/>
      </c>
      <c r="Q16">
        <f>IF(B16="","",IF(COUNTIFS($B$2:$B$501,B16,$D$2:$D$501,D16)&gt;1,"DUPLICADA",""))</f>
        <v/>
      </c>
      <c r="R16">
        <f>IF(A16="","",ROUNDUP(MONTH(A16)/3,0))</f>
        <v/>
      </c>
      <c r="S16" s="3" t="n"/>
    </row>
    <row r="17">
      <c r="A17" s="2" t="n"/>
      <c r="B17" s="3" t="n"/>
      <c r="C17" s="3" t="n"/>
      <c r="D17" s="3" t="n"/>
      <c r="E17" s="4" t="n"/>
      <c r="F17" s="4" t="n"/>
      <c r="G17" s="4" t="n"/>
      <c r="H17" s="4" t="n"/>
      <c r="I17" s="5">
        <f>IF(E17="","",ROUND(E17*0.21,2))</f>
        <v/>
      </c>
      <c r="J17" s="5">
        <f>IF(F17="","",ROUND(F17*0.1,2))</f>
        <v/>
      </c>
      <c r="K17" s="5">
        <f>IF(G17="","",ROUND(G17*0.04,2))</f>
        <v/>
      </c>
      <c r="L17" s="4" t="n"/>
      <c r="M17" s="4" t="n"/>
      <c r="N17" s="5">
        <f>IF(A17="","",SUM(E17:K17)-N(L17))</f>
        <v/>
      </c>
      <c r="O17">
        <f>IF(OR(A17="",M17=""),"",IF(ABS(M17-N17)&lt;=0.02,"OK","REVISAR"))</f>
        <v/>
      </c>
      <c r="P17">
        <f>IF(D17="","",IF(LEN(TRIM(D17))&lt;&gt;9,"REVISAR",IFERROR(IF(OR(ISNUMBER(VALUE(LEFT(UPPER(TRIM(D17)),1))),LEFT(UPPER(TRIM(D17)),1)="X",LEFT(UPPER(TRIM(D17)),1)="Y",LEFT(UPPER(TRIM(D17)),1)="Z"),IF(MID("TRWAGMYFPDXBNJZSQVHLCKE",MOD(VALUE(SUBSTITUTE(SUBSTITUTE(SUBSTITUTE(LEFT(UPPER(TRIM(D17)),8),"X","0"),"Y","1"),"Z","2")),23)+1,1)=RIGHT(UPPER(TRIM(D17)),1),"OK","REVISAR"),IF(OR(RIGHT(UPPER(TRIM(D17)),1)=TEXT(MOD(10-MOD((VALUE(MID(UPPER(TRIM(D17)),3,1))+VALUE(MID(UPPER(TRIM(D17)),5,1))+VALUE(MID(UPPER(TRIM(D17)),7,1)))+(INT(2*VALUE(MID(UPPER(TRIM(D17)),2,1))/10)+MOD(2*VALUE(MID(UPPER(TRIM(D17)),2,1)),10))+(INT(2*VALUE(MID(UPPER(TRIM(D17)),4,1))/10)+MOD(2*VALUE(MID(UPPER(TRIM(D17)),4,1)),10))+(INT(2*VALUE(MID(UPPER(TRIM(D17)),6,1))/10)+MOD(2*VALUE(MID(UPPER(TRIM(D17)),6,1)),10))+(INT(2*VALUE(MID(UPPER(TRIM(D17)),8,1))/10)+MOD(2*VALUE(MID(UPPER(TRIM(D17)),8,1)),10)),10),10),"0"),RIGHT(UPPER(TRIM(D17)),1)=MID("JABCDEFGHI",MOD(10-MOD((VALUE(MID(UPPER(TRIM(D17)),3,1))+VALUE(MID(UPPER(TRIM(D17)),5,1))+VALUE(MID(UPPER(TRIM(D17)),7,1)))+(INT(2*VALUE(MID(UPPER(TRIM(D17)),2,1))/10)+MOD(2*VALUE(MID(UPPER(TRIM(D17)),2,1)),10))+(INT(2*VALUE(MID(UPPER(TRIM(D17)),4,1))/10)+MOD(2*VALUE(MID(UPPER(TRIM(D17)),4,1)),10))+(INT(2*VALUE(MID(UPPER(TRIM(D17)),6,1))/10)+MOD(2*VALUE(MID(UPPER(TRIM(D17)),6,1)),10))+(INT(2*VALUE(MID(UPPER(TRIM(D17)),8,1))/10)+MOD(2*VALUE(MID(UPPER(TRIM(D17)),8,1)),10)),10),10)+1,1)),"OK","REVISAR")),"REVISAR")))</f>
        <v/>
      </c>
      <c r="Q17">
        <f>IF(B17="","",IF(COUNTIFS($B$2:$B$501,B17,$D$2:$D$501,D17)&gt;1,"DUPLICADA",""))</f>
        <v/>
      </c>
      <c r="R17">
        <f>IF(A17="","",ROUNDUP(MONTH(A17)/3,0))</f>
        <v/>
      </c>
      <c r="S17" s="3" t="n"/>
    </row>
    <row r="18">
      <c r="A18" s="2" t="n"/>
      <c r="B18" s="3" t="n"/>
      <c r="C18" s="3" t="n"/>
      <c r="D18" s="3" t="n"/>
      <c r="E18" s="4" t="n"/>
      <c r="F18" s="4" t="n"/>
      <c r="G18" s="4" t="n"/>
      <c r="H18" s="4" t="n"/>
      <c r="I18" s="5">
        <f>IF(E18="","",ROUND(E18*0.21,2))</f>
        <v/>
      </c>
      <c r="J18" s="5">
        <f>IF(F18="","",ROUND(F18*0.1,2))</f>
        <v/>
      </c>
      <c r="K18" s="5">
        <f>IF(G18="","",ROUND(G18*0.04,2))</f>
        <v/>
      </c>
      <c r="L18" s="4" t="n"/>
      <c r="M18" s="4" t="n"/>
      <c r="N18" s="5">
        <f>IF(A18="","",SUM(E18:K18)-N(L18))</f>
        <v/>
      </c>
      <c r="O18">
        <f>IF(OR(A18="",M18=""),"",IF(ABS(M18-N18)&lt;=0.02,"OK","REVISAR"))</f>
        <v/>
      </c>
      <c r="P18">
        <f>IF(D18="","",IF(LEN(TRIM(D18))&lt;&gt;9,"REVISAR",IFERROR(IF(OR(ISNUMBER(VALUE(LEFT(UPPER(TRIM(D18)),1))),LEFT(UPPER(TRIM(D18)),1)="X",LEFT(UPPER(TRIM(D18)),1)="Y",LEFT(UPPER(TRIM(D18)),1)="Z"),IF(MID("TRWAGMYFPDXBNJZSQVHLCKE",MOD(VALUE(SUBSTITUTE(SUBSTITUTE(SUBSTITUTE(LEFT(UPPER(TRIM(D18)),8),"X","0"),"Y","1"),"Z","2")),23)+1,1)=RIGHT(UPPER(TRIM(D18)),1),"OK","REVISAR"),IF(OR(RIGHT(UPPER(TRIM(D18)),1)=TEXT(MOD(10-MOD((VALUE(MID(UPPER(TRIM(D18)),3,1))+VALUE(MID(UPPER(TRIM(D18)),5,1))+VALUE(MID(UPPER(TRIM(D18)),7,1)))+(INT(2*VALUE(MID(UPPER(TRIM(D18)),2,1))/10)+MOD(2*VALUE(MID(UPPER(TRIM(D18)),2,1)),10))+(INT(2*VALUE(MID(UPPER(TRIM(D18)),4,1))/10)+MOD(2*VALUE(MID(UPPER(TRIM(D18)),4,1)),10))+(INT(2*VALUE(MID(UPPER(TRIM(D18)),6,1))/10)+MOD(2*VALUE(MID(UPPER(TRIM(D18)),6,1)),10))+(INT(2*VALUE(MID(UPPER(TRIM(D18)),8,1))/10)+MOD(2*VALUE(MID(UPPER(TRIM(D18)),8,1)),10)),10),10),"0"),RIGHT(UPPER(TRIM(D18)),1)=MID("JABCDEFGHI",MOD(10-MOD((VALUE(MID(UPPER(TRIM(D18)),3,1))+VALUE(MID(UPPER(TRIM(D18)),5,1))+VALUE(MID(UPPER(TRIM(D18)),7,1)))+(INT(2*VALUE(MID(UPPER(TRIM(D18)),2,1))/10)+MOD(2*VALUE(MID(UPPER(TRIM(D18)),2,1)),10))+(INT(2*VALUE(MID(UPPER(TRIM(D18)),4,1))/10)+MOD(2*VALUE(MID(UPPER(TRIM(D18)),4,1)),10))+(INT(2*VALUE(MID(UPPER(TRIM(D18)),6,1))/10)+MOD(2*VALUE(MID(UPPER(TRIM(D18)),6,1)),10))+(INT(2*VALUE(MID(UPPER(TRIM(D18)),8,1))/10)+MOD(2*VALUE(MID(UPPER(TRIM(D18)),8,1)),10)),10),10)+1,1)),"OK","REVISAR")),"REVISAR")))</f>
        <v/>
      </c>
      <c r="Q18">
        <f>IF(B18="","",IF(COUNTIFS($B$2:$B$501,B18,$D$2:$D$501,D18)&gt;1,"DUPLICADA",""))</f>
        <v/>
      </c>
      <c r="R18">
        <f>IF(A18="","",ROUNDUP(MONTH(A18)/3,0))</f>
        <v/>
      </c>
      <c r="S18" s="3" t="n"/>
    </row>
    <row r="19">
      <c r="A19" s="2" t="n"/>
      <c r="B19" s="3" t="n"/>
      <c r="C19" s="3" t="n"/>
      <c r="D19" s="3" t="n"/>
      <c r="E19" s="4" t="n"/>
      <c r="F19" s="4" t="n"/>
      <c r="G19" s="4" t="n"/>
      <c r="H19" s="4" t="n"/>
      <c r="I19" s="5">
        <f>IF(E19="","",ROUND(E19*0.21,2))</f>
        <v/>
      </c>
      <c r="J19" s="5">
        <f>IF(F19="","",ROUND(F19*0.1,2))</f>
        <v/>
      </c>
      <c r="K19" s="5">
        <f>IF(G19="","",ROUND(G19*0.04,2))</f>
        <v/>
      </c>
      <c r="L19" s="4" t="n"/>
      <c r="M19" s="4" t="n"/>
      <c r="N19" s="5">
        <f>IF(A19="","",SUM(E19:K19)-N(L19))</f>
        <v/>
      </c>
      <c r="O19">
        <f>IF(OR(A19="",M19=""),"",IF(ABS(M19-N19)&lt;=0.02,"OK","REVISAR"))</f>
        <v/>
      </c>
      <c r="P19">
        <f>IF(D19="","",IF(LEN(TRIM(D19))&lt;&gt;9,"REVISAR",IFERROR(IF(OR(ISNUMBER(VALUE(LEFT(UPPER(TRIM(D19)),1))),LEFT(UPPER(TRIM(D19)),1)="X",LEFT(UPPER(TRIM(D19)),1)="Y",LEFT(UPPER(TRIM(D19)),1)="Z"),IF(MID("TRWAGMYFPDXBNJZSQVHLCKE",MOD(VALUE(SUBSTITUTE(SUBSTITUTE(SUBSTITUTE(LEFT(UPPER(TRIM(D19)),8),"X","0"),"Y","1"),"Z","2")),23)+1,1)=RIGHT(UPPER(TRIM(D19)),1),"OK","REVISAR"),IF(OR(RIGHT(UPPER(TRIM(D19)),1)=TEXT(MOD(10-MOD((VALUE(MID(UPPER(TRIM(D19)),3,1))+VALUE(MID(UPPER(TRIM(D19)),5,1))+VALUE(MID(UPPER(TRIM(D19)),7,1)))+(INT(2*VALUE(MID(UPPER(TRIM(D19)),2,1))/10)+MOD(2*VALUE(MID(UPPER(TRIM(D19)),2,1)),10))+(INT(2*VALUE(MID(UPPER(TRIM(D19)),4,1))/10)+MOD(2*VALUE(MID(UPPER(TRIM(D19)),4,1)),10))+(INT(2*VALUE(MID(UPPER(TRIM(D19)),6,1))/10)+MOD(2*VALUE(MID(UPPER(TRIM(D19)),6,1)),10))+(INT(2*VALUE(MID(UPPER(TRIM(D19)),8,1))/10)+MOD(2*VALUE(MID(UPPER(TRIM(D19)),8,1)),10)),10),10),"0"),RIGHT(UPPER(TRIM(D19)),1)=MID("JABCDEFGHI",MOD(10-MOD((VALUE(MID(UPPER(TRIM(D19)),3,1))+VALUE(MID(UPPER(TRIM(D19)),5,1))+VALUE(MID(UPPER(TRIM(D19)),7,1)))+(INT(2*VALUE(MID(UPPER(TRIM(D19)),2,1))/10)+MOD(2*VALUE(MID(UPPER(TRIM(D19)),2,1)),10))+(INT(2*VALUE(MID(UPPER(TRIM(D19)),4,1))/10)+MOD(2*VALUE(MID(UPPER(TRIM(D19)),4,1)),10))+(INT(2*VALUE(MID(UPPER(TRIM(D19)),6,1))/10)+MOD(2*VALUE(MID(UPPER(TRIM(D19)),6,1)),10))+(INT(2*VALUE(MID(UPPER(TRIM(D19)),8,1))/10)+MOD(2*VALUE(MID(UPPER(TRIM(D19)),8,1)),10)),10),10)+1,1)),"OK","REVISAR")),"REVISAR")))</f>
        <v/>
      </c>
      <c r="Q19">
        <f>IF(B19="","",IF(COUNTIFS($B$2:$B$501,B19,$D$2:$D$501,D19)&gt;1,"DUPLICADA",""))</f>
        <v/>
      </c>
      <c r="R19">
        <f>IF(A19="","",ROUNDUP(MONTH(A19)/3,0))</f>
        <v/>
      </c>
      <c r="S19" s="3" t="n"/>
    </row>
    <row r="20">
      <c r="A20" s="2" t="n"/>
      <c r="B20" s="3" t="n"/>
      <c r="C20" s="3" t="n"/>
      <c r="D20" s="3" t="n"/>
      <c r="E20" s="4" t="n"/>
      <c r="F20" s="4" t="n"/>
      <c r="G20" s="4" t="n"/>
      <c r="H20" s="4" t="n"/>
      <c r="I20" s="5">
        <f>IF(E20="","",ROUND(E20*0.21,2))</f>
        <v/>
      </c>
      <c r="J20" s="5">
        <f>IF(F20="","",ROUND(F20*0.1,2))</f>
        <v/>
      </c>
      <c r="K20" s="5">
        <f>IF(G20="","",ROUND(G20*0.04,2))</f>
        <v/>
      </c>
      <c r="L20" s="4" t="n"/>
      <c r="M20" s="4" t="n"/>
      <c r="N20" s="5">
        <f>IF(A20="","",SUM(E20:K20)-N(L20))</f>
        <v/>
      </c>
      <c r="O20">
        <f>IF(OR(A20="",M20=""),"",IF(ABS(M20-N20)&lt;=0.02,"OK","REVISAR"))</f>
        <v/>
      </c>
      <c r="P20">
        <f>IF(D20="","",IF(LEN(TRIM(D20))&lt;&gt;9,"REVISAR",IFERROR(IF(OR(ISNUMBER(VALUE(LEFT(UPPER(TRIM(D20)),1))),LEFT(UPPER(TRIM(D20)),1)="X",LEFT(UPPER(TRIM(D20)),1)="Y",LEFT(UPPER(TRIM(D20)),1)="Z"),IF(MID("TRWAGMYFPDXBNJZSQVHLCKE",MOD(VALUE(SUBSTITUTE(SUBSTITUTE(SUBSTITUTE(LEFT(UPPER(TRIM(D20)),8),"X","0"),"Y","1"),"Z","2")),23)+1,1)=RIGHT(UPPER(TRIM(D20)),1),"OK","REVISAR"),IF(OR(RIGHT(UPPER(TRIM(D20)),1)=TEXT(MOD(10-MOD((VALUE(MID(UPPER(TRIM(D20)),3,1))+VALUE(MID(UPPER(TRIM(D20)),5,1))+VALUE(MID(UPPER(TRIM(D20)),7,1)))+(INT(2*VALUE(MID(UPPER(TRIM(D20)),2,1))/10)+MOD(2*VALUE(MID(UPPER(TRIM(D20)),2,1)),10))+(INT(2*VALUE(MID(UPPER(TRIM(D20)),4,1))/10)+MOD(2*VALUE(MID(UPPER(TRIM(D20)),4,1)),10))+(INT(2*VALUE(MID(UPPER(TRIM(D20)),6,1))/10)+MOD(2*VALUE(MID(UPPER(TRIM(D20)),6,1)),10))+(INT(2*VALUE(MID(UPPER(TRIM(D20)),8,1))/10)+MOD(2*VALUE(MID(UPPER(TRIM(D20)),8,1)),10)),10),10),"0"),RIGHT(UPPER(TRIM(D20)),1)=MID("JABCDEFGHI",MOD(10-MOD((VALUE(MID(UPPER(TRIM(D20)),3,1))+VALUE(MID(UPPER(TRIM(D20)),5,1))+VALUE(MID(UPPER(TRIM(D20)),7,1)))+(INT(2*VALUE(MID(UPPER(TRIM(D20)),2,1))/10)+MOD(2*VALUE(MID(UPPER(TRIM(D20)),2,1)),10))+(INT(2*VALUE(MID(UPPER(TRIM(D20)),4,1))/10)+MOD(2*VALUE(MID(UPPER(TRIM(D20)),4,1)),10))+(INT(2*VALUE(MID(UPPER(TRIM(D20)),6,1))/10)+MOD(2*VALUE(MID(UPPER(TRIM(D20)),6,1)),10))+(INT(2*VALUE(MID(UPPER(TRIM(D20)),8,1))/10)+MOD(2*VALUE(MID(UPPER(TRIM(D20)),8,1)),10)),10),10)+1,1)),"OK","REVISAR")),"REVISAR")))</f>
        <v/>
      </c>
      <c r="Q20">
        <f>IF(B20="","",IF(COUNTIFS($B$2:$B$501,B20,$D$2:$D$501,D20)&gt;1,"DUPLICADA",""))</f>
        <v/>
      </c>
      <c r="R20">
        <f>IF(A20="","",ROUNDUP(MONTH(A20)/3,0))</f>
        <v/>
      </c>
      <c r="S20" s="3" t="n"/>
    </row>
    <row r="21">
      <c r="A21" s="2" t="n"/>
      <c r="B21" s="3" t="n"/>
      <c r="C21" s="3" t="n"/>
      <c r="D21" s="3" t="n"/>
      <c r="E21" s="4" t="n"/>
      <c r="F21" s="4" t="n"/>
      <c r="G21" s="4" t="n"/>
      <c r="H21" s="4" t="n"/>
      <c r="I21" s="5">
        <f>IF(E21="","",ROUND(E21*0.21,2))</f>
        <v/>
      </c>
      <c r="J21" s="5">
        <f>IF(F21="","",ROUND(F21*0.1,2))</f>
        <v/>
      </c>
      <c r="K21" s="5">
        <f>IF(G21="","",ROUND(G21*0.04,2))</f>
        <v/>
      </c>
      <c r="L21" s="4" t="n"/>
      <c r="M21" s="4" t="n"/>
      <c r="N21" s="5">
        <f>IF(A21="","",SUM(E21:K21)-N(L21))</f>
        <v/>
      </c>
      <c r="O21">
        <f>IF(OR(A21="",M21=""),"",IF(ABS(M21-N21)&lt;=0.02,"OK","REVISAR"))</f>
        <v/>
      </c>
      <c r="P21">
        <f>IF(D21="","",IF(LEN(TRIM(D21))&lt;&gt;9,"REVISAR",IFERROR(IF(OR(ISNUMBER(VALUE(LEFT(UPPER(TRIM(D21)),1))),LEFT(UPPER(TRIM(D21)),1)="X",LEFT(UPPER(TRIM(D21)),1)="Y",LEFT(UPPER(TRIM(D21)),1)="Z"),IF(MID("TRWAGMYFPDXBNJZSQVHLCKE",MOD(VALUE(SUBSTITUTE(SUBSTITUTE(SUBSTITUTE(LEFT(UPPER(TRIM(D21)),8),"X","0"),"Y","1"),"Z","2")),23)+1,1)=RIGHT(UPPER(TRIM(D21)),1),"OK","REVISAR"),IF(OR(RIGHT(UPPER(TRIM(D21)),1)=TEXT(MOD(10-MOD((VALUE(MID(UPPER(TRIM(D21)),3,1))+VALUE(MID(UPPER(TRIM(D21)),5,1))+VALUE(MID(UPPER(TRIM(D21)),7,1)))+(INT(2*VALUE(MID(UPPER(TRIM(D21)),2,1))/10)+MOD(2*VALUE(MID(UPPER(TRIM(D21)),2,1)),10))+(INT(2*VALUE(MID(UPPER(TRIM(D21)),4,1))/10)+MOD(2*VALUE(MID(UPPER(TRIM(D21)),4,1)),10))+(INT(2*VALUE(MID(UPPER(TRIM(D21)),6,1))/10)+MOD(2*VALUE(MID(UPPER(TRIM(D21)),6,1)),10))+(INT(2*VALUE(MID(UPPER(TRIM(D21)),8,1))/10)+MOD(2*VALUE(MID(UPPER(TRIM(D21)),8,1)),10)),10),10),"0"),RIGHT(UPPER(TRIM(D21)),1)=MID("JABCDEFGHI",MOD(10-MOD((VALUE(MID(UPPER(TRIM(D21)),3,1))+VALUE(MID(UPPER(TRIM(D21)),5,1))+VALUE(MID(UPPER(TRIM(D21)),7,1)))+(INT(2*VALUE(MID(UPPER(TRIM(D21)),2,1))/10)+MOD(2*VALUE(MID(UPPER(TRIM(D21)),2,1)),10))+(INT(2*VALUE(MID(UPPER(TRIM(D21)),4,1))/10)+MOD(2*VALUE(MID(UPPER(TRIM(D21)),4,1)),10))+(INT(2*VALUE(MID(UPPER(TRIM(D21)),6,1))/10)+MOD(2*VALUE(MID(UPPER(TRIM(D21)),6,1)),10))+(INT(2*VALUE(MID(UPPER(TRIM(D21)),8,1))/10)+MOD(2*VALUE(MID(UPPER(TRIM(D21)),8,1)),10)),10),10)+1,1)),"OK","REVISAR")),"REVISAR")))</f>
        <v/>
      </c>
      <c r="Q21">
        <f>IF(B21="","",IF(COUNTIFS($B$2:$B$501,B21,$D$2:$D$501,D21)&gt;1,"DUPLICADA",""))</f>
        <v/>
      </c>
      <c r="R21">
        <f>IF(A21="","",ROUNDUP(MONTH(A21)/3,0))</f>
        <v/>
      </c>
      <c r="S21" s="3" t="n"/>
    </row>
    <row r="22">
      <c r="A22" s="2" t="n"/>
      <c r="B22" s="3" t="n"/>
      <c r="C22" s="3" t="n"/>
      <c r="D22" s="3" t="n"/>
      <c r="E22" s="4" t="n"/>
      <c r="F22" s="4" t="n"/>
      <c r="G22" s="4" t="n"/>
      <c r="H22" s="4" t="n"/>
      <c r="I22" s="5">
        <f>IF(E22="","",ROUND(E22*0.21,2))</f>
        <v/>
      </c>
      <c r="J22" s="5">
        <f>IF(F22="","",ROUND(F22*0.1,2))</f>
        <v/>
      </c>
      <c r="K22" s="5">
        <f>IF(G22="","",ROUND(G22*0.04,2))</f>
        <v/>
      </c>
      <c r="L22" s="4" t="n"/>
      <c r="M22" s="4" t="n"/>
      <c r="N22" s="5">
        <f>IF(A22="","",SUM(E22:K22)-N(L22))</f>
        <v/>
      </c>
      <c r="O22">
        <f>IF(OR(A22="",M22=""),"",IF(ABS(M22-N22)&lt;=0.02,"OK","REVISAR"))</f>
        <v/>
      </c>
      <c r="P22">
        <f>IF(D22="","",IF(LEN(TRIM(D22))&lt;&gt;9,"REVISAR",IFERROR(IF(OR(ISNUMBER(VALUE(LEFT(UPPER(TRIM(D22)),1))),LEFT(UPPER(TRIM(D22)),1)="X",LEFT(UPPER(TRIM(D22)),1)="Y",LEFT(UPPER(TRIM(D22)),1)="Z"),IF(MID("TRWAGMYFPDXBNJZSQVHLCKE",MOD(VALUE(SUBSTITUTE(SUBSTITUTE(SUBSTITUTE(LEFT(UPPER(TRIM(D22)),8),"X","0"),"Y","1"),"Z","2")),23)+1,1)=RIGHT(UPPER(TRIM(D22)),1),"OK","REVISAR"),IF(OR(RIGHT(UPPER(TRIM(D22)),1)=TEXT(MOD(10-MOD((VALUE(MID(UPPER(TRIM(D22)),3,1))+VALUE(MID(UPPER(TRIM(D22)),5,1))+VALUE(MID(UPPER(TRIM(D22)),7,1)))+(INT(2*VALUE(MID(UPPER(TRIM(D22)),2,1))/10)+MOD(2*VALUE(MID(UPPER(TRIM(D22)),2,1)),10))+(INT(2*VALUE(MID(UPPER(TRIM(D22)),4,1))/10)+MOD(2*VALUE(MID(UPPER(TRIM(D22)),4,1)),10))+(INT(2*VALUE(MID(UPPER(TRIM(D22)),6,1))/10)+MOD(2*VALUE(MID(UPPER(TRIM(D22)),6,1)),10))+(INT(2*VALUE(MID(UPPER(TRIM(D22)),8,1))/10)+MOD(2*VALUE(MID(UPPER(TRIM(D22)),8,1)),10)),10),10),"0"),RIGHT(UPPER(TRIM(D22)),1)=MID("JABCDEFGHI",MOD(10-MOD((VALUE(MID(UPPER(TRIM(D22)),3,1))+VALUE(MID(UPPER(TRIM(D22)),5,1))+VALUE(MID(UPPER(TRIM(D22)),7,1)))+(INT(2*VALUE(MID(UPPER(TRIM(D22)),2,1))/10)+MOD(2*VALUE(MID(UPPER(TRIM(D22)),2,1)),10))+(INT(2*VALUE(MID(UPPER(TRIM(D22)),4,1))/10)+MOD(2*VALUE(MID(UPPER(TRIM(D22)),4,1)),10))+(INT(2*VALUE(MID(UPPER(TRIM(D22)),6,1))/10)+MOD(2*VALUE(MID(UPPER(TRIM(D22)),6,1)),10))+(INT(2*VALUE(MID(UPPER(TRIM(D22)),8,1))/10)+MOD(2*VALUE(MID(UPPER(TRIM(D22)),8,1)),10)),10),10)+1,1)),"OK","REVISAR")),"REVISAR")))</f>
        <v/>
      </c>
      <c r="Q22">
        <f>IF(B22="","",IF(COUNTIFS($B$2:$B$501,B22,$D$2:$D$501,D22)&gt;1,"DUPLICADA",""))</f>
        <v/>
      </c>
      <c r="R22">
        <f>IF(A22="","",ROUNDUP(MONTH(A22)/3,0))</f>
        <v/>
      </c>
      <c r="S22" s="3" t="n"/>
    </row>
    <row r="23">
      <c r="A23" s="2" t="n"/>
      <c r="B23" s="3" t="n"/>
      <c r="C23" s="3" t="n"/>
      <c r="D23" s="3" t="n"/>
      <c r="E23" s="4" t="n"/>
      <c r="F23" s="4" t="n"/>
      <c r="G23" s="4" t="n"/>
      <c r="H23" s="4" t="n"/>
      <c r="I23" s="5">
        <f>IF(E23="","",ROUND(E23*0.21,2))</f>
        <v/>
      </c>
      <c r="J23" s="5">
        <f>IF(F23="","",ROUND(F23*0.1,2))</f>
        <v/>
      </c>
      <c r="K23" s="5">
        <f>IF(G23="","",ROUND(G23*0.04,2))</f>
        <v/>
      </c>
      <c r="L23" s="4" t="n"/>
      <c r="M23" s="4" t="n"/>
      <c r="N23" s="5">
        <f>IF(A23="","",SUM(E23:K23)-N(L23))</f>
        <v/>
      </c>
      <c r="O23">
        <f>IF(OR(A23="",M23=""),"",IF(ABS(M23-N23)&lt;=0.02,"OK","REVISAR"))</f>
        <v/>
      </c>
      <c r="P23">
        <f>IF(D23="","",IF(LEN(TRIM(D23))&lt;&gt;9,"REVISAR",IFERROR(IF(OR(ISNUMBER(VALUE(LEFT(UPPER(TRIM(D23)),1))),LEFT(UPPER(TRIM(D23)),1)="X",LEFT(UPPER(TRIM(D23)),1)="Y",LEFT(UPPER(TRIM(D23)),1)="Z"),IF(MID("TRWAGMYFPDXBNJZSQVHLCKE",MOD(VALUE(SUBSTITUTE(SUBSTITUTE(SUBSTITUTE(LEFT(UPPER(TRIM(D23)),8),"X","0"),"Y","1"),"Z","2")),23)+1,1)=RIGHT(UPPER(TRIM(D23)),1),"OK","REVISAR"),IF(OR(RIGHT(UPPER(TRIM(D23)),1)=TEXT(MOD(10-MOD((VALUE(MID(UPPER(TRIM(D23)),3,1))+VALUE(MID(UPPER(TRIM(D23)),5,1))+VALUE(MID(UPPER(TRIM(D23)),7,1)))+(INT(2*VALUE(MID(UPPER(TRIM(D23)),2,1))/10)+MOD(2*VALUE(MID(UPPER(TRIM(D23)),2,1)),10))+(INT(2*VALUE(MID(UPPER(TRIM(D23)),4,1))/10)+MOD(2*VALUE(MID(UPPER(TRIM(D23)),4,1)),10))+(INT(2*VALUE(MID(UPPER(TRIM(D23)),6,1))/10)+MOD(2*VALUE(MID(UPPER(TRIM(D23)),6,1)),10))+(INT(2*VALUE(MID(UPPER(TRIM(D23)),8,1))/10)+MOD(2*VALUE(MID(UPPER(TRIM(D23)),8,1)),10)),10),10),"0"),RIGHT(UPPER(TRIM(D23)),1)=MID("JABCDEFGHI",MOD(10-MOD((VALUE(MID(UPPER(TRIM(D23)),3,1))+VALUE(MID(UPPER(TRIM(D23)),5,1))+VALUE(MID(UPPER(TRIM(D23)),7,1)))+(INT(2*VALUE(MID(UPPER(TRIM(D23)),2,1))/10)+MOD(2*VALUE(MID(UPPER(TRIM(D23)),2,1)),10))+(INT(2*VALUE(MID(UPPER(TRIM(D23)),4,1))/10)+MOD(2*VALUE(MID(UPPER(TRIM(D23)),4,1)),10))+(INT(2*VALUE(MID(UPPER(TRIM(D23)),6,1))/10)+MOD(2*VALUE(MID(UPPER(TRIM(D23)),6,1)),10))+(INT(2*VALUE(MID(UPPER(TRIM(D23)),8,1))/10)+MOD(2*VALUE(MID(UPPER(TRIM(D23)),8,1)),10)),10),10)+1,1)),"OK","REVISAR")),"REVISAR")))</f>
        <v/>
      </c>
      <c r="Q23">
        <f>IF(B23="","",IF(COUNTIFS($B$2:$B$501,B23,$D$2:$D$501,D23)&gt;1,"DUPLICADA",""))</f>
        <v/>
      </c>
      <c r="R23">
        <f>IF(A23="","",ROUNDUP(MONTH(A23)/3,0))</f>
        <v/>
      </c>
      <c r="S23" s="3" t="n"/>
    </row>
    <row r="24">
      <c r="A24" s="2" t="n"/>
      <c r="B24" s="3" t="n"/>
      <c r="C24" s="3" t="n"/>
      <c r="D24" s="3" t="n"/>
      <c r="E24" s="4" t="n"/>
      <c r="F24" s="4" t="n"/>
      <c r="G24" s="4" t="n"/>
      <c r="H24" s="4" t="n"/>
      <c r="I24" s="5">
        <f>IF(E24="","",ROUND(E24*0.21,2))</f>
        <v/>
      </c>
      <c r="J24" s="5">
        <f>IF(F24="","",ROUND(F24*0.1,2))</f>
        <v/>
      </c>
      <c r="K24" s="5">
        <f>IF(G24="","",ROUND(G24*0.04,2))</f>
        <v/>
      </c>
      <c r="L24" s="4" t="n"/>
      <c r="M24" s="4" t="n"/>
      <c r="N24" s="5">
        <f>IF(A24="","",SUM(E24:K24)-N(L24))</f>
        <v/>
      </c>
      <c r="O24">
        <f>IF(OR(A24="",M24=""),"",IF(ABS(M24-N24)&lt;=0.02,"OK","REVISAR"))</f>
        <v/>
      </c>
      <c r="P24">
        <f>IF(D24="","",IF(LEN(TRIM(D24))&lt;&gt;9,"REVISAR",IFERROR(IF(OR(ISNUMBER(VALUE(LEFT(UPPER(TRIM(D24)),1))),LEFT(UPPER(TRIM(D24)),1)="X",LEFT(UPPER(TRIM(D24)),1)="Y",LEFT(UPPER(TRIM(D24)),1)="Z"),IF(MID("TRWAGMYFPDXBNJZSQVHLCKE",MOD(VALUE(SUBSTITUTE(SUBSTITUTE(SUBSTITUTE(LEFT(UPPER(TRIM(D24)),8),"X","0"),"Y","1"),"Z","2")),23)+1,1)=RIGHT(UPPER(TRIM(D24)),1),"OK","REVISAR"),IF(OR(RIGHT(UPPER(TRIM(D24)),1)=TEXT(MOD(10-MOD((VALUE(MID(UPPER(TRIM(D24)),3,1))+VALUE(MID(UPPER(TRIM(D24)),5,1))+VALUE(MID(UPPER(TRIM(D24)),7,1)))+(INT(2*VALUE(MID(UPPER(TRIM(D24)),2,1))/10)+MOD(2*VALUE(MID(UPPER(TRIM(D24)),2,1)),10))+(INT(2*VALUE(MID(UPPER(TRIM(D24)),4,1))/10)+MOD(2*VALUE(MID(UPPER(TRIM(D24)),4,1)),10))+(INT(2*VALUE(MID(UPPER(TRIM(D24)),6,1))/10)+MOD(2*VALUE(MID(UPPER(TRIM(D24)),6,1)),10))+(INT(2*VALUE(MID(UPPER(TRIM(D24)),8,1))/10)+MOD(2*VALUE(MID(UPPER(TRIM(D24)),8,1)),10)),10),10),"0"),RIGHT(UPPER(TRIM(D24)),1)=MID("JABCDEFGHI",MOD(10-MOD((VALUE(MID(UPPER(TRIM(D24)),3,1))+VALUE(MID(UPPER(TRIM(D24)),5,1))+VALUE(MID(UPPER(TRIM(D24)),7,1)))+(INT(2*VALUE(MID(UPPER(TRIM(D24)),2,1))/10)+MOD(2*VALUE(MID(UPPER(TRIM(D24)),2,1)),10))+(INT(2*VALUE(MID(UPPER(TRIM(D24)),4,1))/10)+MOD(2*VALUE(MID(UPPER(TRIM(D24)),4,1)),10))+(INT(2*VALUE(MID(UPPER(TRIM(D24)),6,1))/10)+MOD(2*VALUE(MID(UPPER(TRIM(D24)),6,1)),10))+(INT(2*VALUE(MID(UPPER(TRIM(D24)),8,1))/10)+MOD(2*VALUE(MID(UPPER(TRIM(D24)),8,1)),10)),10),10)+1,1)),"OK","REVISAR")),"REVISAR")))</f>
        <v/>
      </c>
      <c r="Q24">
        <f>IF(B24="","",IF(COUNTIFS($B$2:$B$501,B24,$D$2:$D$501,D24)&gt;1,"DUPLICADA",""))</f>
        <v/>
      </c>
      <c r="R24">
        <f>IF(A24="","",ROUNDUP(MONTH(A24)/3,0))</f>
        <v/>
      </c>
      <c r="S24" s="3" t="n"/>
    </row>
    <row r="25">
      <c r="A25" s="2" t="n"/>
      <c r="B25" s="3" t="n"/>
      <c r="C25" s="3" t="n"/>
      <c r="D25" s="3" t="n"/>
      <c r="E25" s="4" t="n"/>
      <c r="F25" s="4" t="n"/>
      <c r="G25" s="4" t="n"/>
      <c r="H25" s="4" t="n"/>
      <c r="I25" s="5">
        <f>IF(E25="","",ROUND(E25*0.21,2))</f>
        <v/>
      </c>
      <c r="J25" s="5">
        <f>IF(F25="","",ROUND(F25*0.1,2))</f>
        <v/>
      </c>
      <c r="K25" s="5">
        <f>IF(G25="","",ROUND(G25*0.04,2))</f>
        <v/>
      </c>
      <c r="L25" s="4" t="n"/>
      <c r="M25" s="4" t="n"/>
      <c r="N25" s="5">
        <f>IF(A25="","",SUM(E25:K25)-N(L25))</f>
        <v/>
      </c>
      <c r="O25">
        <f>IF(OR(A25="",M25=""),"",IF(ABS(M25-N25)&lt;=0.02,"OK","REVISAR"))</f>
        <v/>
      </c>
      <c r="P25">
        <f>IF(D25="","",IF(LEN(TRIM(D25))&lt;&gt;9,"REVISAR",IFERROR(IF(OR(ISNUMBER(VALUE(LEFT(UPPER(TRIM(D25)),1))),LEFT(UPPER(TRIM(D25)),1)="X",LEFT(UPPER(TRIM(D25)),1)="Y",LEFT(UPPER(TRIM(D25)),1)="Z"),IF(MID("TRWAGMYFPDXBNJZSQVHLCKE",MOD(VALUE(SUBSTITUTE(SUBSTITUTE(SUBSTITUTE(LEFT(UPPER(TRIM(D25)),8),"X","0"),"Y","1"),"Z","2")),23)+1,1)=RIGHT(UPPER(TRIM(D25)),1),"OK","REVISAR"),IF(OR(RIGHT(UPPER(TRIM(D25)),1)=TEXT(MOD(10-MOD((VALUE(MID(UPPER(TRIM(D25)),3,1))+VALUE(MID(UPPER(TRIM(D25)),5,1))+VALUE(MID(UPPER(TRIM(D25)),7,1)))+(INT(2*VALUE(MID(UPPER(TRIM(D25)),2,1))/10)+MOD(2*VALUE(MID(UPPER(TRIM(D25)),2,1)),10))+(INT(2*VALUE(MID(UPPER(TRIM(D25)),4,1))/10)+MOD(2*VALUE(MID(UPPER(TRIM(D25)),4,1)),10))+(INT(2*VALUE(MID(UPPER(TRIM(D25)),6,1))/10)+MOD(2*VALUE(MID(UPPER(TRIM(D25)),6,1)),10))+(INT(2*VALUE(MID(UPPER(TRIM(D25)),8,1))/10)+MOD(2*VALUE(MID(UPPER(TRIM(D25)),8,1)),10)),10),10),"0"),RIGHT(UPPER(TRIM(D25)),1)=MID("JABCDEFGHI",MOD(10-MOD((VALUE(MID(UPPER(TRIM(D25)),3,1))+VALUE(MID(UPPER(TRIM(D25)),5,1))+VALUE(MID(UPPER(TRIM(D25)),7,1)))+(INT(2*VALUE(MID(UPPER(TRIM(D25)),2,1))/10)+MOD(2*VALUE(MID(UPPER(TRIM(D25)),2,1)),10))+(INT(2*VALUE(MID(UPPER(TRIM(D25)),4,1))/10)+MOD(2*VALUE(MID(UPPER(TRIM(D25)),4,1)),10))+(INT(2*VALUE(MID(UPPER(TRIM(D25)),6,1))/10)+MOD(2*VALUE(MID(UPPER(TRIM(D25)),6,1)),10))+(INT(2*VALUE(MID(UPPER(TRIM(D25)),8,1))/10)+MOD(2*VALUE(MID(UPPER(TRIM(D25)),8,1)),10)),10),10)+1,1)),"OK","REVISAR")),"REVISAR")))</f>
        <v/>
      </c>
      <c r="Q25">
        <f>IF(B25="","",IF(COUNTIFS($B$2:$B$501,B25,$D$2:$D$501,D25)&gt;1,"DUPLICADA",""))</f>
        <v/>
      </c>
      <c r="R25">
        <f>IF(A25="","",ROUNDUP(MONTH(A25)/3,0))</f>
        <v/>
      </c>
      <c r="S25" s="3" t="n"/>
    </row>
    <row r="26">
      <c r="A26" s="2" t="n"/>
      <c r="B26" s="3" t="n"/>
      <c r="C26" s="3" t="n"/>
      <c r="D26" s="3" t="n"/>
      <c r="E26" s="4" t="n"/>
      <c r="F26" s="4" t="n"/>
      <c r="G26" s="4" t="n"/>
      <c r="H26" s="4" t="n"/>
      <c r="I26" s="5">
        <f>IF(E26="","",ROUND(E26*0.21,2))</f>
        <v/>
      </c>
      <c r="J26" s="5">
        <f>IF(F26="","",ROUND(F26*0.1,2))</f>
        <v/>
      </c>
      <c r="K26" s="5">
        <f>IF(G26="","",ROUND(G26*0.04,2))</f>
        <v/>
      </c>
      <c r="L26" s="4" t="n"/>
      <c r="M26" s="4" t="n"/>
      <c r="N26" s="5">
        <f>IF(A26="","",SUM(E26:K26)-N(L26))</f>
        <v/>
      </c>
      <c r="O26">
        <f>IF(OR(A26="",M26=""),"",IF(ABS(M26-N26)&lt;=0.02,"OK","REVISAR"))</f>
        <v/>
      </c>
      <c r="P26">
        <f>IF(D26="","",IF(LEN(TRIM(D26))&lt;&gt;9,"REVISAR",IFERROR(IF(OR(ISNUMBER(VALUE(LEFT(UPPER(TRIM(D26)),1))),LEFT(UPPER(TRIM(D26)),1)="X",LEFT(UPPER(TRIM(D26)),1)="Y",LEFT(UPPER(TRIM(D26)),1)="Z"),IF(MID("TRWAGMYFPDXBNJZSQVHLCKE",MOD(VALUE(SUBSTITUTE(SUBSTITUTE(SUBSTITUTE(LEFT(UPPER(TRIM(D26)),8),"X","0"),"Y","1"),"Z","2")),23)+1,1)=RIGHT(UPPER(TRIM(D26)),1),"OK","REVISAR"),IF(OR(RIGHT(UPPER(TRIM(D26)),1)=TEXT(MOD(10-MOD((VALUE(MID(UPPER(TRIM(D26)),3,1))+VALUE(MID(UPPER(TRIM(D26)),5,1))+VALUE(MID(UPPER(TRIM(D26)),7,1)))+(INT(2*VALUE(MID(UPPER(TRIM(D26)),2,1))/10)+MOD(2*VALUE(MID(UPPER(TRIM(D26)),2,1)),10))+(INT(2*VALUE(MID(UPPER(TRIM(D26)),4,1))/10)+MOD(2*VALUE(MID(UPPER(TRIM(D26)),4,1)),10))+(INT(2*VALUE(MID(UPPER(TRIM(D26)),6,1))/10)+MOD(2*VALUE(MID(UPPER(TRIM(D26)),6,1)),10))+(INT(2*VALUE(MID(UPPER(TRIM(D26)),8,1))/10)+MOD(2*VALUE(MID(UPPER(TRIM(D26)),8,1)),10)),10),10),"0"),RIGHT(UPPER(TRIM(D26)),1)=MID("JABCDEFGHI",MOD(10-MOD((VALUE(MID(UPPER(TRIM(D26)),3,1))+VALUE(MID(UPPER(TRIM(D26)),5,1))+VALUE(MID(UPPER(TRIM(D26)),7,1)))+(INT(2*VALUE(MID(UPPER(TRIM(D26)),2,1))/10)+MOD(2*VALUE(MID(UPPER(TRIM(D26)),2,1)),10))+(INT(2*VALUE(MID(UPPER(TRIM(D26)),4,1))/10)+MOD(2*VALUE(MID(UPPER(TRIM(D26)),4,1)),10))+(INT(2*VALUE(MID(UPPER(TRIM(D26)),6,1))/10)+MOD(2*VALUE(MID(UPPER(TRIM(D26)),6,1)),10))+(INT(2*VALUE(MID(UPPER(TRIM(D26)),8,1))/10)+MOD(2*VALUE(MID(UPPER(TRIM(D26)),8,1)),10)),10),10)+1,1)),"OK","REVISAR")),"REVISAR")))</f>
        <v/>
      </c>
      <c r="Q26">
        <f>IF(B26="","",IF(COUNTIFS($B$2:$B$501,B26,$D$2:$D$501,D26)&gt;1,"DUPLICADA",""))</f>
        <v/>
      </c>
      <c r="R26">
        <f>IF(A26="","",ROUNDUP(MONTH(A26)/3,0))</f>
        <v/>
      </c>
      <c r="S26" s="3" t="n"/>
    </row>
    <row r="27">
      <c r="A27" s="2" t="n"/>
      <c r="B27" s="3" t="n"/>
      <c r="C27" s="3" t="n"/>
      <c r="D27" s="3" t="n"/>
      <c r="E27" s="4" t="n"/>
      <c r="F27" s="4" t="n"/>
      <c r="G27" s="4" t="n"/>
      <c r="H27" s="4" t="n"/>
      <c r="I27" s="5">
        <f>IF(E27="","",ROUND(E27*0.21,2))</f>
        <v/>
      </c>
      <c r="J27" s="5">
        <f>IF(F27="","",ROUND(F27*0.1,2))</f>
        <v/>
      </c>
      <c r="K27" s="5">
        <f>IF(G27="","",ROUND(G27*0.04,2))</f>
        <v/>
      </c>
      <c r="L27" s="4" t="n"/>
      <c r="M27" s="4" t="n"/>
      <c r="N27" s="5">
        <f>IF(A27="","",SUM(E27:K27)-N(L27))</f>
        <v/>
      </c>
      <c r="O27">
        <f>IF(OR(A27="",M27=""),"",IF(ABS(M27-N27)&lt;=0.02,"OK","REVISAR"))</f>
        <v/>
      </c>
      <c r="P27">
        <f>IF(D27="","",IF(LEN(TRIM(D27))&lt;&gt;9,"REVISAR",IFERROR(IF(OR(ISNUMBER(VALUE(LEFT(UPPER(TRIM(D27)),1))),LEFT(UPPER(TRIM(D27)),1)="X",LEFT(UPPER(TRIM(D27)),1)="Y",LEFT(UPPER(TRIM(D27)),1)="Z"),IF(MID("TRWAGMYFPDXBNJZSQVHLCKE",MOD(VALUE(SUBSTITUTE(SUBSTITUTE(SUBSTITUTE(LEFT(UPPER(TRIM(D27)),8),"X","0"),"Y","1"),"Z","2")),23)+1,1)=RIGHT(UPPER(TRIM(D27)),1),"OK","REVISAR"),IF(OR(RIGHT(UPPER(TRIM(D27)),1)=TEXT(MOD(10-MOD((VALUE(MID(UPPER(TRIM(D27)),3,1))+VALUE(MID(UPPER(TRIM(D27)),5,1))+VALUE(MID(UPPER(TRIM(D27)),7,1)))+(INT(2*VALUE(MID(UPPER(TRIM(D27)),2,1))/10)+MOD(2*VALUE(MID(UPPER(TRIM(D27)),2,1)),10))+(INT(2*VALUE(MID(UPPER(TRIM(D27)),4,1))/10)+MOD(2*VALUE(MID(UPPER(TRIM(D27)),4,1)),10))+(INT(2*VALUE(MID(UPPER(TRIM(D27)),6,1))/10)+MOD(2*VALUE(MID(UPPER(TRIM(D27)),6,1)),10))+(INT(2*VALUE(MID(UPPER(TRIM(D27)),8,1))/10)+MOD(2*VALUE(MID(UPPER(TRIM(D27)),8,1)),10)),10),10),"0"),RIGHT(UPPER(TRIM(D27)),1)=MID("JABCDEFGHI",MOD(10-MOD((VALUE(MID(UPPER(TRIM(D27)),3,1))+VALUE(MID(UPPER(TRIM(D27)),5,1))+VALUE(MID(UPPER(TRIM(D27)),7,1)))+(INT(2*VALUE(MID(UPPER(TRIM(D27)),2,1))/10)+MOD(2*VALUE(MID(UPPER(TRIM(D27)),2,1)),10))+(INT(2*VALUE(MID(UPPER(TRIM(D27)),4,1))/10)+MOD(2*VALUE(MID(UPPER(TRIM(D27)),4,1)),10))+(INT(2*VALUE(MID(UPPER(TRIM(D27)),6,1))/10)+MOD(2*VALUE(MID(UPPER(TRIM(D27)),6,1)),10))+(INT(2*VALUE(MID(UPPER(TRIM(D27)),8,1))/10)+MOD(2*VALUE(MID(UPPER(TRIM(D27)),8,1)),10)),10),10)+1,1)),"OK","REVISAR")),"REVISAR")))</f>
        <v/>
      </c>
      <c r="Q27">
        <f>IF(B27="","",IF(COUNTIFS($B$2:$B$501,B27,$D$2:$D$501,D27)&gt;1,"DUPLICADA",""))</f>
        <v/>
      </c>
      <c r="R27">
        <f>IF(A27="","",ROUNDUP(MONTH(A27)/3,0))</f>
        <v/>
      </c>
      <c r="S27" s="3" t="n"/>
    </row>
    <row r="28">
      <c r="A28" s="2" t="n"/>
      <c r="B28" s="3" t="n"/>
      <c r="C28" s="3" t="n"/>
      <c r="D28" s="3" t="n"/>
      <c r="E28" s="4" t="n"/>
      <c r="F28" s="4" t="n"/>
      <c r="G28" s="4" t="n"/>
      <c r="H28" s="4" t="n"/>
      <c r="I28" s="5">
        <f>IF(E28="","",ROUND(E28*0.21,2))</f>
        <v/>
      </c>
      <c r="J28" s="5">
        <f>IF(F28="","",ROUND(F28*0.1,2))</f>
        <v/>
      </c>
      <c r="K28" s="5">
        <f>IF(G28="","",ROUND(G28*0.04,2))</f>
        <v/>
      </c>
      <c r="L28" s="4" t="n"/>
      <c r="M28" s="4" t="n"/>
      <c r="N28" s="5">
        <f>IF(A28="","",SUM(E28:K28)-N(L28))</f>
        <v/>
      </c>
      <c r="O28">
        <f>IF(OR(A28="",M28=""),"",IF(ABS(M28-N28)&lt;=0.02,"OK","REVISAR"))</f>
        <v/>
      </c>
      <c r="P28">
        <f>IF(D28="","",IF(LEN(TRIM(D28))&lt;&gt;9,"REVISAR",IFERROR(IF(OR(ISNUMBER(VALUE(LEFT(UPPER(TRIM(D28)),1))),LEFT(UPPER(TRIM(D28)),1)="X",LEFT(UPPER(TRIM(D28)),1)="Y",LEFT(UPPER(TRIM(D28)),1)="Z"),IF(MID("TRWAGMYFPDXBNJZSQVHLCKE",MOD(VALUE(SUBSTITUTE(SUBSTITUTE(SUBSTITUTE(LEFT(UPPER(TRIM(D28)),8),"X","0"),"Y","1"),"Z","2")),23)+1,1)=RIGHT(UPPER(TRIM(D28)),1),"OK","REVISAR"),IF(OR(RIGHT(UPPER(TRIM(D28)),1)=TEXT(MOD(10-MOD((VALUE(MID(UPPER(TRIM(D28)),3,1))+VALUE(MID(UPPER(TRIM(D28)),5,1))+VALUE(MID(UPPER(TRIM(D28)),7,1)))+(INT(2*VALUE(MID(UPPER(TRIM(D28)),2,1))/10)+MOD(2*VALUE(MID(UPPER(TRIM(D28)),2,1)),10))+(INT(2*VALUE(MID(UPPER(TRIM(D28)),4,1))/10)+MOD(2*VALUE(MID(UPPER(TRIM(D28)),4,1)),10))+(INT(2*VALUE(MID(UPPER(TRIM(D28)),6,1))/10)+MOD(2*VALUE(MID(UPPER(TRIM(D28)),6,1)),10))+(INT(2*VALUE(MID(UPPER(TRIM(D28)),8,1))/10)+MOD(2*VALUE(MID(UPPER(TRIM(D28)),8,1)),10)),10),10),"0"),RIGHT(UPPER(TRIM(D28)),1)=MID("JABCDEFGHI",MOD(10-MOD((VALUE(MID(UPPER(TRIM(D28)),3,1))+VALUE(MID(UPPER(TRIM(D28)),5,1))+VALUE(MID(UPPER(TRIM(D28)),7,1)))+(INT(2*VALUE(MID(UPPER(TRIM(D28)),2,1))/10)+MOD(2*VALUE(MID(UPPER(TRIM(D28)),2,1)),10))+(INT(2*VALUE(MID(UPPER(TRIM(D28)),4,1))/10)+MOD(2*VALUE(MID(UPPER(TRIM(D28)),4,1)),10))+(INT(2*VALUE(MID(UPPER(TRIM(D28)),6,1))/10)+MOD(2*VALUE(MID(UPPER(TRIM(D28)),6,1)),10))+(INT(2*VALUE(MID(UPPER(TRIM(D28)),8,1))/10)+MOD(2*VALUE(MID(UPPER(TRIM(D28)),8,1)),10)),10),10)+1,1)),"OK","REVISAR")),"REVISAR")))</f>
        <v/>
      </c>
      <c r="Q28">
        <f>IF(B28="","",IF(COUNTIFS($B$2:$B$501,B28,$D$2:$D$501,D28)&gt;1,"DUPLICADA",""))</f>
        <v/>
      </c>
      <c r="R28">
        <f>IF(A28="","",ROUNDUP(MONTH(A28)/3,0))</f>
        <v/>
      </c>
      <c r="S28" s="3" t="n"/>
    </row>
    <row r="29">
      <c r="A29" s="2" t="n"/>
      <c r="B29" s="3" t="n"/>
      <c r="C29" s="3" t="n"/>
      <c r="D29" s="3" t="n"/>
      <c r="E29" s="4" t="n"/>
      <c r="F29" s="4" t="n"/>
      <c r="G29" s="4" t="n"/>
      <c r="H29" s="4" t="n"/>
      <c r="I29" s="5">
        <f>IF(E29="","",ROUND(E29*0.21,2))</f>
        <v/>
      </c>
      <c r="J29" s="5">
        <f>IF(F29="","",ROUND(F29*0.1,2))</f>
        <v/>
      </c>
      <c r="K29" s="5">
        <f>IF(G29="","",ROUND(G29*0.04,2))</f>
        <v/>
      </c>
      <c r="L29" s="4" t="n"/>
      <c r="M29" s="4" t="n"/>
      <c r="N29" s="5">
        <f>IF(A29="","",SUM(E29:K29)-N(L29))</f>
        <v/>
      </c>
      <c r="O29">
        <f>IF(OR(A29="",M29=""),"",IF(ABS(M29-N29)&lt;=0.02,"OK","REVISAR"))</f>
        <v/>
      </c>
      <c r="P29">
        <f>IF(D29="","",IF(LEN(TRIM(D29))&lt;&gt;9,"REVISAR",IFERROR(IF(OR(ISNUMBER(VALUE(LEFT(UPPER(TRIM(D29)),1))),LEFT(UPPER(TRIM(D29)),1)="X",LEFT(UPPER(TRIM(D29)),1)="Y",LEFT(UPPER(TRIM(D29)),1)="Z"),IF(MID("TRWAGMYFPDXBNJZSQVHLCKE",MOD(VALUE(SUBSTITUTE(SUBSTITUTE(SUBSTITUTE(LEFT(UPPER(TRIM(D29)),8),"X","0"),"Y","1"),"Z","2")),23)+1,1)=RIGHT(UPPER(TRIM(D29)),1),"OK","REVISAR"),IF(OR(RIGHT(UPPER(TRIM(D29)),1)=TEXT(MOD(10-MOD((VALUE(MID(UPPER(TRIM(D29)),3,1))+VALUE(MID(UPPER(TRIM(D29)),5,1))+VALUE(MID(UPPER(TRIM(D29)),7,1)))+(INT(2*VALUE(MID(UPPER(TRIM(D29)),2,1))/10)+MOD(2*VALUE(MID(UPPER(TRIM(D29)),2,1)),10))+(INT(2*VALUE(MID(UPPER(TRIM(D29)),4,1))/10)+MOD(2*VALUE(MID(UPPER(TRIM(D29)),4,1)),10))+(INT(2*VALUE(MID(UPPER(TRIM(D29)),6,1))/10)+MOD(2*VALUE(MID(UPPER(TRIM(D29)),6,1)),10))+(INT(2*VALUE(MID(UPPER(TRIM(D29)),8,1))/10)+MOD(2*VALUE(MID(UPPER(TRIM(D29)),8,1)),10)),10),10),"0"),RIGHT(UPPER(TRIM(D29)),1)=MID("JABCDEFGHI",MOD(10-MOD((VALUE(MID(UPPER(TRIM(D29)),3,1))+VALUE(MID(UPPER(TRIM(D29)),5,1))+VALUE(MID(UPPER(TRIM(D29)),7,1)))+(INT(2*VALUE(MID(UPPER(TRIM(D29)),2,1))/10)+MOD(2*VALUE(MID(UPPER(TRIM(D29)),2,1)),10))+(INT(2*VALUE(MID(UPPER(TRIM(D29)),4,1))/10)+MOD(2*VALUE(MID(UPPER(TRIM(D29)),4,1)),10))+(INT(2*VALUE(MID(UPPER(TRIM(D29)),6,1))/10)+MOD(2*VALUE(MID(UPPER(TRIM(D29)),6,1)),10))+(INT(2*VALUE(MID(UPPER(TRIM(D29)),8,1))/10)+MOD(2*VALUE(MID(UPPER(TRIM(D29)),8,1)),10)),10),10)+1,1)),"OK","REVISAR")),"REVISAR")))</f>
        <v/>
      </c>
      <c r="Q29">
        <f>IF(B29="","",IF(COUNTIFS($B$2:$B$501,B29,$D$2:$D$501,D29)&gt;1,"DUPLICADA",""))</f>
        <v/>
      </c>
      <c r="R29">
        <f>IF(A29="","",ROUNDUP(MONTH(A29)/3,0))</f>
        <v/>
      </c>
      <c r="S29" s="3" t="n"/>
    </row>
    <row r="30">
      <c r="A30" s="2" t="n"/>
      <c r="B30" s="3" t="n"/>
      <c r="C30" s="3" t="n"/>
      <c r="D30" s="3" t="n"/>
      <c r="E30" s="4" t="n"/>
      <c r="F30" s="4" t="n"/>
      <c r="G30" s="4" t="n"/>
      <c r="H30" s="4" t="n"/>
      <c r="I30" s="5">
        <f>IF(E30="","",ROUND(E30*0.21,2))</f>
        <v/>
      </c>
      <c r="J30" s="5">
        <f>IF(F30="","",ROUND(F30*0.1,2))</f>
        <v/>
      </c>
      <c r="K30" s="5">
        <f>IF(G30="","",ROUND(G30*0.04,2))</f>
        <v/>
      </c>
      <c r="L30" s="4" t="n"/>
      <c r="M30" s="4" t="n"/>
      <c r="N30" s="5">
        <f>IF(A30="","",SUM(E30:K30)-N(L30))</f>
        <v/>
      </c>
      <c r="O30">
        <f>IF(OR(A30="",M30=""),"",IF(ABS(M30-N30)&lt;=0.02,"OK","REVISAR"))</f>
        <v/>
      </c>
      <c r="P30">
        <f>IF(D30="","",IF(LEN(TRIM(D30))&lt;&gt;9,"REVISAR",IFERROR(IF(OR(ISNUMBER(VALUE(LEFT(UPPER(TRIM(D30)),1))),LEFT(UPPER(TRIM(D30)),1)="X",LEFT(UPPER(TRIM(D30)),1)="Y",LEFT(UPPER(TRIM(D30)),1)="Z"),IF(MID("TRWAGMYFPDXBNJZSQVHLCKE",MOD(VALUE(SUBSTITUTE(SUBSTITUTE(SUBSTITUTE(LEFT(UPPER(TRIM(D30)),8),"X","0"),"Y","1"),"Z","2")),23)+1,1)=RIGHT(UPPER(TRIM(D30)),1),"OK","REVISAR"),IF(OR(RIGHT(UPPER(TRIM(D30)),1)=TEXT(MOD(10-MOD((VALUE(MID(UPPER(TRIM(D30)),3,1))+VALUE(MID(UPPER(TRIM(D30)),5,1))+VALUE(MID(UPPER(TRIM(D30)),7,1)))+(INT(2*VALUE(MID(UPPER(TRIM(D30)),2,1))/10)+MOD(2*VALUE(MID(UPPER(TRIM(D30)),2,1)),10))+(INT(2*VALUE(MID(UPPER(TRIM(D30)),4,1))/10)+MOD(2*VALUE(MID(UPPER(TRIM(D30)),4,1)),10))+(INT(2*VALUE(MID(UPPER(TRIM(D30)),6,1))/10)+MOD(2*VALUE(MID(UPPER(TRIM(D30)),6,1)),10))+(INT(2*VALUE(MID(UPPER(TRIM(D30)),8,1))/10)+MOD(2*VALUE(MID(UPPER(TRIM(D30)),8,1)),10)),10),10),"0"),RIGHT(UPPER(TRIM(D30)),1)=MID("JABCDEFGHI",MOD(10-MOD((VALUE(MID(UPPER(TRIM(D30)),3,1))+VALUE(MID(UPPER(TRIM(D30)),5,1))+VALUE(MID(UPPER(TRIM(D30)),7,1)))+(INT(2*VALUE(MID(UPPER(TRIM(D30)),2,1))/10)+MOD(2*VALUE(MID(UPPER(TRIM(D30)),2,1)),10))+(INT(2*VALUE(MID(UPPER(TRIM(D30)),4,1))/10)+MOD(2*VALUE(MID(UPPER(TRIM(D30)),4,1)),10))+(INT(2*VALUE(MID(UPPER(TRIM(D30)),6,1))/10)+MOD(2*VALUE(MID(UPPER(TRIM(D30)),6,1)),10))+(INT(2*VALUE(MID(UPPER(TRIM(D30)),8,1))/10)+MOD(2*VALUE(MID(UPPER(TRIM(D30)),8,1)),10)),10),10)+1,1)),"OK","REVISAR")),"REVISAR")))</f>
        <v/>
      </c>
      <c r="Q30">
        <f>IF(B30="","",IF(COUNTIFS($B$2:$B$501,B30,$D$2:$D$501,D30)&gt;1,"DUPLICADA",""))</f>
        <v/>
      </c>
      <c r="R30">
        <f>IF(A30="","",ROUNDUP(MONTH(A30)/3,0))</f>
        <v/>
      </c>
      <c r="S30" s="3" t="n"/>
    </row>
    <row r="31">
      <c r="A31" s="2" t="n"/>
      <c r="B31" s="3" t="n"/>
      <c r="C31" s="3" t="n"/>
      <c r="D31" s="3" t="n"/>
      <c r="E31" s="4" t="n"/>
      <c r="F31" s="4" t="n"/>
      <c r="G31" s="4" t="n"/>
      <c r="H31" s="4" t="n"/>
      <c r="I31" s="5">
        <f>IF(E31="","",ROUND(E31*0.21,2))</f>
        <v/>
      </c>
      <c r="J31" s="5">
        <f>IF(F31="","",ROUND(F31*0.1,2))</f>
        <v/>
      </c>
      <c r="K31" s="5">
        <f>IF(G31="","",ROUND(G31*0.04,2))</f>
        <v/>
      </c>
      <c r="L31" s="4" t="n"/>
      <c r="M31" s="4" t="n"/>
      <c r="N31" s="5">
        <f>IF(A31="","",SUM(E31:K31)-N(L31))</f>
        <v/>
      </c>
      <c r="O31">
        <f>IF(OR(A31="",M31=""),"",IF(ABS(M31-N31)&lt;=0.02,"OK","REVISAR"))</f>
        <v/>
      </c>
      <c r="P31">
        <f>IF(D31="","",IF(LEN(TRIM(D31))&lt;&gt;9,"REVISAR",IFERROR(IF(OR(ISNUMBER(VALUE(LEFT(UPPER(TRIM(D31)),1))),LEFT(UPPER(TRIM(D31)),1)="X",LEFT(UPPER(TRIM(D31)),1)="Y",LEFT(UPPER(TRIM(D31)),1)="Z"),IF(MID("TRWAGMYFPDXBNJZSQVHLCKE",MOD(VALUE(SUBSTITUTE(SUBSTITUTE(SUBSTITUTE(LEFT(UPPER(TRIM(D31)),8),"X","0"),"Y","1"),"Z","2")),23)+1,1)=RIGHT(UPPER(TRIM(D31)),1),"OK","REVISAR"),IF(OR(RIGHT(UPPER(TRIM(D31)),1)=TEXT(MOD(10-MOD((VALUE(MID(UPPER(TRIM(D31)),3,1))+VALUE(MID(UPPER(TRIM(D31)),5,1))+VALUE(MID(UPPER(TRIM(D31)),7,1)))+(INT(2*VALUE(MID(UPPER(TRIM(D31)),2,1))/10)+MOD(2*VALUE(MID(UPPER(TRIM(D31)),2,1)),10))+(INT(2*VALUE(MID(UPPER(TRIM(D31)),4,1))/10)+MOD(2*VALUE(MID(UPPER(TRIM(D31)),4,1)),10))+(INT(2*VALUE(MID(UPPER(TRIM(D31)),6,1))/10)+MOD(2*VALUE(MID(UPPER(TRIM(D31)),6,1)),10))+(INT(2*VALUE(MID(UPPER(TRIM(D31)),8,1))/10)+MOD(2*VALUE(MID(UPPER(TRIM(D31)),8,1)),10)),10),10),"0"),RIGHT(UPPER(TRIM(D31)),1)=MID("JABCDEFGHI",MOD(10-MOD((VALUE(MID(UPPER(TRIM(D31)),3,1))+VALUE(MID(UPPER(TRIM(D31)),5,1))+VALUE(MID(UPPER(TRIM(D31)),7,1)))+(INT(2*VALUE(MID(UPPER(TRIM(D31)),2,1))/10)+MOD(2*VALUE(MID(UPPER(TRIM(D31)),2,1)),10))+(INT(2*VALUE(MID(UPPER(TRIM(D31)),4,1))/10)+MOD(2*VALUE(MID(UPPER(TRIM(D31)),4,1)),10))+(INT(2*VALUE(MID(UPPER(TRIM(D31)),6,1))/10)+MOD(2*VALUE(MID(UPPER(TRIM(D31)),6,1)),10))+(INT(2*VALUE(MID(UPPER(TRIM(D31)),8,1))/10)+MOD(2*VALUE(MID(UPPER(TRIM(D31)),8,1)),10)),10),10)+1,1)),"OK","REVISAR")),"REVISAR")))</f>
        <v/>
      </c>
      <c r="Q31">
        <f>IF(B31="","",IF(COUNTIFS($B$2:$B$501,B31,$D$2:$D$501,D31)&gt;1,"DUPLICADA",""))</f>
        <v/>
      </c>
      <c r="R31">
        <f>IF(A31="","",ROUNDUP(MONTH(A31)/3,0))</f>
        <v/>
      </c>
      <c r="S31" s="3" t="n"/>
    </row>
    <row r="32">
      <c r="A32" s="2" t="n"/>
      <c r="B32" s="3" t="n"/>
      <c r="C32" s="3" t="n"/>
      <c r="D32" s="3" t="n"/>
      <c r="E32" s="4" t="n"/>
      <c r="F32" s="4" t="n"/>
      <c r="G32" s="4" t="n"/>
      <c r="H32" s="4" t="n"/>
      <c r="I32" s="5">
        <f>IF(E32="","",ROUND(E32*0.21,2))</f>
        <v/>
      </c>
      <c r="J32" s="5">
        <f>IF(F32="","",ROUND(F32*0.1,2))</f>
        <v/>
      </c>
      <c r="K32" s="5">
        <f>IF(G32="","",ROUND(G32*0.04,2))</f>
        <v/>
      </c>
      <c r="L32" s="4" t="n"/>
      <c r="M32" s="4" t="n"/>
      <c r="N32" s="5">
        <f>IF(A32="","",SUM(E32:K32)-N(L32))</f>
        <v/>
      </c>
      <c r="O32">
        <f>IF(OR(A32="",M32=""),"",IF(ABS(M32-N32)&lt;=0.02,"OK","REVISAR"))</f>
        <v/>
      </c>
      <c r="P32">
        <f>IF(D32="","",IF(LEN(TRIM(D32))&lt;&gt;9,"REVISAR",IFERROR(IF(OR(ISNUMBER(VALUE(LEFT(UPPER(TRIM(D32)),1))),LEFT(UPPER(TRIM(D32)),1)="X",LEFT(UPPER(TRIM(D32)),1)="Y",LEFT(UPPER(TRIM(D32)),1)="Z"),IF(MID("TRWAGMYFPDXBNJZSQVHLCKE",MOD(VALUE(SUBSTITUTE(SUBSTITUTE(SUBSTITUTE(LEFT(UPPER(TRIM(D32)),8),"X","0"),"Y","1"),"Z","2")),23)+1,1)=RIGHT(UPPER(TRIM(D32)),1),"OK","REVISAR"),IF(OR(RIGHT(UPPER(TRIM(D32)),1)=TEXT(MOD(10-MOD((VALUE(MID(UPPER(TRIM(D32)),3,1))+VALUE(MID(UPPER(TRIM(D32)),5,1))+VALUE(MID(UPPER(TRIM(D32)),7,1)))+(INT(2*VALUE(MID(UPPER(TRIM(D32)),2,1))/10)+MOD(2*VALUE(MID(UPPER(TRIM(D32)),2,1)),10))+(INT(2*VALUE(MID(UPPER(TRIM(D32)),4,1))/10)+MOD(2*VALUE(MID(UPPER(TRIM(D32)),4,1)),10))+(INT(2*VALUE(MID(UPPER(TRIM(D32)),6,1))/10)+MOD(2*VALUE(MID(UPPER(TRIM(D32)),6,1)),10))+(INT(2*VALUE(MID(UPPER(TRIM(D32)),8,1))/10)+MOD(2*VALUE(MID(UPPER(TRIM(D32)),8,1)),10)),10),10),"0"),RIGHT(UPPER(TRIM(D32)),1)=MID("JABCDEFGHI",MOD(10-MOD((VALUE(MID(UPPER(TRIM(D32)),3,1))+VALUE(MID(UPPER(TRIM(D32)),5,1))+VALUE(MID(UPPER(TRIM(D32)),7,1)))+(INT(2*VALUE(MID(UPPER(TRIM(D32)),2,1))/10)+MOD(2*VALUE(MID(UPPER(TRIM(D32)),2,1)),10))+(INT(2*VALUE(MID(UPPER(TRIM(D32)),4,1))/10)+MOD(2*VALUE(MID(UPPER(TRIM(D32)),4,1)),10))+(INT(2*VALUE(MID(UPPER(TRIM(D32)),6,1))/10)+MOD(2*VALUE(MID(UPPER(TRIM(D32)),6,1)),10))+(INT(2*VALUE(MID(UPPER(TRIM(D32)),8,1))/10)+MOD(2*VALUE(MID(UPPER(TRIM(D32)),8,1)),10)),10),10)+1,1)),"OK","REVISAR")),"REVISAR")))</f>
        <v/>
      </c>
      <c r="Q32">
        <f>IF(B32="","",IF(COUNTIFS($B$2:$B$501,B32,$D$2:$D$501,D32)&gt;1,"DUPLICADA",""))</f>
        <v/>
      </c>
      <c r="R32">
        <f>IF(A32="","",ROUNDUP(MONTH(A32)/3,0))</f>
        <v/>
      </c>
      <c r="S32" s="3" t="n"/>
    </row>
    <row r="33">
      <c r="A33" s="2" t="n"/>
      <c r="B33" s="3" t="n"/>
      <c r="C33" s="3" t="n"/>
      <c r="D33" s="3" t="n"/>
      <c r="E33" s="4" t="n"/>
      <c r="F33" s="4" t="n"/>
      <c r="G33" s="4" t="n"/>
      <c r="H33" s="4" t="n"/>
      <c r="I33" s="5">
        <f>IF(E33="","",ROUND(E33*0.21,2))</f>
        <v/>
      </c>
      <c r="J33" s="5">
        <f>IF(F33="","",ROUND(F33*0.1,2))</f>
        <v/>
      </c>
      <c r="K33" s="5">
        <f>IF(G33="","",ROUND(G33*0.04,2))</f>
        <v/>
      </c>
      <c r="L33" s="4" t="n"/>
      <c r="M33" s="4" t="n"/>
      <c r="N33" s="5">
        <f>IF(A33="","",SUM(E33:K33)-N(L33))</f>
        <v/>
      </c>
      <c r="O33">
        <f>IF(OR(A33="",M33=""),"",IF(ABS(M33-N33)&lt;=0.02,"OK","REVISAR"))</f>
        <v/>
      </c>
      <c r="P33">
        <f>IF(D33="","",IF(LEN(TRIM(D33))&lt;&gt;9,"REVISAR",IFERROR(IF(OR(ISNUMBER(VALUE(LEFT(UPPER(TRIM(D33)),1))),LEFT(UPPER(TRIM(D33)),1)="X",LEFT(UPPER(TRIM(D33)),1)="Y",LEFT(UPPER(TRIM(D33)),1)="Z"),IF(MID("TRWAGMYFPDXBNJZSQVHLCKE",MOD(VALUE(SUBSTITUTE(SUBSTITUTE(SUBSTITUTE(LEFT(UPPER(TRIM(D33)),8),"X","0"),"Y","1"),"Z","2")),23)+1,1)=RIGHT(UPPER(TRIM(D33)),1),"OK","REVISAR"),IF(OR(RIGHT(UPPER(TRIM(D33)),1)=TEXT(MOD(10-MOD((VALUE(MID(UPPER(TRIM(D33)),3,1))+VALUE(MID(UPPER(TRIM(D33)),5,1))+VALUE(MID(UPPER(TRIM(D33)),7,1)))+(INT(2*VALUE(MID(UPPER(TRIM(D33)),2,1))/10)+MOD(2*VALUE(MID(UPPER(TRIM(D33)),2,1)),10))+(INT(2*VALUE(MID(UPPER(TRIM(D33)),4,1))/10)+MOD(2*VALUE(MID(UPPER(TRIM(D33)),4,1)),10))+(INT(2*VALUE(MID(UPPER(TRIM(D33)),6,1))/10)+MOD(2*VALUE(MID(UPPER(TRIM(D33)),6,1)),10))+(INT(2*VALUE(MID(UPPER(TRIM(D33)),8,1))/10)+MOD(2*VALUE(MID(UPPER(TRIM(D33)),8,1)),10)),10),10),"0"),RIGHT(UPPER(TRIM(D33)),1)=MID("JABCDEFGHI",MOD(10-MOD((VALUE(MID(UPPER(TRIM(D33)),3,1))+VALUE(MID(UPPER(TRIM(D33)),5,1))+VALUE(MID(UPPER(TRIM(D33)),7,1)))+(INT(2*VALUE(MID(UPPER(TRIM(D33)),2,1))/10)+MOD(2*VALUE(MID(UPPER(TRIM(D33)),2,1)),10))+(INT(2*VALUE(MID(UPPER(TRIM(D33)),4,1))/10)+MOD(2*VALUE(MID(UPPER(TRIM(D33)),4,1)),10))+(INT(2*VALUE(MID(UPPER(TRIM(D33)),6,1))/10)+MOD(2*VALUE(MID(UPPER(TRIM(D33)),6,1)),10))+(INT(2*VALUE(MID(UPPER(TRIM(D33)),8,1))/10)+MOD(2*VALUE(MID(UPPER(TRIM(D33)),8,1)),10)),10),10)+1,1)),"OK","REVISAR")),"REVISAR")))</f>
        <v/>
      </c>
      <c r="Q33">
        <f>IF(B33="","",IF(COUNTIFS($B$2:$B$501,B33,$D$2:$D$501,D33)&gt;1,"DUPLICADA",""))</f>
        <v/>
      </c>
      <c r="R33">
        <f>IF(A33="","",ROUNDUP(MONTH(A33)/3,0))</f>
        <v/>
      </c>
      <c r="S33" s="3" t="n"/>
    </row>
    <row r="34">
      <c r="A34" s="2" t="n"/>
      <c r="B34" s="3" t="n"/>
      <c r="C34" s="3" t="n"/>
      <c r="D34" s="3" t="n"/>
      <c r="E34" s="4" t="n"/>
      <c r="F34" s="4" t="n"/>
      <c r="G34" s="4" t="n"/>
      <c r="H34" s="4" t="n"/>
      <c r="I34" s="5">
        <f>IF(E34="","",ROUND(E34*0.21,2))</f>
        <v/>
      </c>
      <c r="J34" s="5">
        <f>IF(F34="","",ROUND(F34*0.1,2))</f>
        <v/>
      </c>
      <c r="K34" s="5">
        <f>IF(G34="","",ROUND(G34*0.04,2))</f>
        <v/>
      </c>
      <c r="L34" s="4" t="n"/>
      <c r="M34" s="4" t="n"/>
      <c r="N34" s="5">
        <f>IF(A34="","",SUM(E34:K34)-N(L34))</f>
        <v/>
      </c>
      <c r="O34">
        <f>IF(OR(A34="",M34=""),"",IF(ABS(M34-N34)&lt;=0.02,"OK","REVISAR"))</f>
        <v/>
      </c>
      <c r="P34">
        <f>IF(D34="","",IF(LEN(TRIM(D34))&lt;&gt;9,"REVISAR",IFERROR(IF(OR(ISNUMBER(VALUE(LEFT(UPPER(TRIM(D34)),1))),LEFT(UPPER(TRIM(D34)),1)="X",LEFT(UPPER(TRIM(D34)),1)="Y",LEFT(UPPER(TRIM(D34)),1)="Z"),IF(MID("TRWAGMYFPDXBNJZSQVHLCKE",MOD(VALUE(SUBSTITUTE(SUBSTITUTE(SUBSTITUTE(LEFT(UPPER(TRIM(D34)),8),"X","0"),"Y","1"),"Z","2")),23)+1,1)=RIGHT(UPPER(TRIM(D34)),1),"OK","REVISAR"),IF(OR(RIGHT(UPPER(TRIM(D34)),1)=TEXT(MOD(10-MOD((VALUE(MID(UPPER(TRIM(D34)),3,1))+VALUE(MID(UPPER(TRIM(D34)),5,1))+VALUE(MID(UPPER(TRIM(D34)),7,1)))+(INT(2*VALUE(MID(UPPER(TRIM(D34)),2,1))/10)+MOD(2*VALUE(MID(UPPER(TRIM(D34)),2,1)),10))+(INT(2*VALUE(MID(UPPER(TRIM(D34)),4,1))/10)+MOD(2*VALUE(MID(UPPER(TRIM(D34)),4,1)),10))+(INT(2*VALUE(MID(UPPER(TRIM(D34)),6,1))/10)+MOD(2*VALUE(MID(UPPER(TRIM(D34)),6,1)),10))+(INT(2*VALUE(MID(UPPER(TRIM(D34)),8,1))/10)+MOD(2*VALUE(MID(UPPER(TRIM(D34)),8,1)),10)),10),10),"0"),RIGHT(UPPER(TRIM(D34)),1)=MID("JABCDEFGHI",MOD(10-MOD((VALUE(MID(UPPER(TRIM(D34)),3,1))+VALUE(MID(UPPER(TRIM(D34)),5,1))+VALUE(MID(UPPER(TRIM(D34)),7,1)))+(INT(2*VALUE(MID(UPPER(TRIM(D34)),2,1))/10)+MOD(2*VALUE(MID(UPPER(TRIM(D34)),2,1)),10))+(INT(2*VALUE(MID(UPPER(TRIM(D34)),4,1))/10)+MOD(2*VALUE(MID(UPPER(TRIM(D34)),4,1)),10))+(INT(2*VALUE(MID(UPPER(TRIM(D34)),6,1))/10)+MOD(2*VALUE(MID(UPPER(TRIM(D34)),6,1)),10))+(INT(2*VALUE(MID(UPPER(TRIM(D34)),8,1))/10)+MOD(2*VALUE(MID(UPPER(TRIM(D34)),8,1)),10)),10),10)+1,1)),"OK","REVISAR")),"REVISAR")))</f>
        <v/>
      </c>
      <c r="Q34">
        <f>IF(B34="","",IF(COUNTIFS($B$2:$B$501,B34,$D$2:$D$501,D34)&gt;1,"DUPLICADA",""))</f>
        <v/>
      </c>
      <c r="R34">
        <f>IF(A34="","",ROUNDUP(MONTH(A34)/3,0))</f>
        <v/>
      </c>
      <c r="S34" s="3" t="n"/>
    </row>
    <row r="35">
      <c r="A35" s="2" t="n"/>
      <c r="B35" s="3" t="n"/>
      <c r="C35" s="3" t="n"/>
      <c r="D35" s="3" t="n"/>
      <c r="E35" s="4" t="n"/>
      <c r="F35" s="4" t="n"/>
      <c r="G35" s="4" t="n"/>
      <c r="H35" s="4" t="n"/>
      <c r="I35" s="5">
        <f>IF(E35="","",ROUND(E35*0.21,2))</f>
        <v/>
      </c>
      <c r="J35" s="5">
        <f>IF(F35="","",ROUND(F35*0.1,2))</f>
        <v/>
      </c>
      <c r="K35" s="5">
        <f>IF(G35="","",ROUND(G35*0.04,2))</f>
        <v/>
      </c>
      <c r="L35" s="4" t="n"/>
      <c r="M35" s="4" t="n"/>
      <c r="N35" s="5">
        <f>IF(A35="","",SUM(E35:K35)-N(L35))</f>
        <v/>
      </c>
      <c r="O35">
        <f>IF(OR(A35="",M35=""),"",IF(ABS(M35-N35)&lt;=0.02,"OK","REVISAR"))</f>
        <v/>
      </c>
      <c r="P35">
        <f>IF(D35="","",IF(LEN(TRIM(D35))&lt;&gt;9,"REVISAR",IFERROR(IF(OR(ISNUMBER(VALUE(LEFT(UPPER(TRIM(D35)),1))),LEFT(UPPER(TRIM(D35)),1)="X",LEFT(UPPER(TRIM(D35)),1)="Y",LEFT(UPPER(TRIM(D35)),1)="Z"),IF(MID("TRWAGMYFPDXBNJZSQVHLCKE",MOD(VALUE(SUBSTITUTE(SUBSTITUTE(SUBSTITUTE(LEFT(UPPER(TRIM(D35)),8),"X","0"),"Y","1"),"Z","2")),23)+1,1)=RIGHT(UPPER(TRIM(D35)),1),"OK","REVISAR"),IF(OR(RIGHT(UPPER(TRIM(D35)),1)=TEXT(MOD(10-MOD((VALUE(MID(UPPER(TRIM(D35)),3,1))+VALUE(MID(UPPER(TRIM(D35)),5,1))+VALUE(MID(UPPER(TRIM(D35)),7,1)))+(INT(2*VALUE(MID(UPPER(TRIM(D35)),2,1))/10)+MOD(2*VALUE(MID(UPPER(TRIM(D35)),2,1)),10))+(INT(2*VALUE(MID(UPPER(TRIM(D35)),4,1))/10)+MOD(2*VALUE(MID(UPPER(TRIM(D35)),4,1)),10))+(INT(2*VALUE(MID(UPPER(TRIM(D35)),6,1))/10)+MOD(2*VALUE(MID(UPPER(TRIM(D35)),6,1)),10))+(INT(2*VALUE(MID(UPPER(TRIM(D35)),8,1))/10)+MOD(2*VALUE(MID(UPPER(TRIM(D35)),8,1)),10)),10),10),"0"),RIGHT(UPPER(TRIM(D35)),1)=MID("JABCDEFGHI",MOD(10-MOD((VALUE(MID(UPPER(TRIM(D35)),3,1))+VALUE(MID(UPPER(TRIM(D35)),5,1))+VALUE(MID(UPPER(TRIM(D35)),7,1)))+(INT(2*VALUE(MID(UPPER(TRIM(D35)),2,1))/10)+MOD(2*VALUE(MID(UPPER(TRIM(D35)),2,1)),10))+(INT(2*VALUE(MID(UPPER(TRIM(D35)),4,1))/10)+MOD(2*VALUE(MID(UPPER(TRIM(D35)),4,1)),10))+(INT(2*VALUE(MID(UPPER(TRIM(D35)),6,1))/10)+MOD(2*VALUE(MID(UPPER(TRIM(D35)),6,1)),10))+(INT(2*VALUE(MID(UPPER(TRIM(D35)),8,1))/10)+MOD(2*VALUE(MID(UPPER(TRIM(D35)),8,1)),10)),10),10)+1,1)),"OK","REVISAR")),"REVISAR")))</f>
        <v/>
      </c>
      <c r="Q35">
        <f>IF(B35="","",IF(COUNTIFS($B$2:$B$501,B35,$D$2:$D$501,D35)&gt;1,"DUPLICADA",""))</f>
        <v/>
      </c>
      <c r="R35">
        <f>IF(A35="","",ROUNDUP(MONTH(A35)/3,0))</f>
        <v/>
      </c>
      <c r="S35" s="3" t="n"/>
    </row>
    <row r="36">
      <c r="A36" s="2" t="n"/>
      <c r="B36" s="3" t="n"/>
      <c r="C36" s="3" t="n"/>
      <c r="D36" s="3" t="n"/>
      <c r="E36" s="4" t="n"/>
      <c r="F36" s="4" t="n"/>
      <c r="G36" s="4" t="n"/>
      <c r="H36" s="4" t="n"/>
      <c r="I36" s="5">
        <f>IF(E36="","",ROUND(E36*0.21,2))</f>
        <v/>
      </c>
      <c r="J36" s="5">
        <f>IF(F36="","",ROUND(F36*0.1,2))</f>
        <v/>
      </c>
      <c r="K36" s="5">
        <f>IF(G36="","",ROUND(G36*0.04,2))</f>
        <v/>
      </c>
      <c r="L36" s="4" t="n"/>
      <c r="M36" s="4" t="n"/>
      <c r="N36" s="5">
        <f>IF(A36="","",SUM(E36:K36)-N(L36))</f>
        <v/>
      </c>
      <c r="O36">
        <f>IF(OR(A36="",M36=""),"",IF(ABS(M36-N36)&lt;=0.02,"OK","REVISAR"))</f>
        <v/>
      </c>
      <c r="P36">
        <f>IF(D36="","",IF(LEN(TRIM(D36))&lt;&gt;9,"REVISAR",IFERROR(IF(OR(ISNUMBER(VALUE(LEFT(UPPER(TRIM(D36)),1))),LEFT(UPPER(TRIM(D36)),1)="X",LEFT(UPPER(TRIM(D36)),1)="Y",LEFT(UPPER(TRIM(D36)),1)="Z"),IF(MID("TRWAGMYFPDXBNJZSQVHLCKE",MOD(VALUE(SUBSTITUTE(SUBSTITUTE(SUBSTITUTE(LEFT(UPPER(TRIM(D36)),8),"X","0"),"Y","1"),"Z","2")),23)+1,1)=RIGHT(UPPER(TRIM(D36)),1),"OK","REVISAR"),IF(OR(RIGHT(UPPER(TRIM(D36)),1)=TEXT(MOD(10-MOD((VALUE(MID(UPPER(TRIM(D36)),3,1))+VALUE(MID(UPPER(TRIM(D36)),5,1))+VALUE(MID(UPPER(TRIM(D36)),7,1)))+(INT(2*VALUE(MID(UPPER(TRIM(D36)),2,1))/10)+MOD(2*VALUE(MID(UPPER(TRIM(D36)),2,1)),10))+(INT(2*VALUE(MID(UPPER(TRIM(D36)),4,1))/10)+MOD(2*VALUE(MID(UPPER(TRIM(D36)),4,1)),10))+(INT(2*VALUE(MID(UPPER(TRIM(D36)),6,1))/10)+MOD(2*VALUE(MID(UPPER(TRIM(D36)),6,1)),10))+(INT(2*VALUE(MID(UPPER(TRIM(D36)),8,1))/10)+MOD(2*VALUE(MID(UPPER(TRIM(D36)),8,1)),10)),10),10),"0"),RIGHT(UPPER(TRIM(D36)),1)=MID("JABCDEFGHI",MOD(10-MOD((VALUE(MID(UPPER(TRIM(D36)),3,1))+VALUE(MID(UPPER(TRIM(D36)),5,1))+VALUE(MID(UPPER(TRIM(D36)),7,1)))+(INT(2*VALUE(MID(UPPER(TRIM(D36)),2,1))/10)+MOD(2*VALUE(MID(UPPER(TRIM(D36)),2,1)),10))+(INT(2*VALUE(MID(UPPER(TRIM(D36)),4,1))/10)+MOD(2*VALUE(MID(UPPER(TRIM(D36)),4,1)),10))+(INT(2*VALUE(MID(UPPER(TRIM(D36)),6,1))/10)+MOD(2*VALUE(MID(UPPER(TRIM(D36)),6,1)),10))+(INT(2*VALUE(MID(UPPER(TRIM(D36)),8,1))/10)+MOD(2*VALUE(MID(UPPER(TRIM(D36)),8,1)),10)),10),10)+1,1)),"OK","REVISAR")),"REVISAR")))</f>
        <v/>
      </c>
      <c r="Q36">
        <f>IF(B36="","",IF(COUNTIFS($B$2:$B$501,B36,$D$2:$D$501,D36)&gt;1,"DUPLICADA",""))</f>
        <v/>
      </c>
      <c r="R36">
        <f>IF(A36="","",ROUNDUP(MONTH(A36)/3,0))</f>
        <v/>
      </c>
      <c r="S36" s="3" t="n"/>
    </row>
    <row r="37">
      <c r="A37" s="2" t="n"/>
      <c r="B37" s="3" t="n"/>
      <c r="C37" s="3" t="n"/>
      <c r="D37" s="3" t="n"/>
      <c r="E37" s="4" t="n"/>
      <c r="F37" s="4" t="n"/>
      <c r="G37" s="4" t="n"/>
      <c r="H37" s="4" t="n"/>
      <c r="I37" s="5">
        <f>IF(E37="","",ROUND(E37*0.21,2))</f>
        <v/>
      </c>
      <c r="J37" s="5">
        <f>IF(F37="","",ROUND(F37*0.1,2))</f>
        <v/>
      </c>
      <c r="K37" s="5">
        <f>IF(G37="","",ROUND(G37*0.04,2))</f>
        <v/>
      </c>
      <c r="L37" s="4" t="n"/>
      <c r="M37" s="4" t="n"/>
      <c r="N37" s="5">
        <f>IF(A37="","",SUM(E37:K37)-N(L37))</f>
        <v/>
      </c>
      <c r="O37">
        <f>IF(OR(A37="",M37=""),"",IF(ABS(M37-N37)&lt;=0.02,"OK","REVISAR"))</f>
        <v/>
      </c>
      <c r="P37">
        <f>IF(D37="","",IF(LEN(TRIM(D37))&lt;&gt;9,"REVISAR",IFERROR(IF(OR(ISNUMBER(VALUE(LEFT(UPPER(TRIM(D37)),1))),LEFT(UPPER(TRIM(D37)),1)="X",LEFT(UPPER(TRIM(D37)),1)="Y",LEFT(UPPER(TRIM(D37)),1)="Z"),IF(MID("TRWAGMYFPDXBNJZSQVHLCKE",MOD(VALUE(SUBSTITUTE(SUBSTITUTE(SUBSTITUTE(LEFT(UPPER(TRIM(D37)),8),"X","0"),"Y","1"),"Z","2")),23)+1,1)=RIGHT(UPPER(TRIM(D37)),1),"OK","REVISAR"),IF(OR(RIGHT(UPPER(TRIM(D37)),1)=TEXT(MOD(10-MOD((VALUE(MID(UPPER(TRIM(D37)),3,1))+VALUE(MID(UPPER(TRIM(D37)),5,1))+VALUE(MID(UPPER(TRIM(D37)),7,1)))+(INT(2*VALUE(MID(UPPER(TRIM(D37)),2,1))/10)+MOD(2*VALUE(MID(UPPER(TRIM(D37)),2,1)),10))+(INT(2*VALUE(MID(UPPER(TRIM(D37)),4,1))/10)+MOD(2*VALUE(MID(UPPER(TRIM(D37)),4,1)),10))+(INT(2*VALUE(MID(UPPER(TRIM(D37)),6,1))/10)+MOD(2*VALUE(MID(UPPER(TRIM(D37)),6,1)),10))+(INT(2*VALUE(MID(UPPER(TRIM(D37)),8,1))/10)+MOD(2*VALUE(MID(UPPER(TRIM(D37)),8,1)),10)),10),10),"0"),RIGHT(UPPER(TRIM(D37)),1)=MID("JABCDEFGHI",MOD(10-MOD((VALUE(MID(UPPER(TRIM(D37)),3,1))+VALUE(MID(UPPER(TRIM(D37)),5,1))+VALUE(MID(UPPER(TRIM(D37)),7,1)))+(INT(2*VALUE(MID(UPPER(TRIM(D37)),2,1))/10)+MOD(2*VALUE(MID(UPPER(TRIM(D37)),2,1)),10))+(INT(2*VALUE(MID(UPPER(TRIM(D37)),4,1))/10)+MOD(2*VALUE(MID(UPPER(TRIM(D37)),4,1)),10))+(INT(2*VALUE(MID(UPPER(TRIM(D37)),6,1))/10)+MOD(2*VALUE(MID(UPPER(TRIM(D37)),6,1)),10))+(INT(2*VALUE(MID(UPPER(TRIM(D37)),8,1))/10)+MOD(2*VALUE(MID(UPPER(TRIM(D37)),8,1)),10)),10),10)+1,1)),"OK","REVISAR")),"REVISAR")))</f>
        <v/>
      </c>
      <c r="Q37">
        <f>IF(B37="","",IF(COUNTIFS($B$2:$B$501,B37,$D$2:$D$501,D37)&gt;1,"DUPLICADA",""))</f>
        <v/>
      </c>
      <c r="R37">
        <f>IF(A37="","",ROUNDUP(MONTH(A37)/3,0))</f>
        <v/>
      </c>
      <c r="S37" s="3" t="n"/>
    </row>
    <row r="38">
      <c r="A38" s="2" t="n"/>
      <c r="B38" s="3" t="n"/>
      <c r="C38" s="3" t="n"/>
      <c r="D38" s="3" t="n"/>
      <c r="E38" s="4" t="n"/>
      <c r="F38" s="4" t="n"/>
      <c r="G38" s="4" t="n"/>
      <c r="H38" s="4" t="n"/>
      <c r="I38" s="5">
        <f>IF(E38="","",ROUND(E38*0.21,2))</f>
        <v/>
      </c>
      <c r="J38" s="5">
        <f>IF(F38="","",ROUND(F38*0.1,2))</f>
        <v/>
      </c>
      <c r="K38" s="5">
        <f>IF(G38="","",ROUND(G38*0.04,2))</f>
        <v/>
      </c>
      <c r="L38" s="4" t="n"/>
      <c r="M38" s="4" t="n"/>
      <c r="N38" s="5">
        <f>IF(A38="","",SUM(E38:K38)-N(L38))</f>
        <v/>
      </c>
      <c r="O38">
        <f>IF(OR(A38="",M38=""),"",IF(ABS(M38-N38)&lt;=0.02,"OK","REVISAR"))</f>
        <v/>
      </c>
      <c r="P38">
        <f>IF(D38="","",IF(LEN(TRIM(D38))&lt;&gt;9,"REVISAR",IFERROR(IF(OR(ISNUMBER(VALUE(LEFT(UPPER(TRIM(D38)),1))),LEFT(UPPER(TRIM(D38)),1)="X",LEFT(UPPER(TRIM(D38)),1)="Y",LEFT(UPPER(TRIM(D38)),1)="Z"),IF(MID("TRWAGMYFPDXBNJZSQVHLCKE",MOD(VALUE(SUBSTITUTE(SUBSTITUTE(SUBSTITUTE(LEFT(UPPER(TRIM(D38)),8),"X","0"),"Y","1"),"Z","2")),23)+1,1)=RIGHT(UPPER(TRIM(D38)),1),"OK","REVISAR"),IF(OR(RIGHT(UPPER(TRIM(D38)),1)=TEXT(MOD(10-MOD((VALUE(MID(UPPER(TRIM(D38)),3,1))+VALUE(MID(UPPER(TRIM(D38)),5,1))+VALUE(MID(UPPER(TRIM(D38)),7,1)))+(INT(2*VALUE(MID(UPPER(TRIM(D38)),2,1))/10)+MOD(2*VALUE(MID(UPPER(TRIM(D38)),2,1)),10))+(INT(2*VALUE(MID(UPPER(TRIM(D38)),4,1))/10)+MOD(2*VALUE(MID(UPPER(TRIM(D38)),4,1)),10))+(INT(2*VALUE(MID(UPPER(TRIM(D38)),6,1))/10)+MOD(2*VALUE(MID(UPPER(TRIM(D38)),6,1)),10))+(INT(2*VALUE(MID(UPPER(TRIM(D38)),8,1))/10)+MOD(2*VALUE(MID(UPPER(TRIM(D38)),8,1)),10)),10),10),"0"),RIGHT(UPPER(TRIM(D38)),1)=MID("JABCDEFGHI",MOD(10-MOD((VALUE(MID(UPPER(TRIM(D38)),3,1))+VALUE(MID(UPPER(TRIM(D38)),5,1))+VALUE(MID(UPPER(TRIM(D38)),7,1)))+(INT(2*VALUE(MID(UPPER(TRIM(D38)),2,1))/10)+MOD(2*VALUE(MID(UPPER(TRIM(D38)),2,1)),10))+(INT(2*VALUE(MID(UPPER(TRIM(D38)),4,1))/10)+MOD(2*VALUE(MID(UPPER(TRIM(D38)),4,1)),10))+(INT(2*VALUE(MID(UPPER(TRIM(D38)),6,1))/10)+MOD(2*VALUE(MID(UPPER(TRIM(D38)),6,1)),10))+(INT(2*VALUE(MID(UPPER(TRIM(D38)),8,1))/10)+MOD(2*VALUE(MID(UPPER(TRIM(D38)),8,1)),10)),10),10)+1,1)),"OK","REVISAR")),"REVISAR")))</f>
        <v/>
      </c>
      <c r="Q38">
        <f>IF(B38="","",IF(COUNTIFS($B$2:$B$501,B38,$D$2:$D$501,D38)&gt;1,"DUPLICADA",""))</f>
        <v/>
      </c>
      <c r="R38">
        <f>IF(A38="","",ROUNDUP(MONTH(A38)/3,0))</f>
        <v/>
      </c>
      <c r="S38" s="3" t="n"/>
    </row>
    <row r="39">
      <c r="A39" s="2" t="n"/>
      <c r="B39" s="3" t="n"/>
      <c r="C39" s="3" t="n"/>
      <c r="D39" s="3" t="n"/>
      <c r="E39" s="4" t="n"/>
      <c r="F39" s="4" t="n"/>
      <c r="G39" s="4" t="n"/>
      <c r="H39" s="4" t="n"/>
      <c r="I39" s="5">
        <f>IF(E39="","",ROUND(E39*0.21,2))</f>
        <v/>
      </c>
      <c r="J39" s="5">
        <f>IF(F39="","",ROUND(F39*0.1,2))</f>
        <v/>
      </c>
      <c r="K39" s="5">
        <f>IF(G39="","",ROUND(G39*0.04,2))</f>
        <v/>
      </c>
      <c r="L39" s="4" t="n"/>
      <c r="M39" s="4" t="n"/>
      <c r="N39" s="5">
        <f>IF(A39="","",SUM(E39:K39)-N(L39))</f>
        <v/>
      </c>
      <c r="O39">
        <f>IF(OR(A39="",M39=""),"",IF(ABS(M39-N39)&lt;=0.02,"OK","REVISAR"))</f>
        <v/>
      </c>
      <c r="P39">
        <f>IF(D39="","",IF(LEN(TRIM(D39))&lt;&gt;9,"REVISAR",IFERROR(IF(OR(ISNUMBER(VALUE(LEFT(UPPER(TRIM(D39)),1))),LEFT(UPPER(TRIM(D39)),1)="X",LEFT(UPPER(TRIM(D39)),1)="Y",LEFT(UPPER(TRIM(D39)),1)="Z"),IF(MID("TRWAGMYFPDXBNJZSQVHLCKE",MOD(VALUE(SUBSTITUTE(SUBSTITUTE(SUBSTITUTE(LEFT(UPPER(TRIM(D39)),8),"X","0"),"Y","1"),"Z","2")),23)+1,1)=RIGHT(UPPER(TRIM(D39)),1),"OK","REVISAR"),IF(OR(RIGHT(UPPER(TRIM(D39)),1)=TEXT(MOD(10-MOD((VALUE(MID(UPPER(TRIM(D39)),3,1))+VALUE(MID(UPPER(TRIM(D39)),5,1))+VALUE(MID(UPPER(TRIM(D39)),7,1)))+(INT(2*VALUE(MID(UPPER(TRIM(D39)),2,1))/10)+MOD(2*VALUE(MID(UPPER(TRIM(D39)),2,1)),10))+(INT(2*VALUE(MID(UPPER(TRIM(D39)),4,1))/10)+MOD(2*VALUE(MID(UPPER(TRIM(D39)),4,1)),10))+(INT(2*VALUE(MID(UPPER(TRIM(D39)),6,1))/10)+MOD(2*VALUE(MID(UPPER(TRIM(D39)),6,1)),10))+(INT(2*VALUE(MID(UPPER(TRIM(D39)),8,1))/10)+MOD(2*VALUE(MID(UPPER(TRIM(D39)),8,1)),10)),10),10),"0"),RIGHT(UPPER(TRIM(D39)),1)=MID("JABCDEFGHI",MOD(10-MOD((VALUE(MID(UPPER(TRIM(D39)),3,1))+VALUE(MID(UPPER(TRIM(D39)),5,1))+VALUE(MID(UPPER(TRIM(D39)),7,1)))+(INT(2*VALUE(MID(UPPER(TRIM(D39)),2,1))/10)+MOD(2*VALUE(MID(UPPER(TRIM(D39)),2,1)),10))+(INT(2*VALUE(MID(UPPER(TRIM(D39)),4,1))/10)+MOD(2*VALUE(MID(UPPER(TRIM(D39)),4,1)),10))+(INT(2*VALUE(MID(UPPER(TRIM(D39)),6,1))/10)+MOD(2*VALUE(MID(UPPER(TRIM(D39)),6,1)),10))+(INT(2*VALUE(MID(UPPER(TRIM(D39)),8,1))/10)+MOD(2*VALUE(MID(UPPER(TRIM(D39)),8,1)),10)),10),10)+1,1)),"OK","REVISAR")),"REVISAR")))</f>
        <v/>
      </c>
      <c r="Q39">
        <f>IF(B39="","",IF(COUNTIFS($B$2:$B$501,B39,$D$2:$D$501,D39)&gt;1,"DUPLICADA",""))</f>
        <v/>
      </c>
      <c r="R39">
        <f>IF(A39="","",ROUNDUP(MONTH(A39)/3,0))</f>
        <v/>
      </c>
      <c r="S39" s="3" t="n"/>
    </row>
    <row r="40">
      <c r="A40" s="2" t="n"/>
      <c r="B40" s="3" t="n"/>
      <c r="C40" s="3" t="n"/>
      <c r="D40" s="3" t="n"/>
      <c r="E40" s="4" t="n"/>
      <c r="F40" s="4" t="n"/>
      <c r="G40" s="4" t="n"/>
      <c r="H40" s="4" t="n"/>
      <c r="I40" s="5">
        <f>IF(E40="","",ROUND(E40*0.21,2))</f>
        <v/>
      </c>
      <c r="J40" s="5">
        <f>IF(F40="","",ROUND(F40*0.1,2))</f>
        <v/>
      </c>
      <c r="K40" s="5">
        <f>IF(G40="","",ROUND(G40*0.04,2))</f>
        <v/>
      </c>
      <c r="L40" s="4" t="n"/>
      <c r="M40" s="4" t="n"/>
      <c r="N40" s="5">
        <f>IF(A40="","",SUM(E40:K40)-N(L40))</f>
        <v/>
      </c>
      <c r="O40">
        <f>IF(OR(A40="",M40=""),"",IF(ABS(M40-N40)&lt;=0.02,"OK","REVISAR"))</f>
        <v/>
      </c>
      <c r="P40">
        <f>IF(D40="","",IF(LEN(TRIM(D40))&lt;&gt;9,"REVISAR",IFERROR(IF(OR(ISNUMBER(VALUE(LEFT(UPPER(TRIM(D40)),1))),LEFT(UPPER(TRIM(D40)),1)="X",LEFT(UPPER(TRIM(D40)),1)="Y",LEFT(UPPER(TRIM(D40)),1)="Z"),IF(MID("TRWAGMYFPDXBNJZSQVHLCKE",MOD(VALUE(SUBSTITUTE(SUBSTITUTE(SUBSTITUTE(LEFT(UPPER(TRIM(D40)),8),"X","0"),"Y","1"),"Z","2")),23)+1,1)=RIGHT(UPPER(TRIM(D40)),1),"OK","REVISAR"),IF(OR(RIGHT(UPPER(TRIM(D40)),1)=TEXT(MOD(10-MOD((VALUE(MID(UPPER(TRIM(D40)),3,1))+VALUE(MID(UPPER(TRIM(D40)),5,1))+VALUE(MID(UPPER(TRIM(D40)),7,1)))+(INT(2*VALUE(MID(UPPER(TRIM(D40)),2,1))/10)+MOD(2*VALUE(MID(UPPER(TRIM(D40)),2,1)),10))+(INT(2*VALUE(MID(UPPER(TRIM(D40)),4,1))/10)+MOD(2*VALUE(MID(UPPER(TRIM(D40)),4,1)),10))+(INT(2*VALUE(MID(UPPER(TRIM(D40)),6,1))/10)+MOD(2*VALUE(MID(UPPER(TRIM(D40)),6,1)),10))+(INT(2*VALUE(MID(UPPER(TRIM(D40)),8,1))/10)+MOD(2*VALUE(MID(UPPER(TRIM(D40)),8,1)),10)),10),10),"0"),RIGHT(UPPER(TRIM(D40)),1)=MID("JABCDEFGHI",MOD(10-MOD((VALUE(MID(UPPER(TRIM(D40)),3,1))+VALUE(MID(UPPER(TRIM(D40)),5,1))+VALUE(MID(UPPER(TRIM(D40)),7,1)))+(INT(2*VALUE(MID(UPPER(TRIM(D40)),2,1))/10)+MOD(2*VALUE(MID(UPPER(TRIM(D40)),2,1)),10))+(INT(2*VALUE(MID(UPPER(TRIM(D40)),4,1))/10)+MOD(2*VALUE(MID(UPPER(TRIM(D40)),4,1)),10))+(INT(2*VALUE(MID(UPPER(TRIM(D40)),6,1))/10)+MOD(2*VALUE(MID(UPPER(TRIM(D40)),6,1)),10))+(INT(2*VALUE(MID(UPPER(TRIM(D40)),8,1))/10)+MOD(2*VALUE(MID(UPPER(TRIM(D40)),8,1)),10)),10),10)+1,1)),"OK","REVISAR")),"REVISAR")))</f>
        <v/>
      </c>
      <c r="Q40">
        <f>IF(B40="","",IF(COUNTIFS($B$2:$B$501,B40,$D$2:$D$501,D40)&gt;1,"DUPLICADA",""))</f>
        <v/>
      </c>
      <c r="R40">
        <f>IF(A40="","",ROUNDUP(MONTH(A40)/3,0))</f>
        <v/>
      </c>
      <c r="S40" s="3" t="n"/>
    </row>
    <row r="41">
      <c r="A41" s="2" t="n"/>
      <c r="B41" s="3" t="n"/>
      <c r="C41" s="3" t="n"/>
      <c r="D41" s="3" t="n"/>
      <c r="E41" s="4" t="n"/>
      <c r="F41" s="4" t="n"/>
      <c r="G41" s="4" t="n"/>
      <c r="H41" s="4" t="n"/>
      <c r="I41" s="5">
        <f>IF(E41="","",ROUND(E41*0.21,2))</f>
        <v/>
      </c>
      <c r="J41" s="5">
        <f>IF(F41="","",ROUND(F41*0.1,2))</f>
        <v/>
      </c>
      <c r="K41" s="5">
        <f>IF(G41="","",ROUND(G41*0.04,2))</f>
        <v/>
      </c>
      <c r="L41" s="4" t="n"/>
      <c r="M41" s="4" t="n"/>
      <c r="N41" s="5">
        <f>IF(A41="","",SUM(E41:K41)-N(L41))</f>
        <v/>
      </c>
      <c r="O41">
        <f>IF(OR(A41="",M41=""),"",IF(ABS(M41-N41)&lt;=0.02,"OK","REVISAR"))</f>
        <v/>
      </c>
      <c r="P41">
        <f>IF(D41="","",IF(LEN(TRIM(D41))&lt;&gt;9,"REVISAR",IFERROR(IF(OR(ISNUMBER(VALUE(LEFT(UPPER(TRIM(D41)),1))),LEFT(UPPER(TRIM(D41)),1)="X",LEFT(UPPER(TRIM(D41)),1)="Y",LEFT(UPPER(TRIM(D41)),1)="Z"),IF(MID("TRWAGMYFPDXBNJZSQVHLCKE",MOD(VALUE(SUBSTITUTE(SUBSTITUTE(SUBSTITUTE(LEFT(UPPER(TRIM(D41)),8),"X","0"),"Y","1"),"Z","2")),23)+1,1)=RIGHT(UPPER(TRIM(D41)),1),"OK","REVISAR"),IF(OR(RIGHT(UPPER(TRIM(D41)),1)=TEXT(MOD(10-MOD((VALUE(MID(UPPER(TRIM(D41)),3,1))+VALUE(MID(UPPER(TRIM(D41)),5,1))+VALUE(MID(UPPER(TRIM(D41)),7,1)))+(INT(2*VALUE(MID(UPPER(TRIM(D41)),2,1))/10)+MOD(2*VALUE(MID(UPPER(TRIM(D41)),2,1)),10))+(INT(2*VALUE(MID(UPPER(TRIM(D41)),4,1))/10)+MOD(2*VALUE(MID(UPPER(TRIM(D41)),4,1)),10))+(INT(2*VALUE(MID(UPPER(TRIM(D41)),6,1))/10)+MOD(2*VALUE(MID(UPPER(TRIM(D41)),6,1)),10))+(INT(2*VALUE(MID(UPPER(TRIM(D41)),8,1))/10)+MOD(2*VALUE(MID(UPPER(TRIM(D41)),8,1)),10)),10),10),"0"),RIGHT(UPPER(TRIM(D41)),1)=MID("JABCDEFGHI",MOD(10-MOD((VALUE(MID(UPPER(TRIM(D41)),3,1))+VALUE(MID(UPPER(TRIM(D41)),5,1))+VALUE(MID(UPPER(TRIM(D41)),7,1)))+(INT(2*VALUE(MID(UPPER(TRIM(D41)),2,1))/10)+MOD(2*VALUE(MID(UPPER(TRIM(D41)),2,1)),10))+(INT(2*VALUE(MID(UPPER(TRIM(D41)),4,1))/10)+MOD(2*VALUE(MID(UPPER(TRIM(D41)),4,1)),10))+(INT(2*VALUE(MID(UPPER(TRIM(D41)),6,1))/10)+MOD(2*VALUE(MID(UPPER(TRIM(D41)),6,1)),10))+(INT(2*VALUE(MID(UPPER(TRIM(D41)),8,1))/10)+MOD(2*VALUE(MID(UPPER(TRIM(D41)),8,1)),10)),10),10)+1,1)),"OK","REVISAR")),"REVISAR")))</f>
        <v/>
      </c>
      <c r="Q41">
        <f>IF(B41="","",IF(COUNTIFS($B$2:$B$501,B41,$D$2:$D$501,D41)&gt;1,"DUPLICADA",""))</f>
        <v/>
      </c>
      <c r="R41">
        <f>IF(A41="","",ROUNDUP(MONTH(A41)/3,0))</f>
        <v/>
      </c>
      <c r="S41" s="3" t="n"/>
    </row>
    <row r="42">
      <c r="A42" s="2" t="n"/>
      <c r="B42" s="3" t="n"/>
      <c r="C42" s="3" t="n"/>
      <c r="D42" s="3" t="n"/>
      <c r="E42" s="4" t="n"/>
      <c r="F42" s="4" t="n"/>
      <c r="G42" s="4" t="n"/>
      <c r="H42" s="4" t="n"/>
      <c r="I42" s="5">
        <f>IF(E42="","",ROUND(E42*0.21,2))</f>
        <v/>
      </c>
      <c r="J42" s="5">
        <f>IF(F42="","",ROUND(F42*0.1,2))</f>
        <v/>
      </c>
      <c r="K42" s="5">
        <f>IF(G42="","",ROUND(G42*0.04,2))</f>
        <v/>
      </c>
      <c r="L42" s="4" t="n"/>
      <c r="M42" s="4" t="n"/>
      <c r="N42" s="5">
        <f>IF(A42="","",SUM(E42:K42)-N(L42))</f>
        <v/>
      </c>
      <c r="O42">
        <f>IF(OR(A42="",M42=""),"",IF(ABS(M42-N42)&lt;=0.02,"OK","REVISAR"))</f>
        <v/>
      </c>
      <c r="P42">
        <f>IF(D42="","",IF(LEN(TRIM(D42))&lt;&gt;9,"REVISAR",IFERROR(IF(OR(ISNUMBER(VALUE(LEFT(UPPER(TRIM(D42)),1))),LEFT(UPPER(TRIM(D42)),1)="X",LEFT(UPPER(TRIM(D42)),1)="Y",LEFT(UPPER(TRIM(D42)),1)="Z"),IF(MID("TRWAGMYFPDXBNJZSQVHLCKE",MOD(VALUE(SUBSTITUTE(SUBSTITUTE(SUBSTITUTE(LEFT(UPPER(TRIM(D42)),8),"X","0"),"Y","1"),"Z","2")),23)+1,1)=RIGHT(UPPER(TRIM(D42)),1),"OK","REVISAR"),IF(OR(RIGHT(UPPER(TRIM(D42)),1)=TEXT(MOD(10-MOD((VALUE(MID(UPPER(TRIM(D42)),3,1))+VALUE(MID(UPPER(TRIM(D42)),5,1))+VALUE(MID(UPPER(TRIM(D42)),7,1)))+(INT(2*VALUE(MID(UPPER(TRIM(D42)),2,1))/10)+MOD(2*VALUE(MID(UPPER(TRIM(D42)),2,1)),10))+(INT(2*VALUE(MID(UPPER(TRIM(D42)),4,1))/10)+MOD(2*VALUE(MID(UPPER(TRIM(D42)),4,1)),10))+(INT(2*VALUE(MID(UPPER(TRIM(D42)),6,1))/10)+MOD(2*VALUE(MID(UPPER(TRIM(D42)),6,1)),10))+(INT(2*VALUE(MID(UPPER(TRIM(D42)),8,1))/10)+MOD(2*VALUE(MID(UPPER(TRIM(D42)),8,1)),10)),10),10),"0"),RIGHT(UPPER(TRIM(D42)),1)=MID("JABCDEFGHI",MOD(10-MOD((VALUE(MID(UPPER(TRIM(D42)),3,1))+VALUE(MID(UPPER(TRIM(D42)),5,1))+VALUE(MID(UPPER(TRIM(D42)),7,1)))+(INT(2*VALUE(MID(UPPER(TRIM(D42)),2,1))/10)+MOD(2*VALUE(MID(UPPER(TRIM(D42)),2,1)),10))+(INT(2*VALUE(MID(UPPER(TRIM(D42)),4,1))/10)+MOD(2*VALUE(MID(UPPER(TRIM(D42)),4,1)),10))+(INT(2*VALUE(MID(UPPER(TRIM(D42)),6,1))/10)+MOD(2*VALUE(MID(UPPER(TRIM(D42)),6,1)),10))+(INT(2*VALUE(MID(UPPER(TRIM(D42)),8,1))/10)+MOD(2*VALUE(MID(UPPER(TRIM(D42)),8,1)),10)),10),10)+1,1)),"OK","REVISAR")),"REVISAR")))</f>
        <v/>
      </c>
      <c r="Q42">
        <f>IF(B42="","",IF(COUNTIFS($B$2:$B$501,B42,$D$2:$D$501,D42)&gt;1,"DUPLICADA",""))</f>
        <v/>
      </c>
      <c r="R42">
        <f>IF(A42="","",ROUNDUP(MONTH(A42)/3,0))</f>
        <v/>
      </c>
      <c r="S42" s="3" t="n"/>
    </row>
    <row r="43">
      <c r="A43" s="2" t="n"/>
      <c r="B43" s="3" t="n"/>
      <c r="C43" s="3" t="n"/>
      <c r="D43" s="3" t="n"/>
      <c r="E43" s="4" t="n"/>
      <c r="F43" s="4" t="n"/>
      <c r="G43" s="4" t="n"/>
      <c r="H43" s="4" t="n"/>
      <c r="I43" s="5">
        <f>IF(E43="","",ROUND(E43*0.21,2))</f>
        <v/>
      </c>
      <c r="J43" s="5">
        <f>IF(F43="","",ROUND(F43*0.1,2))</f>
        <v/>
      </c>
      <c r="K43" s="5">
        <f>IF(G43="","",ROUND(G43*0.04,2))</f>
        <v/>
      </c>
      <c r="L43" s="4" t="n"/>
      <c r="M43" s="4" t="n"/>
      <c r="N43" s="5">
        <f>IF(A43="","",SUM(E43:K43)-N(L43))</f>
        <v/>
      </c>
      <c r="O43">
        <f>IF(OR(A43="",M43=""),"",IF(ABS(M43-N43)&lt;=0.02,"OK","REVISAR"))</f>
        <v/>
      </c>
      <c r="P43">
        <f>IF(D43="","",IF(LEN(TRIM(D43))&lt;&gt;9,"REVISAR",IFERROR(IF(OR(ISNUMBER(VALUE(LEFT(UPPER(TRIM(D43)),1))),LEFT(UPPER(TRIM(D43)),1)="X",LEFT(UPPER(TRIM(D43)),1)="Y",LEFT(UPPER(TRIM(D43)),1)="Z"),IF(MID("TRWAGMYFPDXBNJZSQVHLCKE",MOD(VALUE(SUBSTITUTE(SUBSTITUTE(SUBSTITUTE(LEFT(UPPER(TRIM(D43)),8),"X","0"),"Y","1"),"Z","2")),23)+1,1)=RIGHT(UPPER(TRIM(D43)),1),"OK","REVISAR"),IF(OR(RIGHT(UPPER(TRIM(D43)),1)=TEXT(MOD(10-MOD((VALUE(MID(UPPER(TRIM(D43)),3,1))+VALUE(MID(UPPER(TRIM(D43)),5,1))+VALUE(MID(UPPER(TRIM(D43)),7,1)))+(INT(2*VALUE(MID(UPPER(TRIM(D43)),2,1))/10)+MOD(2*VALUE(MID(UPPER(TRIM(D43)),2,1)),10))+(INT(2*VALUE(MID(UPPER(TRIM(D43)),4,1))/10)+MOD(2*VALUE(MID(UPPER(TRIM(D43)),4,1)),10))+(INT(2*VALUE(MID(UPPER(TRIM(D43)),6,1))/10)+MOD(2*VALUE(MID(UPPER(TRIM(D43)),6,1)),10))+(INT(2*VALUE(MID(UPPER(TRIM(D43)),8,1))/10)+MOD(2*VALUE(MID(UPPER(TRIM(D43)),8,1)),10)),10),10),"0"),RIGHT(UPPER(TRIM(D43)),1)=MID("JABCDEFGHI",MOD(10-MOD((VALUE(MID(UPPER(TRIM(D43)),3,1))+VALUE(MID(UPPER(TRIM(D43)),5,1))+VALUE(MID(UPPER(TRIM(D43)),7,1)))+(INT(2*VALUE(MID(UPPER(TRIM(D43)),2,1))/10)+MOD(2*VALUE(MID(UPPER(TRIM(D43)),2,1)),10))+(INT(2*VALUE(MID(UPPER(TRIM(D43)),4,1))/10)+MOD(2*VALUE(MID(UPPER(TRIM(D43)),4,1)),10))+(INT(2*VALUE(MID(UPPER(TRIM(D43)),6,1))/10)+MOD(2*VALUE(MID(UPPER(TRIM(D43)),6,1)),10))+(INT(2*VALUE(MID(UPPER(TRIM(D43)),8,1))/10)+MOD(2*VALUE(MID(UPPER(TRIM(D43)),8,1)),10)),10),10)+1,1)),"OK","REVISAR")),"REVISAR")))</f>
        <v/>
      </c>
      <c r="Q43">
        <f>IF(B43="","",IF(COUNTIFS($B$2:$B$501,B43,$D$2:$D$501,D43)&gt;1,"DUPLICADA",""))</f>
        <v/>
      </c>
      <c r="R43">
        <f>IF(A43="","",ROUNDUP(MONTH(A43)/3,0))</f>
        <v/>
      </c>
      <c r="S43" s="3" t="n"/>
    </row>
    <row r="44">
      <c r="A44" s="2" t="n"/>
      <c r="B44" s="3" t="n"/>
      <c r="C44" s="3" t="n"/>
      <c r="D44" s="3" t="n"/>
      <c r="E44" s="4" t="n"/>
      <c r="F44" s="4" t="n"/>
      <c r="G44" s="4" t="n"/>
      <c r="H44" s="4" t="n"/>
      <c r="I44" s="5">
        <f>IF(E44="","",ROUND(E44*0.21,2))</f>
        <v/>
      </c>
      <c r="J44" s="5">
        <f>IF(F44="","",ROUND(F44*0.1,2))</f>
        <v/>
      </c>
      <c r="K44" s="5">
        <f>IF(G44="","",ROUND(G44*0.04,2))</f>
        <v/>
      </c>
      <c r="L44" s="4" t="n"/>
      <c r="M44" s="4" t="n"/>
      <c r="N44" s="5">
        <f>IF(A44="","",SUM(E44:K44)-N(L44))</f>
        <v/>
      </c>
      <c r="O44">
        <f>IF(OR(A44="",M44=""),"",IF(ABS(M44-N44)&lt;=0.02,"OK","REVISAR"))</f>
        <v/>
      </c>
      <c r="P44">
        <f>IF(D44="","",IF(LEN(TRIM(D44))&lt;&gt;9,"REVISAR",IFERROR(IF(OR(ISNUMBER(VALUE(LEFT(UPPER(TRIM(D44)),1))),LEFT(UPPER(TRIM(D44)),1)="X",LEFT(UPPER(TRIM(D44)),1)="Y",LEFT(UPPER(TRIM(D44)),1)="Z"),IF(MID("TRWAGMYFPDXBNJZSQVHLCKE",MOD(VALUE(SUBSTITUTE(SUBSTITUTE(SUBSTITUTE(LEFT(UPPER(TRIM(D44)),8),"X","0"),"Y","1"),"Z","2")),23)+1,1)=RIGHT(UPPER(TRIM(D44)),1),"OK","REVISAR"),IF(OR(RIGHT(UPPER(TRIM(D44)),1)=TEXT(MOD(10-MOD((VALUE(MID(UPPER(TRIM(D44)),3,1))+VALUE(MID(UPPER(TRIM(D44)),5,1))+VALUE(MID(UPPER(TRIM(D44)),7,1)))+(INT(2*VALUE(MID(UPPER(TRIM(D44)),2,1))/10)+MOD(2*VALUE(MID(UPPER(TRIM(D44)),2,1)),10))+(INT(2*VALUE(MID(UPPER(TRIM(D44)),4,1))/10)+MOD(2*VALUE(MID(UPPER(TRIM(D44)),4,1)),10))+(INT(2*VALUE(MID(UPPER(TRIM(D44)),6,1))/10)+MOD(2*VALUE(MID(UPPER(TRIM(D44)),6,1)),10))+(INT(2*VALUE(MID(UPPER(TRIM(D44)),8,1))/10)+MOD(2*VALUE(MID(UPPER(TRIM(D44)),8,1)),10)),10),10),"0"),RIGHT(UPPER(TRIM(D44)),1)=MID("JABCDEFGHI",MOD(10-MOD((VALUE(MID(UPPER(TRIM(D44)),3,1))+VALUE(MID(UPPER(TRIM(D44)),5,1))+VALUE(MID(UPPER(TRIM(D44)),7,1)))+(INT(2*VALUE(MID(UPPER(TRIM(D44)),2,1))/10)+MOD(2*VALUE(MID(UPPER(TRIM(D44)),2,1)),10))+(INT(2*VALUE(MID(UPPER(TRIM(D44)),4,1))/10)+MOD(2*VALUE(MID(UPPER(TRIM(D44)),4,1)),10))+(INT(2*VALUE(MID(UPPER(TRIM(D44)),6,1))/10)+MOD(2*VALUE(MID(UPPER(TRIM(D44)),6,1)),10))+(INT(2*VALUE(MID(UPPER(TRIM(D44)),8,1))/10)+MOD(2*VALUE(MID(UPPER(TRIM(D44)),8,1)),10)),10),10)+1,1)),"OK","REVISAR")),"REVISAR")))</f>
        <v/>
      </c>
      <c r="Q44">
        <f>IF(B44="","",IF(COUNTIFS($B$2:$B$501,B44,$D$2:$D$501,D44)&gt;1,"DUPLICADA",""))</f>
        <v/>
      </c>
      <c r="R44">
        <f>IF(A44="","",ROUNDUP(MONTH(A44)/3,0))</f>
        <v/>
      </c>
      <c r="S44" s="3" t="n"/>
    </row>
    <row r="45">
      <c r="A45" s="2" t="n"/>
      <c r="B45" s="3" t="n"/>
      <c r="C45" s="3" t="n"/>
      <c r="D45" s="3" t="n"/>
      <c r="E45" s="4" t="n"/>
      <c r="F45" s="4" t="n"/>
      <c r="G45" s="4" t="n"/>
      <c r="H45" s="4" t="n"/>
      <c r="I45" s="5">
        <f>IF(E45="","",ROUND(E45*0.21,2))</f>
        <v/>
      </c>
      <c r="J45" s="5">
        <f>IF(F45="","",ROUND(F45*0.1,2))</f>
        <v/>
      </c>
      <c r="K45" s="5">
        <f>IF(G45="","",ROUND(G45*0.04,2))</f>
        <v/>
      </c>
      <c r="L45" s="4" t="n"/>
      <c r="M45" s="4" t="n"/>
      <c r="N45" s="5">
        <f>IF(A45="","",SUM(E45:K45)-N(L45))</f>
        <v/>
      </c>
      <c r="O45">
        <f>IF(OR(A45="",M45=""),"",IF(ABS(M45-N45)&lt;=0.02,"OK","REVISAR"))</f>
        <v/>
      </c>
      <c r="P45">
        <f>IF(D45="","",IF(LEN(TRIM(D45))&lt;&gt;9,"REVISAR",IFERROR(IF(OR(ISNUMBER(VALUE(LEFT(UPPER(TRIM(D45)),1))),LEFT(UPPER(TRIM(D45)),1)="X",LEFT(UPPER(TRIM(D45)),1)="Y",LEFT(UPPER(TRIM(D45)),1)="Z"),IF(MID("TRWAGMYFPDXBNJZSQVHLCKE",MOD(VALUE(SUBSTITUTE(SUBSTITUTE(SUBSTITUTE(LEFT(UPPER(TRIM(D45)),8),"X","0"),"Y","1"),"Z","2")),23)+1,1)=RIGHT(UPPER(TRIM(D45)),1),"OK","REVISAR"),IF(OR(RIGHT(UPPER(TRIM(D45)),1)=TEXT(MOD(10-MOD((VALUE(MID(UPPER(TRIM(D45)),3,1))+VALUE(MID(UPPER(TRIM(D45)),5,1))+VALUE(MID(UPPER(TRIM(D45)),7,1)))+(INT(2*VALUE(MID(UPPER(TRIM(D45)),2,1))/10)+MOD(2*VALUE(MID(UPPER(TRIM(D45)),2,1)),10))+(INT(2*VALUE(MID(UPPER(TRIM(D45)),4,1))/10)+MOD(2*VALUE(MID(UPPER(TRIM(D45)),4,1)),10))+(INT(2*VALUE(MID(UPPER(TRIM(D45)),6,1))/10)+MOD(2*VALUE(MID(UPPER(TRIM(D45)),6,1)),10))+(INT(2*VALUE(MID(UPPER(TRIM(D45)),8,1))/10)+MOD(2*VALUE(MID(UPPER(TRIM(D45)),8,1)),10)),10),10),"0"),RIGHT(UPPER(TRIM(D45)),1)=MID("JABCDEFGHI",MOD(10-MOD((VALUE(MID(UPPER(TRIM(D45)),3,1))+VALUE(MID(UPPER(TRIM(D45)),5,1))+VALUE(MID(UPPER(TRIM(D45)),7,1)))+(INT(2*VALUE(MID(UPPER(TRIM(D45)),2,1))/10)+MOD(2*VALUE(MID(UPPER(TRIM(D45)),2,1)),10))+(INT(2*VALUE(MID(UPPER(TRIM(D45)),4,1))/10)+MOD(2*VALUE(MID(UPPER(TRIM(D45)),4,1)),10))+(INT(2*VALUE(MID(UPPER(TRIM(D45)),6,1))/10)+MOD(2*VALUE(MID(UPPER(TRIM(D45)),6,1)),10))+(INT(2*VALUE(MID(UPPER(TRIM(D45)),8,1))/10)+MOD(2*VALUE(MID(UPPER(TRIM(D45)),8,1)),10)),10),10)+1,1)),"OK","REVISAR")),"REVISAR")))</f>
        <v/>
      </c>
      <c r="Q45">
        <f>IF(B45="","",IF(COUNTIFS($B$2:$B$501,B45,$D$2:$D$501,D45)&gt;1,"DUPLICADA",""))</f>
        <v/>
      </c>
      <c r="R45">
        <f>IF(A45="","",ROUNDUP(MONTH(A45)/3,0))</f>
        <v/>
      </c>
      <c r="S45" s="3" t="n"/>
    </row>
    <row r="46">
      <c r="A46" s="2" t="n"/>
      <c r="B46" s="3" t="n"/>
      <c r="C46" s="3" t="n"/>
      <c r="D46" s="3" t="n"/>
      <c r="E46" s="4" t="n"/>
      <c r="F46" s="4" t="n"/>
      <c r="G46" s="4" t="n"/>
      <c r="H46" s="4" t="n"/>
      <c r="I46" s="5">
        <f>IF(E46="","",ROUND(E46*0.21,2))</f>
        <v/>
      </c>
      <c r="J46" s="5">
        <f>IF(F46="","",ROUND(F46*0.1,2))</f>
        <v/>
      </c>
      <c r="K46" s="5">
        <f>IF(G46="","",ROUND(G46*0.04,2))</f>
        <v/>
      </c>
      <c r="L46" s="4" t="n"/>
      <c r="M46" s="4" t="n"/>
      <c r="N46" s="5">
        <f>IF(A46="","",SUM(E46:K46)-N(L46))</f>
        <v/>
      </c>
      <c r="O46">
        <f>IF(OR(A46="",M46=""),"",IF(ABS(M46-N46)&lt;=0.02,"OK","REVISAR"))</f>
        <v/>
      </c>
      <c r="P46">
        <f>IF(D46="","",IF(LEN(TRIM(D46))&lt;&gt;9,"REVISAR",IFERROR(IF(OR(ISNUMBER(VALUE(LEFT(UPPER(TRIM(D46)),1))),LEFT(UPPER(TRIM(D46)),1)="X",LEFT(UPPER(TRIM(D46)),1)="Y",LEFT(UPPER(TRIM(D46)),1)="Z"),IF(MID("TRWAGMYFPDXBNJZSQVHLCKE",MOD(VALUE(SUBSTITUTE(SUBSTITUTE(SUBSTITUTE(LEFT(UPPER(TRIM(D46)),8),"X","0"),"Y","1"),"Z","2")),23)+1,1)=RIGHT(UPPER(TRIM(D46)),1),"OK","REVISAR"),IF(OR(RIGHT(UPPER(TRIM(D46)),1)=TEXT(MOD(10-MOD((VALUE(MID(UPPER(TRIM(D46)),3,1))+VALUE(MID(UPPER(TRIM(D46)),5,1))+VALUE(MID(UPPER(TRIM(D46)),7,1)))+(INT(2*VALUE(MID(UPPER(TRIM(D46)),2,1))/10)+MOD(2*VALUE(MID(UPPER(TRIM(D46)),2,1)),10))+(INT(2*VALUE(MID(UPPER(TRIM(D46)),4,1))/10)+MOD(2*VALUE(MID(UPPER(TRIM(D46)),4,1)),10))+(INT(2*VALUE(MID(UPPER(TRIM(D46)),6,1))/10)+MOD(2*VALUE(MID(UPPER(TRIM(D46)),6,1)),10))+(INT(2*VALUE(MID(UPPER(TRIM(D46)),8,1))/10)+MOD(2*VALUE(MID(UPPER(TRIM(D46)),8,1)),10)),10),10),"0"),RIGHT(UPPER(TRIM(D46)),1)=MID("JABCDEFGHI",MOD(10-MOD((VALUE(MID(UPPER(TRIM(D46)),3,1))+VALUE(MID(UPPER(TRIM(D46)),5,1))+VALUE(MID(UPPER(TRIM(D46)),7,1)))+(INT(2*VALUE(MID(UPPER(TRIM(D46)),2,1))/10)+MOD(2*VALUE(MID(UPPER(TRIM(D46)),2,1)),10))+(INT(2*VALUE(MID(UPPER(TRIM(D46)),4,1))/10)+MOD(2*VALUE(MID(UPPER(TRIM(D46)),4,1)),10))+(INT(2*VALUE(MID(UPPER(TRIM(D46)),6,1))/10)+MOD(2*VALUE(MID(UPPER(TRIM(D46)),6,1)),10))+(INT(2*VALUE(MID(UPPER(TRIM(D46)),8,1))/10)+MOD(2*VALUE(MID(UPPER(TRIM(D46)),8,1)),10)),10),10)+1,1)),"OK","REVISAR")),"REVISAR")))</f>
        <v/>
      </c>
      <c r="Q46">
        <f>IF(B46="","",IF(COUNTIFS($B$2:$B$501,B46,$D$2:$D$501,D46)&gt;1,"DUPLICADA",""))</f>
        <v/>
      </c>
      <c r="R46">
        <f>IF(A46="","",ROUNDUP(MONTH(A46)/3,0))</f>
        <v/>
      </c>
      <c r="S46" s="3" t="n"/>
    </row>
    <row r="47">
      <c r="A47" s="2" t="n"/>
      <c r="B47" s="3" t="n"/>
      <c r="C47" s="3" t="n"/>
      <c r="D47" s="3" t="n"/>
      <c r="E47" s="4" t="n"/>
      <c r="F47" s="4" t="n"/>
      <c r="G47" s="4" t="n"/>
      <c r="H47" s="4" t="n"/>
      <c r="I47" s="5">
        <f>IF(E47="","",ROUND(E47*0.21,2))</f>
        <v/>
      </c>
      <c r="J47" s="5">
        <f>IF(F47="","",ROUND(F47*0.1,2))</f>
        <v/>
      </c>
      <c r="K47" s="5">
        <f>IF(G47="","",ROUND(G47*0.04,2))</f>
        <v/>
      </c>
      <c r="L47" s="4" t="n"/>
      <c r="M47" s="4" t="n"/>
      <c r="N47" s="5">
        <f>IF(A47="","",SUM(E47:K47)-N(L47))</f>
        <v/>
      </c>
      <c r="O47">
        <f>IF(OR(A47="",M47=""),"",IF(ABS(M47-N47)&lt;=0.02,"OK","REVISAR"))</f>
        <v/>
      </c>
      <c r="P47">
        <f>IF(D47="","",IF(LEN(TRIM(D47))&lt;&gt;9,"REVISAR",IFERROR(IF(OR(ISNUMBER(VALUE(LEFT(UPPER(TRIM(D47)),1))),LEFT(UPPER(TRIM(D47)),1)="X",LEFT(UPPER(TRIM(D47)),1)="Y",LEFT(UPPER(TRIM(D47)),1)="Z"),IF(MID("TRWAGMYFPDXBNJZSQVHLCKE",MOD(VALUE(SUBSTITUTE(SUBSTITUTE(SUBSTITUTE(LEFT(UPPER(TRIM(D47)),8),"X","0"),"Y","1"),"Z","2")),23)+1,1)=RIGHT(UPPER(TRIM(D47)),1),"OK","REVISAR"),IF(OR(RIGHT(UPPER(TRIM(D47)),1)=TEXT(MOD(10-MOD((VALUE(MID(UPPER(TRIM(D47)),3,1))+VALUE(MID(UPPER(TRIM(D47)),5,1))+VALUE(MID(UPPER(TRIM(D47)),7,1)))+(INT(2*VALUE(MID(UPPER(TRIM(D47)),2,1))/10)+MOD(2*VALUE(MID(UPPER(TRIM(D47)),2,1)),10))+(INT(2*VALUE(MID(UPPER(TRIM(D47)),4,1))/10)+MOD(2*VALUE(MID(UPPER(TRIM(D47)),4,1)),10))+(INT(2*VALUE(MID(UPPER(TRIM(D47)),6,1))/10)+MOD(2*VALUE(MID(UPPER(TRIM(D47)),6,1)),10))+(INT(2*VALUE(MID(UPPER(TRIM(D47)),8,1))/10)+MOD(2*VALUE(MID(UPPER(TRIM(D47)),8,1)),10)),10),10),"0"),RIGHT(UPPER(TRIM(D47)),1)=MID("JABCDEFGHI",MOD(10-MOD((VALUE(MID(UPPER(TRIM(D47)),3,1))+VALUE(MID(UPPER(TRIM(D47)),5,1))+VALUE(MID(UPPER(TRIM(D47)),7,1)))+(INT(2*VALUE(MID(UPPER(TRIM(D47)),2,1))/10)+MOD(2*VALUE(MID(UPPER(TRIM(D47)),2,1)),10))+(INT(2*VALUE(MID(UPPER(TRIM(D47)),4,1))/10)+MOD(2*VALUE(MID(UPPER(TRIM(D47)),4,1)),10))+(INT(2*VALUE(MID(UPPER(TRIM(D47)),6,1))/10)+MOD(2*VALUE(MID(UPPER(TRIM(D47)),6,1)),10))+(INT(2*VALUE(MID(UPPER(TRIM(D47)),8,1))/10)+MOD(2*VALUE(MID(UPPER(TRIM(D47)),8,1)),10)),10),10)+1,1)),"OK","REVISAR")),"REVISAR")))</f>
        <v/>
      </c>
      <c r="Q47">
        <f>IF(B47="","",IF(COUNTIFS($B$2:$B$501,B47,$D$2:$D$501,D47)&gt;1,"DUPLICADA",""))</f>
        <v/>
      </c>
      <c r="R47">
        <f>IF(A47="","",ROUNDUP(MONTH(A47)/3,0))</f>
        <v/>
      </c>
      <c r="S47" s="3" t="n"/>
    </row>
    <row r="48">
      <c r="A48" s="2" t="n"/>
      <c r="B48" s="3" t="n"/>
      <c r="C48" s="3" t="n"/>
      <c r="D48" s="3" t="n"/>
      <c r="E48" s="4" t="n"/>
      <c r="F48" s="4" t="n"/>
      <c r="G48" s="4" t="n"/>
      <c r="H48" s="4" t="n"/>
      <c r="I48" s="5">
        <f>IF(E48="","",ROUND(E48*0.21,2))</f>
        <v/>
      </c>
      <c r="J48" s="5">
        <f>IF(F48="","",ROUND(F48*0.1,2))</f>
        <v/>
      </c>
      <c r="K48" s="5">
        <f>IF(G48="","",ROUND(G48*0.04,2))</f>
        <v/>
      </c>
      <c r="L48" s="4" t="n"/>
      <c r="M48" s="4" t="n"/>
      <c r="N48" s="5">
        <f>IF(A48="","",SUM(E48:K48)-N(L48))</f>
        <v/>
      </c>
      <c r="O48">
        <f>IF(OR(A48="",M48=""),"",IF(ABS(M48-N48)&lt;=0.02,"OK","REVISAR"))</f>
        <v/>
      </c>
      <c r="P48">
        <f>IF(D48="","",IF(LEN(TRIM(D48))&lt;&gt;9,"REVISAR",IFERROR(IF(OR(ISNUMBER(VALUE(LEFT(UPPER(TRIM(D48)),1))),LEFT(UPPER(TRIM(D48)),1)="X",LEFT(UPPER(TRIM(D48)),1)="Y",LEFT(UPPER(TRIM(D48)),1)="Z"),IF(MID("TRWAGMYFPDXBNJZSQVHLCKE",MOD(VALUE(SUBSTITUTE(SUBSTITUTE(SUBSTITUTE(LEFT(UPPER(TRIM(D48)),8),"X","0"),"Y","1"),"Z","2")),23)+1,1)=RIGHT(UPPER(TRIM(D48)),1),"OK","REVISAR"),IF(OR(RIGHT(UPPER(TRIM(D48)),1)=TEXT(MOD(10-MOD((VALUE(MID(UPPER(TRIM(D48)),3,1))+VALUE(MID(UPPER(TRIM(D48)),5,1))+VALUE(MID(UPPER(TRIM(D48)),7,1)))+(INT(2*VALUE(MID(UPPER(TRIM(D48)),2,1))/10)+MOD(2*VALUE(MID(UPPER(TRIM(D48)),2,1)),10))+(INT(2*VALUE(MID(UPPER(TRIM(D48)),4,1))/10)+MOD(2*VALUE(MID(UPPER(TRIM(D48)),4,1)),10))+(INT(2*VALUE(MID(UPPER(TRIM(D48)),6,1))/10)+MOD(2*VALUE(MID(UPPER(TRIM(D48)),6,1)),10))+(INT(2*VALUE(MID(UPPER(TRIM(D48)),8,1))/10)+MOD(2*VALUE(MID(UPPER(TRIM(D48)),8,1)),10)),10),10),"0"),RIGHT(UPPER(TRIM(D48)),1)=MID("JABCDEFGHI",MOD(10-MOD((VALUE(MID(UPPER(TRIM(D48)),3,1))+VALUE(MID(UPPER(TRIM(D48)),5,1))+VALUE(MID(UPPER(TRIM(D48)),7,1)))+(INT(2*VALUE(MID(UPPER(TRIM(D48)),2,1))/10)+MOD(2*VALUE(MID(UPPER(TRIM(D48)),2,1)),10))+(INT(2*VALUE(MID(UPPER(TRIM(D48)),4,1))/10)+MOD(2*VALUE(MID(UPPER(TRIM(D48)),4,1)),10))+(INT(2*VALUE(MID(UPPER(TRIM(D48)),6,1))/10)+MOD(2*VALUE(MID(UPPER(TRIM(D48)),6,1)),10))+(INT(2*VALUE(MID(UPPER(TRIM(D48)),8,1))/10)+MOD(2*VALUE(MID(UPPER(TRIM(D48)),8,1)),10)),10),10)+1,1)),"OK","REVISAR")),"REVISAR")))</f>
        <v/>
      </c>
      <c r="Q48">
        <f>IF(B48="","",IF(COUNTIFS($B$2:$B$501,B48,$D$2:$D$501,D48)&gt;1,"DUPLICADA",""))</f>
        <v/>
      </c>
      <c r="R48">
        <f>IF(A48="","",ROUNDUP(MONTH(A48)/3,0))</f>
        <v/>
      </c>
      <c r="S48" s="3" t="n"/>
    </row>
    <row r="49">
      <c r="A49" s="2" t="n"/>
      <c r="B49" s="3" t="n"/>
      <c r="C49" s="3" t="n"/>
      <c r="D49" s="3" t="n"/>
      <c r="E49" s="4" t="n"/>
      <c r="F49" s="4" t="n"/>
      <c r="G49" s="4" t="n"/>
      <c r="H49" s="4" t="n"/>
      <c r="I49" s="5">
        <f>IF(E49="","",ROUND(E49*0.21,2))</f>
        <v/>
      </c>
      <c r="J49" s="5">
        <f>IF(F49="","",ROUND(F49*0.1,2))</f>
        <v/>
      </c>
      <c r="K49" s="5">
        <f>IF(G49="","",ROUND(G49*0.04,2))</f>
        <v/>
      </c>
      <c r="L49" s="4" t="n"/>
      <c r="M49" s="4" t="n"/>
      <c r="N49" s="5">
        <f>IF(A49="","",SUM(E49:K49)-N(L49))</f>
        <v/>
      </c>
      <c r="O49">
        <f>IF(OR(A49="",M49=""),"",IF(ABS(M49-N49)&lt;=0.02,"OK","REVISAR"))</f>
        <v/>
      </c>
      <c r="P49">
        <f>IF(D49="","",IF(LEN(TRIM(D49))&lt;&gt;9,"REVISAR",IFERROR(IF(OR(ISNUMBER(VALUE(LEFT(UPPER(TRIM(D49)),1))),LEFT(UPPER(TRIM(D49)),1)="X",LEFT(UPPER(TRIM(D49)),1)="Y",LEFT(UPPER(TRIM(D49)),1)="Z"),IF(MID("TRWAGMYFPDXBNJZSQVHLCKE",MOD(VALUE(SUBSTITUTE(SUBSTITUTE(SUBSTITUTE(LEFT(UPPER(TRIM(D49)),8),"X","0"),"Y","1"),"Z","2")),23)+1,1)=RIGHT(UPPER(TRIM(D49)),1),"OK","REVISAR"),IF(OR(RIGHT(UPPER(TRIM(D49)),1)=TEXT(MOD(10-MOD((VALUE(MID(UPPER(TRIM(D49)),3,1))+VALUE(MID(UPPER(TRIM(D49)),5,1))+VALUE(MID(UPPER(TRIM(D49)),7,1)))+(INT(2*VALUE(MID(UPPER(TRIM(D49)),2,1))/10)+MOD(2*VALUE(MID(UPPER(TRIM(D49)),2,1)),10))+(INT(2*VALUE(MID(UPPER(TRIM(D49)),4,1))/10)+MOD(2*VALUE(MID(UPPER(TRIM(D49)),4,1)),10))+(INT(2*VALUE(MID(UPPER(TRIM(D49)),6,1))/10)+MOD(2*VALUE(MID(UPPER(TRIM(D49)),6,1)),10))+(INT(2*VALUE(MID(UPPER(TRIM(D49)),8,1))/10)+MOD(2*VALUE(MID(UPPER(TRIM(D49)),8,1)),10)),10),10),"0"),RIGHT(UPPER(TRIM(D49)),1)=MID("JABCDEFGHI",MOD(10-MOD((VALUE(MID(UPPER(TRIM(D49)),3,1))+VALUE(MID(UPPER(TRIM(D49)),5,1))+VALUE(MID(UPPER(TRIM(D49)),7,1)))+(INT(2*VALUE(MID(UPPER(TRIM(D49)),2,1))/10)+MOD(2*VALUE(MID(UPPER(TRIM(D49)),2,1)),10))+(INT(2*VALUE(MID(UPPER(TRIM(D49)),4,1))/10)+MOD(2*VALUE(MID(UPPER(TRIM(D49)),4,1)),10))+(INT(2*VALUE(MID(UPPER(TRIM(D49)),6,1))/10)+MOD(2*VALUE(MID(UPPER(TRIM(D49)),6,1)),10))+(INT(2*VALUE(MID(UPPER(TRIM(D49)),8,1))/10)+MOD(2*VALUE(MID(UPPER(TRIM(D49)),8,1)),10)),10),10)+1,1)),"OK","REVISAR")),"REVISAR")))</f>
        <v/>
      </c>
      <c r="Q49">
        <f>IF(B49="","",IF(COUNTIFS($B$2:$B$501,B49,$D$2:$D$501,D49)&gt;1,"DUPLICADA",""))</f>
        <v/>
      </c>
      <c r="R49">
        <f>IF(A49="","",ROUNDUP(MONTH(A49)/3,0))</f>
        <v/>
      </c>
      <c r="S49" s="3" t="n"/>
    </row>
    <row r="50">
      <c r="A50" s="2" t="n"/>
      <c r="B50" s="3" t="n"/>
      <c r="C50" s="3" t="n"/>
      <c r="D50" s="3" t="n"/>
      <c r="E50" s="4" t="n"/>
      <c r="F50" s="4" t="n"/>
      <c r="G50" s="4" t="n"/>
      <c r="H50" s="4" t="n"/>
      <c r="I50" s="5">
        <f>IF(E50="","",ROUND(E50*0.21,2))</f>
        <v/>
      </c>
      <c r="J50" s="5">
        <f>IF(F50="","",ROUND(F50*0.1,2))</f>
        <v/>
      </c>
      <c r="K50" s="5">
        <f>IF(G50="","",ROUND(G50*0.04,2))</f>
        <v/>
      </c>
      <c r="L50" s="4" t="n"/>
      <c r="M50" s="4" t="n"/>
      <c r="N50" s="5">
        <f>IF(A50="","",SUM(E50:K50)-N(L50))</f>
        <v/>
      </c>
      <c r="O50">
        <f>IF(OR(A50="",M50=""),"",IF(ABS(M50-N50)&lt;=0.02,"OK","REVISAR"))</f>
        <v/>
      </c>
      <c r="P50">
        <f>IF(D50="","",IF(LEN(TRIM(D50))&lt;&gt;9,"REVISAR",IFERROR(IF(OR(ISNUMBER(VALUE(LEFT(UPPER(TRIM(D50)),1))),LEFT(UPPER(TRIM(D50)),1)="X",LEFT(UPPER(TRIM(D50)),1)="Y",LEFT(UPPER(TRIM(D50)),1)="Z"),IF(MID("TRWAGMYFPDXBNJZSQVHLCKE",MOD(VALUE(SUBSTITUTE(SUBSTITUTE(SUBSTITUTE(LEFT(UPPER(TRIM(D50)),8),"X","0"),"Y","1"),"Z","2")),23)+1,1)=RIGHT(UPPER(TRIM(D50)),1),"OK","REVISAR"),IF(OR(RIGHT(UPPER(TRIM(D50)),1)=TEXT(MOD(10-MOD((VALUE(MID(UPPER(TRIM(D50)),3,1))+VALUE(MID(UPPER(TRIM(D50)),5,1))+VALUE(MID(UPPER(TRIM(D50)),7,1)))+(INT(2*VALUE(MID(UPPER(TRIM(D50)),2,1))/10)+MOD(2*VALUE(MID(UPPER(TRIM(D50)),2,1)),10))+(INT(2*VALUE(MID(UPPER(TRIM(D50)),4,1))/10)+MOD(2*VALUE(MID(UPPER(TRIM(D50)),4,1)),10))+(INT(2*VALUE(MID(UPPER(TRIM(D50)),6,1))/10)+MOD(2*VALUE(MID(UPPER(TRIM(D50)),6,1)),10))+(INT(2*VALUE(MID(UPPER(TRIM(D50)),8,1))/10)+MOD(2*VALUE(MID(UPPER(TRIM(D50)),8,1)),10)),10),10),"0"),RIGHT(UPPER(TRIM(D50)),1)=MID("JABCDEFGHI",MOD(10-MOD((VALUE(MID(UPPER(TRIM(D50)),3,1))+VALUE(MID(UPPER(TRIM(D50)),5,1))+VALUE(MID(UPPER(TRIM(D50)),7,1)))+(INT(2*VALUE(MID(UPPER(TRIM(D50)),2,1))/10)+MOD(2*VALUE(MID(UPPER(TRIM(D50)),2,1)),10))+(INT(2*VALUE(MID(UPPER(TRIM(D50)),4,1))/10)+MOD(2*VALUE(MID(UPPER(TRIM(D50)),4,1)),10))+(INT(2*VALUE(MID(UPPER(TRIM(D50)),6,1))/10)+MOD(2*VALUE(MID(UPPER(TRIM(D50)),6,1)),10))+(INT(2*VALUE(MID(UPPER(TRIM(D50)),8,1))/10)+MOD(2*VALUE(MID(UPPER(TRIM(D50)),8,1)),10)),10),10)+1,1)),"OK","REVISAR")),"REVISAR")))</f>
        <v/>
      </c>
      <c r="Q50">
        <f>IF(B50="","",IF(COUNTIFS($B$2:$B$501,B50,$D$2:$D$501,D50)&gt;1,"DUPLICADA",""))</f>
        <v/>
      </c>
      <c r="R50">
        <f>IF(A50="","",ROUNDUP(MONTH(A50)/3,0))</f>
        <v/>
      </c>
      <c r="S50" s="3" t="n"/>
    </row>
    <row r="51">
      <c r="A51" s="2" t="n"/>
      <c r="B51" s="3" t="n"/>
      <c r="C51" s="3" t="n"/>
      <c r="D51" s="3" t="n"/>
      <c r="E51" s="4" t="n"/>
      <c r="F51" s="4" t="n"/>
      <c r="G51" s="4" t="n"/>
      <c r="H51" s="4" t="n"/>
      <c r="I51" s="5">
        <f>IF(E51="","",ROUND(E51*0.21,2))</f>
        <v/>
      </c>
      <c r="J51" s="5">
        <f>IF(F51="","",ROUND(F51*0.1,2))</f>
        <v/>
      </c>
      <c r="K51" s="5">
        <f>IF(G51="","",ROUND(G51*0.04,2))</f>
        <v/>
      </c>
      <c r="L51" s="4" t="n"/>
      <c r="M51" s="4" t="n"/>
      <c r="N51" s="5">
        <f>IF(A51="","",SUM(E51:K51)-N(L51))</f>
        <v/>
      </c>
      <c r="O51">
        <f>IF(OR(A51="",M51=""),"",IF(ABS(M51-N51)&lt;=0.02,"OK","REVISAR"))</f>
        <v/>
      </c>
      <c r="P51">
        <f>IF(D51="","",IF(LEN(TRIM(D51))&lt;&gt;9,"REVISAR",IFERROR(IF(OR(ISNUMBER(VALUE(LEFT(UPPER(TRIM(D51)),1))),LEFT(UPPER(TRIM(D51)),1)="X",LEFT(UPPER(TRIM(D51)),1)="Y",LEFT(UPPER(TRIM(D51)),1)="Z"),IF(MID("TRWAGMYFPDXBNJZSQVHLCKE",MOD(VALUE(SUBSTITUTE(SUBSTITUTE(SUBSTITUTE(LEFT(UPPER(TRIM(D51)),8),"X","0"),"Y","1"),"Z","2")),23)+1,1)=RIGHT(UPPER(TRIM(D51)),1),"OK","REVISAR"),IF(OR(RIGHT(UPPER(TRIM(D51)),1)=TEXT(MOD(10-MOD((VALUE(MID(UPPER(TRIM(D51)),3,1))+VALUE(MID(UPPER(TRIM(D51)),5,1))+VALUE(MID(UPPER(TRIM(D51)),7,1)))+(INT(2*VALUE(MID(UPPER(TRIM(D51)),2,1))/10)+MOD(2*VALUE(MID(UPPER(TRIM(D51)),2,1)),10))+(INT(2*VALUE(MID(UPPER(TRIM(D51)),4,1))/10)+MOD(2*VALUE(MID(UPPER(TRIM(D51)),4,1)),10))+(INT(2*VALUE(MID(UPPER(TRIM(D51)),6,1))/10)+MOD(2*VALUE(MID(UPPER(TRIM(D51)),6,1)),10))+(INT(2*VALUE(MID(UPPER(TRIM(D51)),8,1))/10)+MOD(2*VALUE(MID(UPPER(TRIM(D51)),8,1)),10)),10),10),"0"),RIGHT(UPPER(TRIM(D51)),1)=MID("JABCDEFGHI",MOD(10-MOD((VALUE(MID(UPPER(TRIM(D51)),3,1))+VALUE(MID(UPPER(TRIM(D51)),5,1))+VALUE(MID(UPPER(TRIM(D51)),7,1)))+(INT(2*VALUE(MID(UPPER(TRIM(D51)),2,1))/10)+MOD(2*VALUE(MID(UPPER(TRIM(D51)),2,1)),10))+(INT(2*VALUE(MID(UPPER(TRIM(D51)),4,1))/10)+MOD(2*VALUE(MID(UPPER(TRIM(D51)),4,1)),10))+(INT(2*VALUE(MID(UPPER(TRIM(D51)),6,1))/10)+MOD(2*VALUE(MID(UPPER(TRIM(D51)),6,1)),10))+(INT(2*VALUE(MID(UPPER(TRIM(D51)),8,1))/10)+MOD(2*VALUE(MID(UPPER(TRIM(D51)),8,1)),10)),10),10)+1,1)),"OK","REVISAR")),"REVISAR")))</f>
        <v/>
      </c>
      <c r="Q51">
        <f>IF(B51="","",IF(COUNTIFS($B$2:$B$501,B51,$D$2:$D$501,D51)&gt;1,"DUPLICADA",""))</f>
        <v/>
      </c>
      <c r="R51">
        <f>IF(A51="","",ROUNDUP(MONTH(A51)/3,0))</f>
        <v/>
      </c>
      <c r="S51" s="3" t="n"/>
    </row>
    <row r="52">
      <c r="A52" s="2" t="n"/>
      <c r="B52" s="3" t="n"/>
      <c r="C52" s="3" t="n"/>
      <c r="D52" s="3" t="n"/>
      <c r="E52" s="4" t="n"/>
      <c r="F52" s="4" t="n"/>
      <c r="G52" s="4" t="n"/>
      <c r="H52" s="4" t="n"/>
      <c r="I52" s="5">
        <f>IF(E52="","",ROUND(E52*0.21,2))</f>
        <v/>
      </c>
      <c r="J52" s="5">
        <f>IF(F52="","",ROUND(F52*0.1,2))</f>
        <v/>
      </c>
      <c r="K52" s="5">
        <f>IF(G52="","",ROUND(G52*0.04,2))</f>
        <v/>
      </c>
      <c r="L52" s="4" t="n"/>
      <c r="M52" s="4" t="n"/>
      <c r="N52" s="5">
        <f>IF(A52="","",SUM(E52:K52)-N(L52))</f>
        <v/>
      </c>
      <c r="O52">
        <f>IF(OR(A52="",M52=""),"",IF(ABS(M52-N52)&lt;=0.02,"OK","REVISAR"))</f>
        <v/>
      </c>
      <c r="P52">
        <f>IF(D52="","",IF(LEN(TRIM(D52))&lt;&gt;9,"REVISAR",IFERROR(IF(OR(ISNUMBER(VALUE(LEFT(UPPER(TRIM(D52)),1))),LEFT(UPPER(TRIM(D52)),1)="X",LEFT(UPPER(TRIM(D52)),1)="Y",LEFT(UPPER(TRIM(D52)),1)="Z"),IF(MID("TRWAGMYFPDXBNJZSQVHLCKE",MOD(VALUE(SUBSTITUTE(SUBSTITUTE(SUBSTITUTE(LEFT(UPPER(TRIM(D52)),8),"X","0"),"Y","1"),"Z","2")),23)+1,1)=RIGHT(UPPER(TRIM(D52)),1),"OK","REVISAR"),IF(OR(RIGHT(UPPER(TRIM(D52)),1)=TEXT(MOD(10-MOD((VALUE(MID(UPPER(TRIM(D52)),3,1))+VALUE(MID(UPPER(TRIM(D52)),5,1))+VALUE(MID(UPPER(TRIM(D52)),7,1)))+(INT(2*VALUE(MID(UPPER(TRIM(D52)),2,1))/10)+MOD(2*VALUE(MID(UPPER(TRIM(D52)),2,1)),10))+(INT(2*VALUE(MID(UPPER(TRIM(D52)),4,1))/10)+MOD(2*VALUE(MID(UPPER(TRIM(D52)),4,1)),10))+(INT(2*VALUE(MID(UPPER(TRIM(D52)),6,1))/10)+MOD(2*VALUE(MID(UPPER(TRIM(D52)),6,1)),10))+(INT(2*VALUE(MID(UPPER(TRIM(D52)),8,1))/10)+MOD(2*VALUE(MID(UPPER(TRIM(D52)),8,1)),10)),10),10),"0"),RIGHT(UPPER(TRIM(D52)),1)=MID("JABCDEFGHI",MOD(10-MOD((VALUE(MID(UPPER(TRIM(D52)),3,1))+VALUE(MID(UPPER(TRIM(D52)),5,1))+VALUE(MID(UPPER(TRIM(D52)),7,1)))+(INT(2*VALUE(MID(UPPER(TRIM(D52)),2,1))/10)+MOD(2*VALUE(MID(UPPER(TRIM(D52)),2,1)),10))+(INT(2*VALUE(MID(UPPER(TRIM(D52)),4,1))/10)+MOD(2*VALUE(MID(UPPER(TRIM(D52)),4,1)),10))+(INT(2*VALUE(MID(UPPER(TRIM(D52)),6,1))/10)+MOD(2*VALUE(MID(UPPER(TRIM(D52)),6,1)),10))+(INT(2*VALUE(MID(UPPER(TRIM(D52)),8,1))/10)+MOD(2*VALUE(MID(UPPER(TRIM(D52)),8,1)),10)),10),10)+1,1)),"OK","REVISAR")),"REVISAR")))</f>
        <v/>
      </c>
      <c r="Q52">
        <f>IF(B52="","",IF(COUNTIFS($B$2:$B$501,B52,$D$2:$D$501,D52)&gt;1,"DUPLICADA",""))</f>
        <v/>
      </c>
      <c r="R52">
        <f>IF(A52="","",ROUNDUP(MONTH(A52)/3,0))</f>
        <v/>
      </c>
      <c r="S52" s="3" t="n"/>
    </row>
    <row r="53">
      <c r="A53" s="2" t="n"/>
      <c r="B53" s="3" t="n"/>
      <c r="C53" s="3" t="n"/>
      <c r="D53" s="3" t="n"/>
      <c r="E53" s="4" t="n"/>
      <c r="F53" s="4" t="n"/>
      <c r="G53" s="4" t="n"/>
      <c r="H53" s="4" t="n"/>
      <c r="I53" s="5">
        <f>IF(E53="","",ROUND(E53*0.21,2))</f>
        <v/>
      </c>
      <c r="J53" s="5">
        <f>IF(F53="","",ROUND(F53*0.1,2))</f>
        <v/>
      </c>
      <c r="K53" s="5">
        <f>IF(G53="","",ROUND(G53*0.04,2))</f>
        <v/>
      </c>
      <c r="L53" s="4" t="n"/>
      <c r="M53" s="4" t="n"/>
      <c r="N53" s="5">
        <f>IF(A53="","",SUM(E53:K53)-N(L53))</f>
        <v/>
      </c>
      <c r="O53">
        <f>IF(OR(A53="",M53=""),"",IF(ABS(M53-N53)&lt;=0.02,"OK","REVISAR"))</f>
        <v/>
      </c>
      <c r="P53">
        <f>IF(D53="","",IF(LEN(TRIM(D53))&lt;&gt;9,"REVISAR",IFERROR(IF(OR(ISNUMBER(VALUE(LEFT(UPPER(TRIM(D53)),1))),LEFT(UPPER(TRIM(D53)),1)="X",LEFT(UPPER(TRIM(D53)),1)="Y",LEFT(UPPER(TRIM(D53)),1)="Z"),IF(MID("TRWAGMYFPDXBNJZSQVHLCKE",MOD(VALUE(SUBSTITUTE(SUBSTITUTE(SUBSTITUTE(LEFT(UPPER(TRIM(D53)),8),"X","0"),"Y","1"),"Z","2")),23)+1,1)=RIGHT(UPPER(TRIM(D53)),1),"OK","REVISAR"),IF(OR(RIGHT(UPPER(TRIM(D53)),1)=TEXT(MOD(10-MOD((VALUE(MID(UPPER(TRIM(D53)),3,1))+VALUE(MID(UPPER(TRIM(D53)),5,1))+VALUE(MID(UPPER(TRIM(D53)),7,1)))+(INT(2*VALUE(MID(UPPER(TRIM(D53)),2,1))/10)+MOD(2*VALUE(MID(UPPER(TRIM(D53)),2,1)),10))+(INT(2*VALUE(MID(UPPER(TRIM(D53)),4,1))/10)+MOD(2*VALUE(MID(UPPER(TRIM(D53)),4,1)),10))+(INT(2*VALUE(MID(UPPER(TRIM(D53)),6,1))/10)+MOD(2*VALUE(MID(UPPER(TRIM(D53)),6,1)),10))+(INT(2*VALUE(MID(UPPER(TRIM(D53)),8,1))/10)+MOD(2*VALUE(MID(UPPER(TRIM(D53)),8,1)),10)),10),10),"0"),RIGHT(UPPER(TRIM(D53)),1)=MID("JABCDEFGHI",MOD(10-MOD((VALUE(MID(UPPER(TRIM(D53)),3,1))+VALUE(MID(UPPER(TRIM(D53)),5,1))+VALUE(MID(UPPER(TRIM(D53)),7,1)))+(INT(2*VALUE(MID(UPPER(TRIM(D53)),2,1))/10)+MOD(2*VALUE(MID(UPPER(TRIM(D53)),2,1)),10))+(INT(2*VALUE(MID(UPPER(TRIM(D53)),4,1))/10)+MOD(2*VALUE(MID(UPPER(TRIM(D53)),4,1)),10))+(INT(2*VALUE(MID(UPPER(TRIM(D53)),6,1))/10)+MOD(2*VALUE(MID(UPPER(TRIM(D53)),6,1)),10))+(INT(2*VALUE(MID(UPPER(TRIM(D53)),8,1))/10)+MOD(2*VALUE(MID(UPPER(TRIM(D53)),8,1)),10)),10),10)+1,1)),"OK","REVISAR")),"REVISAR")))</f>
        <v/>
      </c>
      <c r="Q53">
        <f>IF(B53="","",IF(COUNTIFS($B$2:$B$501,B53,$D$2:$D$501,D53)&gt;1,"DUPLICADA",""))</f>
        <v/>
      </c>
      <c r="R53">
        <f>IF(A53="","",ROUNDUP(MONTH(A53)/3,0))</f>
        <v/>
      </c>
      <c r="S53" s="3" t="n"/>
    </row>
    <row r="54">
      <c r="A54" s="2" t="n"/>
      <c r="B54" s="3" t="n"/>
      <c r="C54" s="3" t="n"/>
      <c r="D54" s="3" t="n"/>
      <c r="E54" s="4" t="n"/>
      <c r="F54" s="4" t="n"/>
      <c r="G54" s="4" t="n"/>
      <c r="H54" s="4" t="n"/>
      <c r="I54" s="5">
        <f>IF(E54="","",ROUND(E54*0.21,2))</f>
        <v/>
      </c>
      <c r="J54" s="5">
        <f>IF(F54="","",ROUND(F54*0.1,2))</f>
        <v/>
      </c>
      <c r="K54" s="5">
        <f>IF(G54="","",ROUND(G54*0.04,2))</f>
        <v/>
      </c>
      <c r="L54" s="4" t="n"/>
      <c r="M54" s="4" t="n"/>
      <c r="N54" s="5">
        <f>IF(A54="","",SUM(E54:K54)-N(L54))</f>
        <v/>
      </c>
      <c r="O54">
        <f>IF(OR(A54="",M54=""),"",IF(ABS(M54-N54)&lt;=0.02,"OK","REVISAR"))</f>
        <v/>
      </c>
      <c r="P54">
        <f>IF(D54="","",IF(LEN(TRIM(D54))&lt;&gt;9,"REVISAR",IFERROR(IF(OR(ISNUMBER(VALUE(LEFT(UPPER(TRIM(D54)),1))),LEFT(UPPER(TRIM(D54)),1)="X",LEFT(UPPER(TRIM(D54)),1)="Y",LEFT(UPPER(TRIM(D54)),1)="Z"),IF(MID("TRWAGMYFPDXBNJZSQVHLCKE",MOD(VALUE(SUBSTITUTE(SUBSTITUTE(SUBSTITUTE(LEFT(UPPER(TRIM(D54)),8),"X","0"),"Y","1"),"Z","2")),23)+1,1)=RIGHT(UPPER(TRIM(D54)),1),"OK","REVISAR"),IF(OR(RIGHT(UPPER(TRIM(D54)),1)=TEXT(MOD(10-MOD((VALUE(MID(UPPER(TRIM(D54)),3,1))+VALUE(MID(UPPER(TRIM(D54)),5,1))+VALUE(MID(UPPER(TRIM(D54)),7,1)))+(INT(2*VALUE(MID(UPPER(TRIM(D54)),2,1))/10)+MOD(2*VALUE(MID(UPPER(TRIM(D54)),2,1)),10))+(INT(2*VALUE(MID(UPPER(TRIM(D54)),4,1))/10)+MOD(2*VALUE(MID(UPPER(TRIM(D54)),4,1)),10))+(INT(2*VALUE(MID(UPPER(TRIM(D54)),6,1))/10)+MOD(2*VALUE(MID(UPPER(TRIM(D54)),6,1)),10))+(INT(2*VALUE(MID(UPPER(TRIM(D54)),8,1))/10)+MOD(2*VALUE(MID(UPPER(TRIM(D54)),8,1)),10)),10),10),"0"),RIGHT(UPPER(TRIM(D54)),1)=MID("JABCDEFGHI",MOD(10-MOD((VALUE(MID(UPPER(TRIM(D54)),3,1))+VALUE(MID(UPPER(TRIM(D54)),5,1))+VALUE(MID(UPPER(TRIM(D54)),7,1)))+(INT(2*VALUE(MID(UPPER(TRIM(D54)),2,1))/10)+MOD(2*VALUE(MID(UPPER(TRIM(D54)),2,1)),10))+(INT(2*VALUE(MID(UPPER(TRIM(D54)),4,1))/10)+MOD(2*VALUE(MID(UPPER(TRIM(D54)),4,1)),10))+(INT(2*VALUE(MID(UPPER(TRIM(D54)),6,1))/10)+MOD(2*VALUE(MID(UPPER(TRIM(D54)),6,1)),10))+(INT(2*VALUE(MID(UPPER(TRIM(D54)),8,1))/10)+MOD(2*VALUE(MID(UPPER(TRIM(D54)),8,1)),10)),10),10)+1,1)),"OK","REVISAR")),"REVISAR")))</f>
        <v/>
      </c>
      <c r="Q54">
        <f>IF(B54="","",IF(COUNTIFS($B$2:$B$501,B54,$D$2:$D$501,D54)&gt;1,"DUPLICADA",""))</f>
        <v/>
      </c>
      <c r="R54">
        <f>IF(A54="","",ROUNDUP(MONTH(A54)/3,0))</f>
        <v/>
      </c>
      <c r="S54" s="3" t="n"/>
    </row>
    <row r="55">
      <c r="A55" s="2" t="n"/>
      <c r="B55" s="3" t="n"/>
      <c r="C55" s="3" t="n"/>
      <c r="D55" s="3" t="n"/>
      <c r="E55" s="4" t="n"/>
      <c r="F55" s="4" t="n"/>
      <c r="G55" s="4" t="n"/>
      <c r="H55" s="4" t="n"/>
      <c r="I55" s="5">
        <f>IF(E55="","",ROUND(E55*0.21,2))</f>
        <v/>
      </c>
      <c r="J55" s="5">
        <f>IF(F55="","",ROUND(F55*0.1,2))</f>
        <v/>
      </c>
      <c r="K55" s="5">
        <f>IF(G55="","",ROUND(G55*0.04,2))</f>
        <v/>
      </c>
      <c r="L55" s="4" t="n"/>
      <c r="M55" s="4" t="n"/>
      <c r="N55" s="5">
        <f>IF(A55="","",SUM(E55:K55)-N(L55))</f>
        <v/>
      </c>
      <c r="O55">
        <f>IF(OR(A55="",M55=""),"",IF(ABS(M55-N55)&lt;=0.02,"OK","REVISAR"))</f>
        <v/>
      </c>
      <c r="P55">
        <f>IF(D55="","",IF(LEN(TRIM(D55))&lt;&gt;9,"REVISAR",IFERROR(IF(OR(ISNUMBER(VALUE(LEFT(UPPER(TRIM(D55)),1))),LEFT(UPPER(TRIM(D55)),1)="X",LEFT(UPPER(TRIM(D55)),1)="Y",LEFT(UPPER(TRIM(D55)),1)="Z"),IF(MID("TRWAGMYFPDXBNJZSQVHLCKE",MOD(VALUE(SUBSTITUTE(SUBSTITUTE(SUBSTITUTE(LEFT(UPPER(TRIM(D55)),8),"X","0"),"Y","1"),"Z","2")),23)+1,1)=RIGHT(UPPER(TRIM(D55)),1),"OK","REVISAR"),IF(OR(RIGHT(UPPER(TRIM(D55)),1)=TEXT(MOD(10-MOD((VALUE(MID(UPPER(TRIM(D55)),3,1))+VALUE(MID(UPPER(TRIM(D55)),5,1))+VALUE(MID(UPPER(TRIM(D55)),7,1)))+(INT(2*VALUE(MID(UPPER(TRIM(D55)),2,1))/10)+MOD(2*VALUE(MID(UPPER(TRIM(D55)),2,1)),10))+(INT(2*VALUE(MID(UPPER(TRIM(D55)),4,1))/10)+MOD(2*VALUE(MID(UPPER(TRIM(D55)),4,1)),10))+(INT(2*VALUE(MID(UPPER(TRIM(D55)),6,1))/10)+MOD(2*VALUE(MID(UPPER(TRIM(D55)),6,1)),10))+(INT(2*VALUE(MID(UPPER(TRIM(D55)),8,1))/10)+MOD(2*VALUE(MID(UPPER(TRIM(D55)),8,1)),10)),10),10),"0"),RIGHT(UPPER(TRIM(D55)),1)=MID("JABCDEFGHI",MOD(10-MOD((VALUE(MID(UPPER(TRIM(D55)),3,1))+VALUE(MID(UPPER(TRIM(D55)),5,1))+VALUE(MID(UPPER(TRIM(D55)),7,1)))+(INT(2*VALUE(MID(UPPER(TRIM(D55)),2,1))/10)+MOD(2*VALUE(MID(UPPER(TRIM(D55)),2,1)),10))+(INT(2*VALUE(MID(UPPER(TRIM(D55)),4,1))/10)+MOD(2*VALUE(MID(UPPER(TRIM(D55)),4,1)),10))+(INT(2*VALUE(MID(UPPER(TRIM(D55)),6,1))/10)+MOD(2*VALUE(MID(UPPER(TRIM(D55)),6,1)),10))+(INT(2*VALUE(MID(UPPER(TRIM(D55)),8,1))/10)+MOD(2*VALUE(MID(UPPER(TRIM(D55)),8,1)),10)),10),10)+1,1)),"OK","REVISAR")),"REVISAR")))</f>
        <v/>
      </c>
      <c r="Q55">
        <f>IF(B55="","",IF(COUNTIFS($B$2:$B$501,B55,$D$2:$D$501,D55)&gt;1,"DUPLICADA",""))</f>
        <v/>
      </c>
      <c r="R55">
        <f>IF(A55="","",ROUNDUP(MONTH(A55)/3,0))</f>
        <v/>
      </c>
      <c r="S55" s="3" t="n"/>
    </row>
    <row r="56">
      <c r="A56" s="2" t="n"/>
      <c r="B56" s="3" t="n"/>
      <c r="C56" s="3" t="n"/>
      <c r="D56" s="3" t="n"/>
      <c r="E56" s="4" t="n"/>
      <c r="F56" s="4" t="n"/>
      <c r="G56" s="4" t="n"/>
      <c r="H56" s="4" t="n"/>
      <c r="I56" s="5">
        <f>IF(E56="","",ROUND(E56*0.21,2))</f>
        <v/>
      </c>
      <c r="J56" s="5">
        <f>IF(F56="","",ROUND(F56*0.1,2))</f>
        <v/>
      </c>
      <c r="K56" s="5">
        <f>IF(G56="","",ROUND(G56*0.04,2))</f>
        <v/>
      </c>
      <c r="L56" s="4" t="n"/>
      <c r="M56" s="4" t="n"/>
      <c r="N56" s="5">
        <f>IF(A56="","",SUM(E56:K56)-N(L56))</f>
        <v/>
      </c>
      <c r="O56">
        <f>IF(OR(A56="",M56=""),"",IF(ABS(M56-N56)&lt;=0.02,"OK","REVISAR"))</f>
        <v/>
      </c>
      <c r="P56">
        <f>IF(D56="","",IF(LEN(TRIM(D56))&lt;&gt;9,"REVISAR",IFERROR(IF(OR(ISNUMBER(VALUE(LEFT(UPPER(TRIM(D56)),1))),LEFT(UPPER(TRIM(D56)),1)="X",LEFT(UPPER(TRIM(D56)),1)="Y",LEFT(UPPER(TRIM(D56)),1)="Z"),IF(MID("TRWAGMYFPDXBNJZSQVHLCKE",MOD(VALUE(SUBSTITUTE(SUBSTITUTE(SUBSTITUTE(LEFT(UPPER(TRIM(D56)),8),"X","0"),"Y","1"),"Z","2")),23)+1,1)=RIGHT(UPPER(TRIM(D56)),1),"OK","REVISAR"),IF(OR(RIGHT(UPPER(TRIM(D56)),1)=TEXT(MOD(10-MOD((VALUE(MID(UPPER(TRIM(D56)),3,1))+VALUE(MID(UPPER(TRIM(D56)),5,1))+VALUE(MID(UPPER(TRIM(D56)),7,1)))+(INT(2*VALUE(MID(UPPER(TRIM(D56)),2,1))/10)+MOD(2*VALUE(MID(UPPER(TRIM(D56)),2,1)),10))+(INT(2*VALUE(MID(UPPER(TRIM(D56)),4,1))/10)+MOD(2*VALUE(MID(UPPER(TRIM(D56)),4,1)),10))+(INT(2*VALUE(MID(UPPER(TRIM(D56)),6,1))/10)+MOD(2*VALUE(MID(UPPER(TRIM(D56)),6,1)),10))+(INT(2*VALUE(MID(UPPER(TRIM(D56)),8,1))/10)+MOD(2*VALUE(MID(UPPER(TRIM(D56)),8,1)),10)),10),10),"0"),RIGHT(UPPER(TRIM(D56)),1)=MID("JABCDEFGHI",MOD(10-MOD((VALUE(MID(UPPER(TRIM(D56)),3,1))+VALUE(MID(UPPER(TRIM(D56)),5,1))+VALUE(MID(UPPER(TRIM(D56)),7,1)))+(INT(2*VALUE(MID(UPPER(TRIM(D56)),2,1))/10)+MOD(2*VALUE(MID(UPPER(TRIM(D56)),2,1)),10))+(INT(2*VALUE(MID(UPPER(TRIM(D56)),4,1))/10)+MOD(2*VALUE(MID(UPPER(TRIM(D56)),4,1)),10))+(INT(2*VALUE(MID(UPPER(TRIM(D56)),6,1))/10)+MOD(2*VALUE(MID(UPPER(TRIM(D56)),6,1)),10))+(INT(2*VALUE(MID(UPPER(TRIM(D56)),8,1))/10)+MOD(2*VALUE(MID(UPPER(TRIM(D56)),8,1)),10)),10),10)+1,1)),"OK","REVISAR")),"REVISAR")))</f>
        <v/>
      </c>
      <c r="Q56">
        <f>IF(B56="","",IF(COUNTIFS($B$2:$B$501,B56,$D$2:$D$501,D56)&gt;1,"DUPLICADA",""))</f>
        <v/>
      </c>
      <c r="R56">
        <f>IF(A56="","",ROUNDUP(MONTH(A56)/3,0))</f>
        <v/>
      </c>
      <c r="S56" s="3" t="n"/>
    </row>
    <row r="57">
      <c r="A57" s="2" t="n"/>
      <c r="B57" s="3" t="n"/>
      <c r="C57" s="3" t="n"/>
      <c r="D57" s="3" t="n"/>
      <c r="E57" s="4" t="n"/>
      <c r="F57" s="4" t="n"/>
      <c r="G57" s="4" t="n"/>
      <c r="H57" s="4" t="n"/>
      <c r="I57" s="5">
        <f>IF(E57="","",ROUND(E57*0.21,2))</f>
        <v/>
      </c>
      <c r="J57" s="5">
        <f>IF(F57="","",ROUND(F57*0.1,2))</f>
        <v/>
      </c>
      <c r="K57" s="5">
        <f>IF(G57="","",ROUND(G57*0.04,2))</f>
        <v/>
      </c>
      <c r="L57" s="4" t="n"/>
      <c r="M57" s="4" t="n"/>
      <c r="N57" s="5">
        <f>IF(A57="","",SUM(E57:K57)-N(L57))</f>
        <v/>
      </c>
      <c r="O57">
        <f>IF(OR(A57="",M57=""),"",IF(ABS(M57-N57)&lt;=0.02,"OK","REVISAR"))</f>
        <v/>
      </c>
      <c r="P57">
        <f>IF(D57="","",IF(LEN(TRIM(D57))&lt;&gt;9,"REVISAR",IFERROR(IF(OR(ISNUMBER(VALUE(LEFT(UPPER(TRIM(D57)),1))),LEFT(UPPER(TRIM(D57)),1)="X",LEFT(UPPER(TRIM(D57)),1)="Y",LEFT(UPPER(TRIM(D57)),1)="Z"),IF(MID("TRWAGMYFPDXBNJZSQVHLCKE",MOD(VALUE(SUBSTITUTE(SUBSTITUTE(SUBSTITUTE(LEFT(UPPER(TRIM(D57)),8),"X","0"),"Y","1"),"Z","2")),23)+1,1)=RIGHT(UPPER(TRIM(D57)),1),"OK","REVISAR"),IF(OR(RIGHT(UPPER(TRIM(D57)),1)=TEXT(MOD(10-MOD((VALUE(MID(UPPER(TRIM(D57)),3,1))+VALUE(MID(UPPER(TRIM(D57)),5,1))+VALUE(MID(UPPER(TRIM(D57)),7,1)))+(INT(2*VALUE(MID(UPPER(TRIM(D57)),2,1))/10)+MOD(2*VALUE(MID(UPPER(TRIM(D57)),2,1)),10))+(INT(2*VALUE(MID(UPPER(TRIM(D57)),4,1))/10)+MOD(2*VALUE(MID(UPPER(TRIM(D57)),4,1)),10))+(INT(2*VALUE(MID(UPPER(TRIM(D57)),6,1))/10)+MOD(2*VALUE(MID(UPPER(TRIM(D57)),6,1)),10))+(INT(2*VALUE(MID(UPPER(TRIM(D57)),8,1))/10)+MOD(2*VALUE(MID(UPPER(TRIM(D57)),8,1)),10)),10),10),"0"),RIGHT(UPPER(TRIM(D57)),1)=MID("JABCDEFGHI",MOD(10-MOD((VALUE(MID(UPPER(TRIM(D57)),3,1))+VALUE(MID(UPPER(TRIM(D57)),5,1))+VALUE(MID(UPPER(TRIM(D57)),7,1)))+(INT(2*VALUE(MID(UPPER(TRIM(D57)),2,1))/10)+MOD(2*VALUE(MID(UPPER(TRIM(D57)),2,1)),10))+(INT(2*VALUE(MID(UPPER(TRIM(D57)),4,1))/10)+MOD(2*VALUE(MID(UPPER(TRIM(D57)),4,1)),10))+(INT(2*VALUE(MID(UPPER(TRIM(D57)),6,1))/10)+MOD(2*VALUE(MID(UPPER(TRIM(D57)),6,1)),10))+(INT(2*VALUE(MID(UPPER(TRIM(D57)),8,1))/10)+MOD(2*VALUE(MID(UPPER(TRIM(D57)),8,1)),10)),10),10)+1,1)),"OK","REVISAR")),"REVISAR")))</f>
        <v/>
      </c>
      <c r="Q57">
        <f>IF(B57="","",IF(COUNTIFS($B$2:$B$501,B57,$D$2:$D$501,D57)&gt;1,"DUPLICADA",""))</f>
        <v/>
      </c>
      <c r="R57">
        <f>IF(A57="","",ROUNDUP(MONTH(A57)/3,0))</f>
        <v/>
      </c>
      <c r="S57" s="3" t="n"/>
    </row>
    <row r="58">
      <c r="A58" s="2" t="n"/>
      <c r="B58" s="3" t="n"/>
      <c r="C58" s="3" t="n"/>
      <c r="D58" s="3" t="n"/>
      <c r="E58" s="4" t="n"/>
      <c r="F58" s="4" t="n"/>
      <c r="G58" s="4" t="n"/>
      <c r="H58" s="4" t="n"/>
      <c r="I58" s="5">
        <f>IF(E58="","",ROUND(E58*0.21,2))</f>
        <v/>
      </c>
      <c r="J58" s="5">
        <f>IF(F58="","",ROUND(F58*0.1,2))</f>
        <v/>
      </c>
      <c r="K58" s="5">
        <f>IF(G58="","",ROUND(G58*0.04,2))</f>
        <v/>
      </c>
      <c r="L58" s="4" t="n"/>
      <c r="M58" s="4" t="n"/>
      <c r="N58" s="5">
        <f>IF(A58="","",SUM(E58:K58)-N(L58))</f>
        <v/>
      </c>
      <c r="O58">
        <f>IF(OR(A58="",M58=""),"",IF(ABS(M58-N58)&lt;=0.02,"OK","REVISAR"))</f>
        <v/>
      </c>
      <c r="P58">
        <f>IF(D58="","",IF(LEN(TRIM(D58))&lt;&gt;9,"REVISAR",IFERROR(IF(OR(ISNUMBER(VALUE(LEFT(UPPER(TRIM(D58)),1))),LEFT(UPPER(TRIM(D58)),1)="X",LEFT(UPPER(TRIM(D58)),1)="Y",LEFT(UPPER(TRIM(D58)),1)="Z"),IF(MID("TRWAGMYFPDXBNJZSQVHLCKE",MOD(VALUE(SUBSTITUTE(SUBSTITUTE(SUBSTITUTE(LEFT(UPPER(TRIM(D58)),8),"X","0"),"Y","1"),"Z","2")),23)+1,1)=RIGHT(UPPER(TRIM(D58)),1),"OK","REVISAR"),IF(OR(RIGHT(UPPER(TRIM(D58)),1)=TEXT(MOD(10-MOD((VALUE(MID(UPPER(TRIM(D58)),3,1))+VALUE(MID(UPPER(TRIM(D58)),5,1))+VALUE(MID(UPPER(TRIM(D58)),7,1)))+(INT(2*VALUE(MID(UPPER(TRIM(D58)),2,1))/10)+MOD(2*VALUE(MID(UPPER(TRIM(D58)),2,1)),10))+(INT(2*VALUE(MID(UPPER(TRIM(D58)),4,1))/10)+MOD(2*VALUE(MID(UPPER(TRIM(D58)),4,1)),10))+(INT(2*VALUE(MID(UPPER(TRIM(D58)),6,1))/10)+MOD(2*VALUE(MID(UPPER(TRIM(D58)),6,1)),10))+(INT(2*VALUE(MID(UPPER(TRIM(D58)),8,1))/10)+MOD(2*VALUE(MID(UPPER(TRIM(D58)),8,1)),10)),10),10),"0"),RIGHT(UPPER(TRIM(D58)),1)=MID("JABCDEFGHI",MOD(10-MOD((VALUE(MID(UPPER(TRIM(D58)),3,1))+VALUE(MID(UPPER(TRIM(D58)),5,1))+VALUE(MID(UPPER(TRIM(D58)),7,1)))+(INT(2*VALUE(MID(UPPER(TRIM(D58)),2,1))/10)+MOD(2*VALUE(MID(UPPER(TRIM(D58)),2,1)),10))+(INT(2*VALUE(MID(UPPER(TRIM(D58)),4,1))/10)+MOD(2*VALUE(MID(UPPER(TRIM(D58)),4,1)),10))+(INT(2*VALUE(MID(UPPER(TRIM(D58)),6,1))/10)+MOD(2*VALUE(MID(UPPER(TRIM(D58)),6,1)),10))+(INT(2*VALUE(MID(UPPER(TRIM(D58)),8,1))/10)+MOD(2*VALUE(MID(UPPER(TRIM(D58)),8,1)),10)),10),10)+1,1)),"OK","REVISAR")),"REVISAR")))</f>
        <v/>
      </c>
      <c r="Q58">
        <f>IF(B58="","",IF(COUNTIFS($B$2:$B$501,B58,$D$2:$D$501,D58)&gt;1,"DUPLICADA",""))</f>
        <v/>
      </c>
      <c r="R58">
        <f>IF(A58="","",ROUNDUP(MONTH(A58)/3,0))</f>
        <v/>
      </c>
      <c r="S58" s="3" t="n"/>
    </row>
    <row r="59">
      <c r="A59" s="2" t="n"/>
      <c r="B59" s="3" t="n"/>
      <c r="C59" s="3" t="n"/>
      <c r="D59" s="3" t="n"/>
      <c r="E59" s="4" t="n"/>
      <c r="F59" s="4" t="n"/>
      <c r="G59" s="4" t="n"/>
      <c r="H59" s="4" t="n"/>
      <c r="I59" s="5">
        <f>IF(E59="","",ROUND(E59*0.21,2))</f>
        <v/>
      </c>
      <c r="J59" s="5">
        <f>IF(F59="","",ROUND(F59*0.1,2))</f>
        <v/>
      </c>
      <c r="K59" s="5">
        <f>IF(G59="","",ROUND(G59*0.04,2))</f>
        <v/>
      </c>
      <c r="L59" s="4" t="n"/>
      <c r="M59" s="4" t="n"/>
      <c r="N59" s="5">
        <f>IF(A59="","",SUM(E59:K59)-N(L59))</f>
        <v/>
      </c>
      <c r="O59">
        <f>IF(OR(A59="",M59=""),"",IF(ABS(M59-N59)&lt;=0.02,"OK","REVISAR"))</f>
        <v/>
      </c>
      <c r="P59">
        <f>IF(D59="","",IF(LEN(TRIM(D59))&lt;&gt;9,"REVISAR",IFERROR(IF(OR(ISNUMBER(VALUE(LEFT(UPPER(TRIM(D59)),1))),LEFT(UPPER(TRIM(D59)),1)="X",LEFT(UPPER(TRIM(D59)),1)="Y",LEFT(UPPER(TRIM(D59)),1)="Z"),IF(MID("TRWAGMYFPDXBNJZSQVHLCKE",MOD(VALUE(SUBSTITUTE(SUBSTITUTE(SUBSTITUTE(LEFT(UPPER(TRIM(D59)),8),"X","0"),"Y","1"),"Z","2")),23)+1,1)=RIGHT(UPPER(TRIM(D59)),1),"OK","REVISAR"),IF(OR(RIGHT(UPPER(TRIM(D59)),1)=TEXT(MOD(10-MOD((VALUE(MID(UPPER(TRIM(D59)),3,1))+VALUE(MID(UPPER(TRIM(D59)),5,1))+VALUE(MID(UPPER(TRIM(D59)),7,1)))+(INT(2*VALUE(MID(UPPER(TRIM(D59)),2,1))/10)+MOD(2*VALUE(MID(UPPER(TRIM(D59)),2,1)),10))+(INT(2*VALUE(MID(UPPER(TRIM(D59)),4,1))/10)+MOD(2*VALUE(MID(UPPER(TRIM(D59)),4,1)),10))+(INT(2*VALUE(MID(UPPER(TRIM(D59)),6,1))/10)+MOD(2*VALUE(MID(UPPER(TRIM(D59)),6,1)),10))+(INT(2*VALUE(MID(UPPER(TRIM(D59)),8,1))/10)+MOD(2*VALUE(MID(UPPER(TRIM(D59)),8,1)),10)),10),10),"0"),RIGHT(UPPER(TRIM(D59)),1)=MID("JABCDEFGHI",MOD(10-MOD((VALUE(MID(UPPER(TRIM(D59)),3,1))+VALUE(MID(UPPER(TRIM(D59)),5,1))+VALUE(MID(UPPER(TRIM(D59)),7,1)))+(INT(2*VALUE(MID(UPPER(TRIM(D59)),2,1))/10)+MOD(2*VALUE(MID(UPPER(TRIM(D59)),2,1)),10))+(INT(2*VALUE(MID(UPPER(TRIM(D59)),4,1))/10)+MOD(2*VALUE(MID(UPPER(TRIM(D59)),4,1)),10))+(INT(2*VALUE(MID(UPPER(TRIM(D59)),6,1))/10)+MOD(2*VALUE(MID(UPPER(TRIM(D59)),6,1)),10))+(INT(2*VALUE(MID(UPPER(TRIM(D59)),8,1))/10)+MOD(2*VALUE(MID(UPPER(TRIM(D59)),8,1)),10)),10),10)+1,1)),"OK","REVISAR")),"REVISAR")))</f>
        <v/>
      </c>
      <c r="Q59">
        <f>IF(B59="","",IF(COUNTIFS($B$2:$B$501,B59,$D$2:$D$501,D59)&gt;1,"DUPLICADA",""))</f>
        <v/>
      </c>
      <c r="R59">
        <f>IF(A59="","",ROUNDUP(MONTH(A59)/3,0))</f>
        <v/>
      </c>
      <c r="S59" s="3" t="n"/>
    </row>
    <row r="60">
      <c r="A60" s="2" t="n"/>
      <c r="B60" s="3" t="n"/>
      <c r="C60" s="3" t="n"/>
      <c r="D60" s="3" t="n"/>
      <c r="E60" s="4" t="n"/>
      <c r="F60" s="4" t="n"/>
      <c r="G60" s="4" t="n"/>
      <c r="H60" s="4" t="n"/>
      <c r="I60" s="5">
        <f>IF(E60="","",ROUND(E60*0.21,2))</f>
        <v/>
      </c>
      <c r="J60" s="5">
        <f>IF(F60="","",ROUND(F60*0.1,2))</f>
        <v/>
      </c>
      <c r="K60" s="5">
        <f>IF(G60="","",ROUND(G60*0.04,2))</f>
        <v/>
      </c>
      <c r="L60" s="4" t="n"/>
      <c r="M60" s="4" t="n"/>
      <c r="N60" s="5">
        <f>IF(A60="","",SUM(E60:K60)-N(L60))</f>
        <v/>
      </c>
      <c r="O60">
        <f>IF(OR(A60="",M60=""),"",IF(ABS(M60-N60)&lt;=0.02,"OK","REVISAR"))</f>
        <v/>
      </c>
      <c r="P60">
        <f>IF(D60="","",IF(LEN(TRIM(D60))&lt;&gt;9,"REVISAR",IFERROR(IF(OR(ISNUMBER(VALUE(LEFT(UPPER(TRIM(D60)),1))),LEFT(UPPER(TRIM(D60)),1)="X",LEFT(UPPER(TRIM(D60)),1)="Y",LEFT(UPPER(TRIM(D60)),1)="Z"),IF(MID("TRWAGMYFPDXBNJZSQVHLCKE",MOD(VALUE(SUBSTITUTE(SUBSTITUTE(SUBSTITUTE(LEFT(UPPER(TRIM(D60)),8),"X","0"),"Y","1"),"Z","2")),23)+1,1)=RIGHT(UPPER(TRIM(D60)),1),"OK","REVISAR"),IF(OR(RIGHT(UPPER(TRIM(D60)),1)=TEXT(MOD(10-MOD((VALUE(MID(UPPER(TRIM(D60)),3,1))+VALUE(MID(UPPER(TRIM(D60)),5,1))+VALUE(MID(UPPER(TRIM(D60)),7,1)))+(INT(2*VALUE(MID(UPPER(TRIM(D60)),2,1))/10)+MOD(2*VALUE(MID(UPPER(TRIM(D60)),2,1)),10))+(INT(2*VALUE(MID(UPPER(TRIM(D60)),4,1))/10)+MOD(2*VALUE(MID(UPPER(TRIM(D60)),4,1)),10))+(INT(2*VALUE(MID(UPPER(TRIM(D60)),6,1))/10)+MOD(2*VALUE(MID(UPPER(TRIM(D60)),6,1)),10))+(INT(2*VALUE(MID(UPPER(TRIM(D60)),8,1))/10)+MOD(2*VALUE(MID(UPPER(TRIM(D60)),8,1)),10)),10),10),"0"),RIGHT(UPPER(TRIM(D60)),1)=MID("JABCDEFGHI",MOD(10-MOD((VALUE(MID(UPPER(TRIM(D60)),3,1))+VALUE(MID(UPPER(TRIM(D60)),5,1))+VALUE(MID(UPPER(TRIM(D60)),7,1)))+(INT(2*VALUE(MID(UPPER(TRIM(D60)),2,1))/10)+MOD(2*VALUE(MID(UPPER(TRIM(D60)),2,1)),10))+(INT(2*VALUE(MID(UPPER(TRIM(D60)),4,1))/10)+MOD(2*VALUE(MID(UPPER(TRIM(D60)),4,1)),10))+(INT(2*VALUE(MID(UPPER(TRIM(D60)),6,1))/10)+MOD(2*VALUE(MID(UPPER(TRIM(D60)),6,1)),10))+(INT(2*VALUE(MID(UPPER(TRIM(D60)),8,1))/10)+MOD(2*VALUE(MID(UPPER(TRIM(D60)),8,1)),10)),10),10)+1,1)),"OK","REVISAR")),"REVISAR")))</f>
        <v/>
      </c>
      <c r="Q60">
        <f>IF(B60="","",IF(COUNTIFS($B$2:$B$501,B60,$D$2:$D$501,D60)&gt;1,"DUPLICADA",""))</f>
        <v/>
      </c>
      <c r="R60">
        <f>IF(A60="","",ROUNDUP(MONTH(A60)/3,0))</f>
        <v/>
      </c>
      <c r="S60" s="3" t="n"/>
    </row>
    <row r="61">
      <c r="A61" s="2" t="n"/>
      <c r="B61" s="3" t="n"/>
      <c r="C61" s="3" t="n"/>
      <c r="D61" s="3" t="n"/>
      <c r="E61" s="4" t="n"/>
      <c r="F61" s="4" t="n"/>
      <c r="G61" s="4" t="n"/>
      <c r="H61" s="4" t="n"/>
      <c r="I61" s="5">
        <f>IF(E61="","",ROUND(E61*0.21,2))</f>
        <v/>
      </c>
      <c r="J61" s="5">
        <f>IF(F61="","",ROUND(F61*0.1,2))</f>
        <v/>
      </c>
      <c r="K61" s="5">
        <f>IF(G61="","",ROUND(G61*0.04,2))</f>
        <v/>
      </c>
      <c r="L61" s="4" t="n"/>
      <c r="M61" s="4" t="n"/>
      <c r="N61" s="5">
        <f>IF(A61="","",SUM(E61:K61)-N(L61))</f>
        <v/>
      </c>
      <c r="O61">
        <f>IF(OR(A61="",M61=""),"",IF(ABS(M61-N61)&lt;=0.02,"OK","REVISAR"))</f>
        <v/>
      </c>
      <c r="P61">
        <f>IF(D61="","",IF(LEN(TRIM(D61))&lt;&gt;9,"REVISAR",IFERROR(IF(OR(ISNUMBER(VALUE(LEFT(UPPER(TRIM(D61)),1))),LEFT(UPPER(TRIM(D61)),1)="X",LEFT(UPPER(TRIM(D61)),1)="Y",LEFT(UPPER(TRIM(D61)),1)="Z"),IF(MID("TRWAGMYFPDXBNJZSQVHLCKE",MOD(VALUE(SUBSTITUTE(SUBSTITUTE(SUBSTITUTE(LEFT(UPPER(TRIM(D61)),8),"X","0"),"Y","1"),"Z","2")),23)+1,1)=RIGHT(UPPER(TRIM(D61)),1),"OK","REVISAR"),IF(OR(RIGHT(UPPER(TRIM(D61)),1)=TEXT(MOD(10-MOD((VALUE(MID(UPPER(TRIM(D61)),3,1))+VALUE(MID(UPPER(TRIM(D61)),5,1))+VALUE(MID(UPPER(TRIM(D61)),7,1)))+(INT(2*VALUE(MID(UPPER(TRIM(D61)),2,1))/10)+MOD(2*VALUE(MID(UPPER(TRIM(D61)),2,1)),10))+(INT(2*VALUE(MID(UPPER(TRIM(D61)),4,1))/10)+MOD(2*VALUE(MID(UPPER(TRIM(D61)),4,1)),10))+(INT(2*VALUE(MID(UPPER(TRIM(D61)),6,1))/10)+MOD(2*VALUE(MID(UPPER(TRIM(D61)),6,1)),10))+(INT(2*VALUE(MID(UPPER(TRIM(D61)),8,1))/10)+MOD(2*VALUE(MID(UPPER(TRIM(D61)),8,1)),10)),10),10),"0"),RIGHT(UPPER(TRIM(D61)),1)=MID("JABCDEFGHI",MOD(10-MOD((VALUE(MID(UPPER(TRIM(D61)),3,1))+VALUE(MID(UPPER(TRIM(D61)),5,1))+VALUE(MID(UPPER(TRIM(D61)),7,1)))+(INT(2*VALUE(MID(UPPER(TRIM(D61)),2,1))/10)+MOD(2*VALUE(MID(UPPER(TRIM(D61)),2,1)),10))+(INT(2*VALUE(MID(UPPER(TRIM(D61)),4,1))/10)+MOD(2*VALUE(MID(UPPER(TRIM(D61)),4,1)),10))+(INT(2*VALUE(MID(UPPER(TRIM(D61)),6,1))/10)+MOD(2*VALUE(MID(UPPER(TRIM(D61)),6,1)),10))+(INT(2*VALUE(MID(UPPER(TRIM(D61)),8,1))/10)+MOD(2*VALUE(MID(UPPER(TRIM(D61)),8,1)),10)),10),10)+1,1)),"OK","REVISAR")),"REVISAR")))</f>
        <v/>
      </c>
      <c r="Q61">
        <f>IF(B61="","",IF(COUNTIFS($B$2:$B$501,B61,$D$2:$D$501,D61)&gt;1,"DUPLICADA",""))</f>
        <v/>
      </c>
      <c r="R61">
        <f>IF(A61="","",ROUNDUP(MONTH(A61)/3,0))</f>
        <v/>
      </c>
      <c r="S61" s="3" t="n"/>
    </row>
    <row r="62">
      <c r="A62" s="2" t="n"/>
      <c r="B62" s="3" t="n"/>
      <c r="C62" s="3" t="n"/>
      <c r="D62" s="3" t="n"/>
      <c r="E62" s="4" t="n"/>
      <c r="F62" s="4" t="n"/>
      <c r="G62" s="4" t="n"/>
      <c r="H62" s="4" t="n"/>
      <c r="I62" s="5">
        <f>IF(E62="","",ROUND(E62*0.21,2))</f>
        <v/>
      </c>
      <c r="J62" s="5">
        <f>IF(F62="","",ROUND(F62*0.1,2))</f>
        <v/>
      </c>
      <c r="K62" s="5">
        <f>IF(G62="","",ROUND(G62*0.04,2))</f>
        <v/>
      </c>
      <c r="L62" s="4" t="n"/>
      <c r="M62" s="4" t="n"/>
      <c r="N62" s="5">
        <f>IF(A62="","",SUM(E62:K62)-N(L62))</f>
        <v/>
      </c>
      <c r="O62">
        <f>IF(OR(A62="",M62=""),"",IF(ABS(M62-N62)&lt;=0.02,"OK","REVISAR"))</f>
        <v/>
      </c>
      <c r="P62">
        <f>IF(D62="","",IF(LEN(TRIM(D62))&lt;&gt;9,"REVISAR",IFERROR(IF(OR(ISNUMBER(VALUE(LEFT(UPPER(TRIM(D62)),1))),LEFT(UPPER(TRIM(D62)),1)="X",LEFT(UPPER(TRIM(D62)),1)="Y",LEFT(UPPER(TRIM(D62)),1)="Z"),IF(MID("TRWAGMYFPDXBNJZSQVHLCKE",MOD(VALUE(SUBSTITUTE(SUBSTITUTE(SUBSTITUTE(LEFT(UPPER(TRIM(D62)),8),"X","0"),"Y","1"),"Z","2")),23)+1,1)=RIGHT(UPPER(TRIM(D62)),1),"OK","REVISAR"),IF(OR(RIGHT(UPPER(TRIM(D62)),1)=TEXT(MOD(10-MOD((VALUE(MID(UPPER(TRIM(D62)),3,1))+VALUE(MID(UPPER(TRIM(D62)),5,1))+VALUE(MID(UPPER(TRIM(D62)),7,1)))+(INT(2*VALUE(MID(UPPER(TRIM(D62)),2,1))/10)+MOD(2*VALUE(MID(UPPER(TRIM(D62)),2,1)),10))+(INT(2*VALUE(MID(UPPER(TRIM(D62)),4,1))/10)+MOD(2*VALUE(MID(UPPER(TRIM(D62)),4,1)),10))+(INT(2*VALUE(MID(UPPER(TRIM(D62)),6,1))/10)+MOD(2*VALUE(MID(UPPER(TRIM(D62)),6,1)),10))+(INT(2*VALUE(MID(UPPER(TRIM(D62)),8,1))/10)+MOD(2*VALUE(MID(UPPER(TRIM(D62)),8,1)),10)),10),10),"0"),RIGHT(UPPER(TRIM(D62)),1)=MID("JABCDEFGHI",MOD(10-MOD((VALUE(MID(UPPER(TRIM(D62)),3,1))+VALUE(MID(UPPER(TRIM(D62)),5,1))+VALUE(MID(UPPER(TRIM(D62)),7,1)))+(INT(2*VALUE(MID(UPPER(TRIM(D62)),2,1))/10)+MOD(2*VALUE(MID(UPPER(TRIM(D62)),2,1)),10))+(INT(2*VALUE(MID(UPPER(TRIM(D62)),4,1))/10)+MOD(2*VALUE(MID(UPPER(TRIM(D62)),4,1)),10))+(INT(2*VALUE(MID(UPPER(TRIM(D62)),6,1))/10)+MOD(2*VALUE(MID(UPPER(TRIM(D62)),6,1)),10))+(INT(2*VALUE(MID(UPPER(TRIM(D62)),8,1))/10)+MOD(2*VALUE(MID(UPPER(TRIM(D62)),8,1)),10)),10),10)+1,1)),"OK","REVISAR")),"REVISAR")))</f>
        <v/>
      </c>
      <c r="Q62">
        <f>IF(B62="","",IF(COUNTIFS($B$2:$B$501,B62,$D$2:$D$501,D62)&gt;1,"DUPLICADA",""))</f>
        <v/>
      </c>
      <c r="R62">
        <f>IF(A62="","",ROUNDUP(MONTH(A62)/3,0))</f>
        <v/>
      </c>
      <c r="S62" s="3" t="n"/>
    </row>
    <row r="63">
      <c r="A63" s="2" t="n"/>
      <c r="B63" s="3" t="n"/>
      <c r="C63" s="3" t="n"/>
      <c r="D63" s="3" t="n"/>
      <c r="E63" s="4" t="n"/>
      <c r="F63" s="4" t="n"/>
      <c r="G63" s="4" t="n"/>
      <c r="H63" s="4" t="n"/>
      <c r="I63" s="5">
        <f>IF(E63="","",ROUND(E63*0.21,2))</f>
        <v/>
      </c>
      <c r="J63" s="5">
        <f>IF(F63="","",ROUND(F63*0.1,2))</f>
        <v/>
      </c>
      <c r="K63" s="5">
        <f>IF(G63="","",ROUND(G63*0.04,2))</f>
        <v/>
      </c>
      <c r="L63" s="4" t="n"/>
      <c r="M63" s="4" t="n"/>
      <c r="N63" s="5">
        <f>IF(A63="","",SUM(E63:K63)-N(L63))</f>
        <v/>
      </c>
      <c r="O63">
        <f>IF(OR(A63="",M63=""),"",IF(ABS(M63-N63)&lt;=0.02,"OK","REVISAR"))</f>
        <v/>
      </c>
      <c r="P63">
        <f>IF(D63="","",IF(LEN(TRIM(D63))&lt;&gt;9,"REVISAR",IFERROR(IF(OR(ISNUMBER(VALUE(LEFT(UPPER(TRIM(D63)),1))),LEFT(UPPER(TRIM(D63)),1)="X",LEFT(UPPER(TRIM(D63)),1)="Y",LEFT(UPPER(TRIM(D63)),1)="Z"),IF(MID("TRWAGMYFPDXBNJZSQVHLCKE",MOD(VALUE(SUBSTITUTE(SUBSTITUTE(SUBSTITUTE(LEFT(UPPER(TRIM(D63)),8),"X","0"),"Y","1"),"Z","2")),23)+1,1)=RIGHT(UPPER(TRIM(D63)),1),"OK","REVISAR"),IF(OR(RIGHT(UPPER(TRIM(D63)),1)=TEXT(MOD(10-MOD((VALUE(MID(UPPER(TRIM(D63)),3,1))+VALUE(MID(UPPER(TRIM(D63)),5,1))+VALUE(MID(UPPER(TRIM(D63)),7,1)))+(INT(2*VALUE(MID(UPPER(TRIM(D63)),2,1))/10)+MOD(2*VALUE(MID(UPPER(TRIM(D63)),2,1)),10))+(INT(2*VALUE(MID(UPPER(TRIM(D63)),4,1))/10)+MOD(2*VALUE(MID(UPPER(TRIM(D63)),4,1)),10))+(INT(2*VALUE(MID(UPPER(TRIM(D63)),6,1))/10)+MOD(2*VALUE(MID(UPPER(TRIM(D63)),6,1)),10))+(INT(2*VALUE(MID(UPPER(TRIM(D63)),8,1))/10)+MOD(2*VALUE(MID(UPPER(TRIM(D63)),8,1)),10)),10),10),"0"),RIGHT(UPPER(TRIM(D63)),1)=MID("JABCDEFGHI",MOD(10-MOD((VALUE(MID(UPPER(TRIM(D63)),3,1))+VALUE(MID(UPPER(TRIM(D63)),5,1))+VALUE(MID(UPPER(TRIM(D63)),7,1)))+(INT(2*VALUE(MID(UPPER(TRIM(D63)),2,1))/10)+MOD(2*VALUE(MID(UPPER(TRIM(D63)),2,1)),10))+(INT(2*VALUE(MID(UPPER(TRIM(D63)),4,1))/10)+MOD(2*VALUE(MID(UPPER(TRIM(D63)),4,1)),10))+(INT(2*VALUE(MID(UPPER(TRIM(D63)),6,1))/10)+MOD(2*VALUE(MID(UPPER(TRIM(D63)),6,1)),10))+(INT(2*VALUE(MID(UPPER(TRIM(D63)),8,1))/10)+MOD(2*VALUE(MID(UPPER(TRIM(D63)),8,1)),10)),10),10)+1,1)),"OK","REVISAR")),"REVISAR")))</f>
        <v/>
      </c>
      <c r="Q63">
        <f>IF(B63="","",IF(COUNTIFS($B$2:$B$501,B63,$D$2:$D$501,D63)&gt;1,"DUPLICADA",""))</f>
        <v/>
      </c>
      <c r="R63">
        <f>IF(A63="","",ROUNDUP(MONTH(A63)/3,0))</f>
        <v/>
      </c>
      <c r="S63" s="3" t="n"/>
    </row>
    <row r="64">
      <c r="A64" s="2" t="n"/>
      <c r="B64" s="3" t="n"/>
      <c r="C64" s="3" t="n"/>
      <c r="D64" s="3" t="n"/>
      <c r="E64" s="4" t="n"/>
      <c r="F64" s="4" t="n"/>
      <c r="G64" s="4" t="n"/>
      <c r="H64" s="4" t="n"/>
      <c r="I64" s="5">
        <f>IF(E64="","",ROUND(E64*0.21,2))</f>
        <v/>
      </c>
      <c r="J64" s="5">
        <f>IF(F64="","",ROUND(F64*0.1,2))</f>
        <v/>
      </c>
      <c r="K64" s="5">
        <f>IF(G64="","",ROUND(G64*0.04,2))</f>
        <v/>
      </c>
      <c r="L64" s="4" t="n"/>
      <c r="M64" s="4" t="n"/>
      <c r="N64" s="5">
        <f>IF(A64="","",SUM(E64:K64)-N(L64))</f>
        <v/>
      </c>
      <c r="O64">
        <f>IF(OR(A64="",M64=""),"",IF(ABS(M64-N64)&lt;=0.02,"OK","REVISAR"))</f>
        <v/>
      </c>
      <c r="P64">
        <f>IF(D64="","",IF(LEN(TRIM(D64))&lt;&gt;9,"REVISAR",IFERROR(IF(OR(ISNUMBER(VALUE(LEFT(UPPER(TRIM(D64)),1))),LEFT(UPPER(TRIM(D64)),1)="X",LEFT(UPPER(TRIM(D64)),1)="Y",LEFT(UPPER(TRIM(D64)),1)="Z"),IF(MID("TRWAGMYFPDXBNJZSQVHLCKE",MOD(VALUE(SUBSTITUTE(SUBSTITUTE(SUBSTITUTE(LEFT(UPPER(TRIM(D64)),8),"X","0"),"Y","1"),"Z","2")),23)+1,1)=RIGHT(UPPER(TRIM(D64)),1),"OK","REVISAR"),IF(OR(RIGHT(UPPER(TRIM(D64)),1)=TEXT(MOD(10-MOD((VALUE(MID(UPPER(TRIM(D64)),3,1))+VALUE(MID(UPPER(TRIM(D64)),5,1))+VALUE(MID(UPPER(TRIM(D64)),7,1)))+(INT(2*VALUE(MID(UPPER(TRIM(D64)),2,1))/10)+MOD(2*VALUE(MID(UPPER(TRIM(D64)),2,1)),10))+(INT(2*VALUE(MID(UPPER(TRIM(D64)),4,1))/10)+MOD(2*VALUE(MID(UPPER(TRIM(D64)),4,1)),10))+(INT(2*VALUE(MID(UPPER(TRIM(D64)),6,1))/10)+MOD(2*VALUE(MID(UPPER(TRIM(D64)),6,1)),10))+(INT(2*VALUE(MID(UPPER(TRIM(D64)),8,1))/10)+MOD(2*VALUE(MID(UPPER(TRIM(D64)),8,1)),10)),10),10),"0"),RIGHT(UPPER(TRIM(D64)),1)=MID("JABCDEFGHI",MOD(10-MOD((VALUE(MID(UPPER(TRIM(D64)),3,1))+VALUE(MID(UPPER(TRIM(D64)),5,1))+VALUE(MID(UPPER(TRIM(D64)),7,1)))+(INT(2*VALUE(MID(UPPER(TRIM(D64)),2,1))/10)+MOD(2*VALUE(MID(UPPER(TRIM(D64)),2,1)),10))+(INT(2*VALUE(MID(UPPER(TRIM(D64)),4,1))/10)+MOD(2*VALUE(MID(UPPER(TRIM(D64)),4,1)),10))+(INT(2*VALUE(MID(UPPER(TRIM(D64)),6,1))/10)+MOD(2*VALUE(MID(UPPER(TRIM(D64)),6,1)),10))+(INT(2*VALUE(MID(UPPER(TRIM(D64)),8,1))/10)+MOD(2*VALUE(MID(UPPER(TRIM(D64)),8,1)),10)),10),10)+1,1)),"OK","REVISAR")),"REVISAR")))</f>
        <v/>
      </c>
      <c r="Q64">
        <f>IF(B64="","",IF(COUNTIFS($B$2:$B$501,B64,$D$2:$D$501,D64)&gt;1,"DUPLICADA",""))</f>
        <v/>
      </c>
      <c r="R64">
        <f>IF(A64="","",ROUNDUP(MONTH(A64)/3,0))</f>
        <v/>
      </c>
      <c r="S64" s="3" t="n"/>
    </row>
    <row r="65">
      <c r="A65" s="2" t="n"/>
      <c r="B65" s="3" t="n"/>
      <c r="C65" s="3" t="n"/>
      <c r="D65" s="3" t="n"/>
      <c r="E65" s="4" t="n"/>
      <c r="F65" s="4" t="n"/>
      <c r="G65" s="4" t="n"/>
      <c r="H65" s="4" t="n"/>
      <c r="I65" s="5">
        <f>IF(E65="","",ROUND(E65*0.21,2))</f>
        <v/>
      </c>
      <c r="J65" s="5">
        <f>IF(F65="","",ROUND(F65*0.1,2))</f>
        <v/>
      </c>
      <c r="K65" s="5">
        <f>IF(G65="","",ROUND(G65*0.04,2))</f>
        <v/>
      </c>
      <c r="L65" s="4" t="n"/>
      <c r="M65" s="4" t="n"/>
      <c r="N65" s="5">
        <f>IF(A65="","",SUM(E65:K65)-N(L65))</f>
        <v/>
      </c>
      <c r="O65">
        <f>IF(OR(A65="",M65=""),"",IF(ABS(M65-N65)&lt;=0.02,"OK","REVISAR"))</f>
        <v/>
      </c>
      <c r="P65">
        <f>IF(D65="","",IF(LEN(TRIM(D65))&lt;&gt;9,"REVISAR",IFERROR(IF(OR(ISNUMBER(VALUE(LEFT(UPPER(TRIM(D65)),1))),LEFT(UPPER(TRIM(D65)),1)="X",LEFT(UPPER(TRIM(D65)),1)="Y",LEFT(UPPER(TRIM(D65)),1)="Z"),IF(MID("TRWAGMYFPDXBNJZSQVHLCKE",MOD(VALUE(SUBSTITUTE(SUBSTITUTE(SUBSTITUTE(LEFT(UPPER(TRIM(D65)),8),"X","0"),"Y","1"),"Z","2")),23)+1,1)=RIGHT(UPPER(TRIM(D65)),1),"OK","REVISAR"),IF(OR(RIGHT(UPPER(TRIM(D65)),1)=TEXT(MOD(10-MOD((VALUE(MID(UPPER(TRIM(D65)),3,1))+VALUE(MID(UPPER(TRIM(D65)),5,1))+VALUE(MID(UPPER(TRIM(D65)),7,1)))+(INT(2*VALUE(MID(UPPER(TRIM(D65)),2,1))/10)+MOD(2*VALUE(MID(UPPER(TRIM(D65)),2,1)),10))+(INT(2*VALUE(MID(UPPER(TRIM(D65)),4,1))/10)+MOD(2*VALUE(MID(UPPER(TRIM(D65)),4,1)),10))+(INT(2*VALUE(MID(UPPER(TRIM(D65)),6,1))/10)+MOD(2*VALUE(MID(UPPER(TRIM(D65)),6,1)),10))+(INT(2*VALUE(MID(UPPER(TRIM(D65)),8,1))/10)+MOD(2*VALUE(MID(UPPER(TRIM(D65)),8,1)),10)),10),10),"0"),RIGHT(UPPER(TRIM(D65)),1)=MID("JABCDEFGHI",MOD(10-MOD((VALUE(MID(UPPER(TRIM(D65)),3,1))+VALUE(MID(UPPER(TRIM(D65)),5,1))+VALUE(MID(UPPER(TRIM(D65)),7,1)))+(INT(2*VALUE(MID(UPPER(TRIM(D65)),2,1))/10)+MOD(2*VALUE(MID(UPPER(TRIM(D65)),2,1)),10))+(INT(2*VALUE(MID(UPPER(TRIM(D65)),4,1))/10)+MOD(2*VALUE(MID(UPPER(TRIM(D65)),4,1)),10))+(INT(2*VALUE(MID(UPPER(TRIM(D65)),6,1))/10)+MOD(2*VALUE(MID(UPPER(TRIM(D65)),6,1)),10))+(INT(2*VALUE(MID(UPPER(TRIM(D65)),8,1))/10)+MOD(2*VALUE(MID(UPPER(TRIM(D65)),8,1)),10)),10),10)+1,1)),"OK","REVISAR")),"REVISAR")))</f>
        <v/>
      </c>
      <c r="Q65">
        <f>IF(B65="","",IF(COUNTIFS($B$2:$B$501,B65,$D$2:$D$501,D65)&gt;1,"DUPLICADA",""))</f>
        <v/>
      </c>
      <c r="R65">
        <f>IF(A65="","",ROUNDUP(MONTH(A65)/3,0))</f>
        <v/>
      </c>
      <c r="S65" s="3" t="n"/>
    </row>
    <row r="66">
      <c r="A66" s="2" t="n"/>
      <c r="B66" s="3" t="n"/>
      <c r="C66" s="3" t="n"/>
      <c r="D66" s="3" t="n"/>
      <c r="E66" s="4" t="n"/>
      <c r="F66" s="4" t="n"/>
      <c r="G66" s="4" t="n"/>
      <c r="H66" s="4" t="n"/>
      <c r="I66" s="5">
        <f>IF(E66="","",ROUND(E66*0.21,2))</f>
        <v/>
      </c>
      <c r="J66" s="5">
        <f>IF(F66="","",ROUND(F66*0.1,2))</f>
        <v/>
      </c>
      <c r="K66" s="5">
        <f>IF(G66="","",ROUND(G66*0.04,2))</f>
        <v/>
      </c>
      <c r="L66" s="4" t="n"/>
      <c r="M66" s="4" t="n"/>
      <c r="N66" s="5">
        <f>IF(A66="","",SUM(E66:K66)-N(L66))</f>
        <v/>
      </c>
      <c r="O66">
        <f>IF(OR(A66="",M66=""),"",IF(ABS(M66-N66)&lt;=0.02,"OK","REVISAR"))</f>
        <v/>
      </c>
      <c r="P66">
        <f>IF(D66="","",IF(LEN(TRIM(D66))&lt;&gt;9,"REVISAR",IFERROR(IF(OR(ISNUMBER(VALUE(LEFT(UPPER(TRIM(D66)),1))),LEFT(UPPER(TRIM(D66)),1)="X",LEFT(UPPER(TRIM(D66)),1)="Y",LEFT(UPPER(TRIM(D66)),1)="Z"),IF(MID("TRWAGMYFPDXBNJZSQVHLCKE",MOD(VALUE(SUBSTITUTE(SUBSTITUTE(SUBSTITUTE(LEFT(UPPER(TRIM(D66)),8),"X","0"),"Y","1"),"Z","2")),23)+1,1)=RIGHT(UPPER(TRIM(D66)),1),"OK","REVISAR"),IF(OR(RIGHT(UPPER(TRIM(D66)),1)=TEXT(MOD(10-MOD((VALUE(MID(UPPER(TRIM(D66)),3,1))+VALUE(MID(UPPER(TRIM(D66)),5,1))+VALUE(MID(UPPER(TRIM(D66)),7,1)))+(INT(2*VALUE(MID(UPPER(TRIM(D66)),2,1))/10)+MOD(2*VALUE(MID(UPPER(TRIM(D66)),2,1)),10))+(INT(2*VALUE(MID(UPPER(TRIM(D66)),4,1))/10)+MOD(2*VALUE(MID(UPPER(TRIM(D66)),4,1)),10))+(INT(2*VALUE(MID(UPPER(TRIM(D66)),6,1))/10)+MOD(2*VALUE(MID(UPPER(TRIM(D66)),6,1)),10))+(INT(2*VALUE(MID(UPPER(TRIM(D66)),8,1))/10)+MOD(2*VALUE(MID(UPPER(TRIM(D66)),8,1)),10)),10),10),"0"),RIGHT(UPPER(TRIM(D66)),1)=MID("JABCDEFGHI",MOD(10-MOD((VALUE(MID(UPPER(TRIM(D66)),3,1))+VALUE(MID(UPPER(TRIM(D66)),5,1))+VALUE(MID(UPPER(TRIM(D66)),7,1)))+(INT(2*VALUE(MID(UPPER(TRIM(D66)),2,1))/10)+MOD(2*VALUE(MID(UPPER(TRIM(D66)),2,1)),10))+(INT(2*VALUE(MID(UPPER(TRIM(D66)),4,1))/10)+MOD(2*VALUE(MID(UPPER(TRIM(D66)),4,1)),10))+(INT(2*VALUE(MID(UPPER(TRIM(D66)),6,1))/10)+MOD(2*VALUE(MID(UPPER(TRIM(D66)),6,1)),10))+(INT(2*VALUE(MID(UPPER(TRIM(D66)),8,1))/10)+MOD(2*VALUE(MID(UPPER(TRIM(D66)),8,1)),10)),10),10)+1,1)),"OK","REVISAR")),"REVISAR")))</f>
        <v/>
      </c>
      <c r="Q66">
        <f>IF(B66="","",IF(COUNTIFS($B$2:$B$501,B66,$D$2:$D$501,D66)&gt;1,"DUPLICADA",""))</f>
        <v/>
      </c>
      <c r="R66">
        <f>IF(A66="","",ROUNDUP(MONTH(A66)/3,0))</f>
        <v/>
      </c>
      <c r="S66" s="3" t="n"/>
    </row>
    <row r="67">
      <c r="A67" s="2" t="n"/>
      <c r="B67" s="3" t="n"/>
      <c r="C67" s="3" t="n"/>
      <c r="D67" s="3" t="n"/>
      <c r="E67" s="4" t="n"/>
      <c r="F67" s="4" t="n"/>
      <c r="G67" s="4" t="n"/>
      <c r="H67" s="4" t="n"/>
      <c r="I67" s="5">
        <f>IF(E67="","",ROUND(E67*0.21,2))</f>
        <v/>
      </c>
      <c r="J67" s="5">
        <f>IF(F67="","",ROUND(F67*0.1,2))</f>
        <v/>
      </c>
      <c r="K67" s="5">
        <f>IF(G67="","",ROUND(G67*0.04,2))</f>
        <v/>
      </c>
      <c r="L67" s="4" t="n"/>
      <c r="M67" s="4" t="n"/>
      <c r="N67" s="5">
        <f>IF(A67="","",SUM(E67:K67)-N(L67))</f>
        <v/>
      </c>
      <c r="O67">
        <f>IF(OR(A67="",M67=""),"",IF(ABS(M67-N67)&lt;=0.02,"OK","REVISAR"))</f>
        <v/>
      </c>
      <c r="P67">
        <f>IF(D67="","",IF(LEN(TRIM(D67))&lt;&gt;9,"REVISAR",IFERROR(IF(OR(ISNUMBER(VALUE(LEFT(UPPER(TRIM(D67)),1))),LEFT(UPPER(TRIM(D67)),1)="X",LEFT(UPPER(TRIM(D67)),1)="Y",LEFT(UPPER(TRIM(D67)),1)="Z"),IF(MID("TRWAGMYFPDXBNJZSQVHLCKE",MOD(VALUE(SUBSTITUTE(SUBSTITUTE(SUBSTITUTE(LEFT(UPPER(TRIM(D67)),8),"X","0"),"Y","1"),"Z","2")),23)+1,1)=RIGHT(UPPER(TRIM(D67)),1),"OK","REVISAR"),IF(OR(RIGHT(UPPER(TRIM(D67)),1)=TEXT(MOD(10-MOD((VALUE(MID(UPPER(TRIM(D67)),3,1))+VALUE(MID(UPPER(TRIM(D67)),5,1))+VALUE(MID(UPPER(TRIM(D67)),7,1)))+(INT(2*VALUE(MID(UPPER(TRIM(D67)),2,1))/10)+MOD(2*VALUE(MID(UPPER(TRIM(D67)),2,1)),10))+(INT(2*VALUE(MID(UPPER(TRIM(D67)),4,1))/10)+MOD(2*VALUE(MID(UPPER(TRIM(D67)),4,1)),10))+(INT(2*VALUE(MID(UPPER(TRIM(D67)),6,1))/10)+MOD(2*VALUE(MID(UPPER(TRIM(D67)),6,1)),10))+(INT(2*VALUE(MID(UPPER(TRIM(D67)),8,1))/10)+MOD(2*VALUE(MID(UPPER(TRIM(D67)),8,1)),10)),10),10),"0"),RIGHT(UPPER(TRIM(D67)),1)=MID("JABCDEFGHI",MOD(10-MOD((VALUE(MID(UPPER(TRIM(D67)),3,1))+VALUE(MID(UPPER(TRIM(D67)),5,1))+VALUE(MID(UPPER(TRIM(D67)),7,1)))+(INT(2*VALUE(MID(UPPER(TRIM(D67)),2,1))/10)+MOD(2*VALUE(MID(UPPER(TRIM(D67)),2,1)),10))+(INT(2*VALUE(MID(UPPER(TRIM(D67)),4,1))/10)+MOD(2*VALUE(MID(UPPER(TRIM(D67)),4,1)),10))+(INT(2*VALUE(MID(UPPER(TRIM(D67)),6,1))/10)+MOD(2*VALUE(MID(UPPER(TRIM(D67)),6,1)),10))+(INT(2*VALUE(MID(UPPER(TRIM(D67)),8,1))/10)+MOD(2*VALUE(MID(UPPER(TRIM(D67)),8,1)),10)),10),10)+1,1)),"OK","REVISAR")),"REVISAR")))</f>
        <v/>
      </c>
      <c r="Q67">
        <f>IF(B67="","",IF(COUNTIFS($B$2:$B$501,B67,$D$2:$D$501,D67)&gt;1,"DUPLICADA",""))</f>
        <v/>
      </c>
      <c r="R67">
        <f>IF(A67="","",ROUNDUP(MONTH(A67)/3,0))</f>
        <v/>
      </c>
      <c r="S67" s="3" t="n"/>
    </row>
    <row r="68">
      <c r="A68" s="2" t="n"/>
      <c r="B68" s="3" t="n"/>
      <c r="C68" s="3" t="n"/>
      <c r="D68" s="3" t="n"/>
      <c r="E68" s="4" t="n"/>
      <c r="F68" s="4" t="n"/>
      <c r="G68" s="4" t="n"/>
      <c r="H68" s="4" t="n"/>
      <c r="I68" s="5">
        <f>IF(E68="","",ROUND(E68*0.21,2))</f>
        <v/>
      </c>
      <c r="J68" s="5">
        <f>IF(F68="","",ROUND(F68*0.1,2))</f>
        <v/>
      </c>
      <c r="K68" s="5">
        <f>IF(G68="","",ROUND(G68*0.04,2))</f>
        <v/>
      </c>
      <c r="L68" s="4" t="n"/>
      <c r="M68" s="4" t="n"/>
      <c r="N68" s="5">
        <f>IF(A68="","",SUM(E68:K68)-N(L68))</f>
        <v/>
      </c>
      <c r="O68">
        <f>IF(OR(A68="",M68=""),"",IF(ABS(M68-N68)&lt;=0.02,"OK","REVISAR"))</f>
        <v/>
      </c>
      <c r="P68">
        <f>IF(D68="","",IF(LEN(TRIM(D68))&lt;&gt;9,"REVISAR",IFERROR(IF(OR(ISNUMBER(VALUE(LEFT(UPPER(TRIM(D68)),1))),LEFT(UPPER(TRIM(D68)),1)="X",LEFT(UPPER(TRIM(D68)),1)="Y",LEFT(UPPER(TRIM(D68)),1)="Z"),IF(MID("TRWAGMYFPDXBNJZSQVHLCKE",MOD(VALUE(SUBSTITUTE(SUBSTITUTE(SUBSTITUTE(LEFT(UPPER(TRIM(D68)),8),"X","0"),"Y","1"),"Z","2")),23)+1,1)=RIGHT(UPPER(TRIM(D68)),1),"OK","REVISAR"),IF(OR(RIGHT(UPPER(TRIM(D68)),1)=TEXT(MOD(10-MOD((VALUE(MID(UPPER(TRIM(D68)),3,1))+VALUE(MID(UPPER(TRIM(D68)),5,1))+VALUE(MID(UPPER(TRIM(D68)),7,1)))+(INT(2*VALUE(MID(UPPER(TRIM(D68)),2,1))/10)+MOD(2*VALUE(MID(UPPER(TRIM(D68)),2,1)),10))+(INT(2*VALUE(MID(UPPER(TRIM(D68)),4,1))/10)+MOD(2*VALUE(MID(UPPER(TRIM(D68)),4,1)),10))+(INT(2*VALUE(MID(UPPER(TRIM(D68)),6,1))/10)+MOD(2*VALUE(MID(UPPER(TRIM(D68)),6,1)),10))+(INT(2*VALUE(MID(UPPER(TRIM(D68)),8,1))/10)+MOD(2*VALUE(MID(UPPER(TRIM(D68)),8,1)),10)),10),10),"0"),RIGHT(UPPER(TRIM(D68)),1)=MID("JABCDEFGHI",MOD(10-MOD((VALUE(MID(UPPER(TRIM(D68)),3,1))+VALUE(MID(UPPER(TRIM(D68)),5,1))+VALUE(MID(UPPER(TRIM(D68)),7,1)))+(INT(2*VALUE(MID(UPPER(TRIM(D68)),2,1))/10)+MOD(2*VALUE(MID(UPPER(TRIM(D68)),2,1)),10))+(INT(2*VALUE(MID(UPPER(TRIM(D68)),4,1))/10)+MOD(2*VALUE(MID(UPPER(TRIM(D68)),4,1)),10))+(INT(2*VALUE(MID(UPPER(TRIM(D68)),6,1))/10)+MOD(2*VALUE(MID(UPPER(TRIM(D68)),6,1)),10))+(INT(2*VALUE(MID(UPPER(TRIM(D68)),8,1))/10)+MOD(2*VALUE(MID(UPPER(TRIM(D68)),8,1)),10)),10),10)+1,1)),"OK","REVISAR")),"REVISAR")))</f>
        <v/>
      </c>
      <c r="Q68">
        <f>IF(B68="","",IF(COUNTIFS($B$2:$B$501,B68,$D$2:$D$501,D68)&gt;1,"DUPLICADA",""))</f>
        <v/>
      </c>
      <c r="R68">
        <f>IF(A68="","",ROUNDUP(MONTH(A68)/3,0))</f>
        <v/>
      </c>
      <c r="S68" s="3" t="n"/>
    </row>
    <row r="69">
      <c r="A69" s="2" t="n"/>
      <c r="B69" s="3" t="n"/>
      <c r="C69" s="3" t="n"/>
      <c r="D69" s="3" t="n"/>
      <c r="E69" s="4" t="n"/>
      <c r="F69" s="4" t="n"/>
      <c r="G69" s="4" t="n"/>
      <c r="H69" s="4" t="n"/>
      <c r="I69" s="5">
        <f>IF(E69="","",ROUND(E69*0.21,2))</f>
        <v/>
      </c>
      <c r="J69" s="5">
        <f>IF(F69="","",ROUND(F69*0.1,2))</f>
        <v/>
      </c>
      <c r="K69" s="5">
        <f>IF(G69="","",ROUND(G69*0.04,2))</f>
        <v/>
      </c>
      <c r="L69" s="4" t="n"/>
      <c r="M69" s="4" t="n"/>
      <c r="N69" s="5">
        <f>IF(A69="","",SUM(E69:K69)-N(L69))</f>
        <v/>
      </c>
      <c r="O69">
        <f>IF(OR(A69="",M69=""),"",IF(ABS(M69-N69)&lt;=0.02,"OK","REVISAR"))</f>
        <v/>
      </c>
      <c r="P69">
        <f>IF(D69="","",IF(LEN(TRIM(D69))&lt;&gt;9,"REVISAR",IFERROR(IF(OR(ISNUMBER(VALUE(LEFT(UPPER(TRIM(D69)),1))),LEFT(UPPER(TRIM(D69)),1)="X",LEFT(UPPER(TRIM(D69)),1)="Y",LEFT(UPPER(TRIM(D69)),1)="Z"),IF(MID("TRWAGMYFPDXBNJZSQVHLCKE",MOD(VALUE(SUBSTITUTE(SUBSTITUTE(SUBSTITUTE(LEFT(UPPER(TRIM(D69)),8),"X","0"),"Y","1"),"Z","2")),23)+1,1)=RIGHT(UPPER(TRIM(D69)),1),"OK","REVISAR"),IF(OR(RIGHT(UPPER(TRIM(D69)),1)=TEXT(MOD(10-MOD((VALUE(MID(UPPER(TRIM(D69)),3,1))+VALUE(MID(UPPER(TRIM(D69)),5,1))+VALUE(MID(UPPER(TRIM(D69)),7,1)))+(INT(2*VALUE(MID(UPPER(TRIM(D69)),2,1))/10)+MOD(2*VALUE(MID(UPPER(TRIM(D69)),2,1)),10))+(INT(2*VALUE(MID(UPPER(TRIM(D69)),4,1))/10)+MOD(2*VALUE(MID(UPPER(TRIM(D69)),4,1)),10))+(INT(2*VALUE(MID(UPPER(TRIM(D69)),6,1))/10)+MOD(2*VALUE(MID(UPPER(TRIM(D69)),6,1)),10))+(INT(2*VALUE(MID(UPPER(TRIM(D69)),8,1))/10)+MOD(2*VALUE(MID(UPPER(TRIM(D69)),8,1)),10)),10),10),"0"),RIGHT(UPPER(TRIM(D69)),1)=MID("JABCDEFGHI",MOD(10-MOD((VALUE(MID(UPPER(TRIM(D69)),3,1))+VALUE(MID(UPPER(TRIM(D69)),5,1))+VALUE(MID(UPPER(TRIM(D69)),7,1)))+(INT(2*VALUE(MID(UPPER(TRIM(D69)),2,1))/10)+MOD(2*VALUE(MID(UPPER(TRIM(D69)),2,1)),10))+(INT(2*VALUE(MID(UPPER(TRIM(D69)),4,1))/10)+MOD(2*VALUE(MID(UPPER(TRIM(D69)),4,1)),10))+(INT(2*VALUE(MID(UPPER(TRIM(D69)),6,1))/10)+MOD(2*VALUE(MID(UPPER(TRIM(D69)),6,1)),10))+(INT(2*VALUE(MID(UPPER(TRIM(D69)),8,1))/10)+MOD(2*VALUE(MID(UPPER(TRIM(D69)),8,1)),10)),10),10)+1,1)),"OK","REVISAR")),"REVISAR")))</f>
        <v/>
      </c>
      <c r="Q69">
        <f>IF(B69="","",IF(COUNTIFS($B$2:$B$501,B69,$D$2:$D$501,D69)&gt;1,"DUPLICADA",""))</f>
        <v/>
      </c>
      <c r="R69">
        <f>IF(A69="","",ROUNDUP(MONTH(A69)/3,0))</f>
        <v/>
      </c>
      <c r="S69" s="3" t="n"/>
    </row>
    <row r="70">
      <c r="A70" s="2" t="n"/>
      <c r="B70" s="3" t="n"/>
      <c r="C70" s="3" t="n"/>
      <c r="D70" s="3" t="n"/>
      <c r="E70" s="4" t="n"/>
      <c r="F70" s="4" t="n"/>
      <c r="G70" s="4" t="n"/>
      <c r="H70" s="4" t="n"/>
      <c r="I70" s="5">
        <f>IF(E70="","",ROUND(E70*0.21,2))</f>
        <v/>
      </c>
      <c r="J70" s="5">
        <f>IF(F70="","",ROUND(F70*0.1,2))</f>
        <v/>
      </c>
      <c r="K70" s="5">
        <f>IF(G70="","",ROUND(G70*0.04,2))</f>
        <v/>
      </c>
      <c r="L70" s="4" t="n"/>
      <c r="M70" s="4" t="n"/>
      <c r="N70" s="5">
        <f>IF(A70="","",SUM(E70:K70)-N(L70))</f>
        <v/>
      </c>
      <c r="O70">
        <f>IF(OR(A70="",M70=""),"",IF(ABS(M70-N70)&lt;=0.02,"OK","REVISAR"))</f>
        <v/>
      </c>
      <c r="P70">
        <f>IF(D70="","",IF(LEN(TRIM(D70))&lt;&gt;9,"REVISAR",IFERROR(IF(OR(ISNUMBER(VALUE(LEFT(UPPER(TRIM(D70)),1))),LEFT(UPPER(TRIM(D70)),1)="X",LEFT(UPPER(TRIM(D70)),1)="Y",LEFT(UPPER(TRIM(D70)),1)="Z"),IF(MID("TRWAGMYFPDXBNJZSQVHLCKE",MOD(VALUE(SUBSTITUTE(SUBSTITUTE(SUBSTITUTE(LEFT(UPPER(TRIM(D70)),8),"X","0"),"Y","1"),"Z","2")),23)+1,1)=RIGHT(UPPER(TRIM(D70)),1),"OK","REVISAR"),IF(OR(RIGHT(UPPER(TRIM(D70)),1)=TEXT(MOD(10-MOD((VALUE(MID(UPPER(TRIM(D70)),3,1))+VALUE(MID(UPPER(TRIM(D70)),5,1))+VALUE(MID(UPPER(TRIM(D70)),7,1)))+(INT(2*VALUE(MID(UPPER(TRIM(D70)),2,1))/10)+MOD(2*VALUE(MID(UPPER(TRIM(D70)),2,1)),10))+(INT(2*VALUE(MID(UPPER(TRIM(D70)),4,1))/10)+MOD(2*VALUE(MID(UPPER(TRIM(D70)),4,1)),10))+(INT(2*VALUE(MID(UPPER(TRIM(D70)),6,1))/10)+MOD(2*VALUE(MID(UPPER(TRIM(D70)),6,1)),10))+(INT(2*VALUE(MID(UPPER(TRIM(D70)),8,1))/10)+MOD(2*VALUE(MID(UPPER(TRIM(D70)),8,1)),10)),10),10),"0"),RIGHT(UPPER(TRIM(D70)),1)=MID("JABCDEFGHI",MOD(10-MOD((VALUE(MID(UPPER(TRIM(D70)),3,1))+VALUE(MID(UPPER(TRIM(D70)),5,1))+VALUE(MID(UPPER(TRIM(D70)),7,1)))+(INT(2*VALUE(MID(UPPER(TRIM(D70)),2,1))/10)+MOD(2*VALUE(MID(UPPER(TRIM(D70)),2,1)),10))+(INT(2*VALUE(MID(UPPER(TRIM(D70)),4,1))/10)+MOD(2*VALUE(MID(UPPER(TRIM(D70)),4,1)),10))+(INT(2*VALUE(MID(UPPER(TRIM(D70)),6,1))/10)+MOD(2*VALUE(MID(UPPER(TRIM(D70)),6,1)),10))+(INT(2*VALUE(MID(UPPER(TRIM(D70)),8,1))/10)+MOD(2*VALUE(MID(UPPER(TRIM(D70)),8,1)),10)),10),10)+1,1)),"OK","REVISAR")),"REVISAR")))</f>
        <v/>
      </c>
      <c r="Q70">
        <f>IF(B70="","",IF(COUNTIFS($B$2:$B$501,B70,$D$2:$D$501,D70)&gt;1,"DUPLICADA",""))</f>
        <v/>
      </c>
      <c r="R70">
        <f>IF(A70="","",ROUNDUP(MONTH(A70)/3,0))</f>
        <v/>
      </c>
      <c r="S70" s="3" t="n"/>
    </row>
    <row r="71">
      <c r="A71" s="2" t="n"/>
      <c r="B71" s="3" t="n"/>
      <c r="C71" s="3" t="n"/>
      <c r="D71" s="3" t="n"/>
      <c r="E71" s="4" t="n"/>
      <c r="F71" s="4" t="n"/>
      <c r="G71" s="4" t="n"/>
      <c r="H71" s="4" t="n"/>
      <c r="I71" s="5">
        <f>IF(E71="","",ROUND(E71*0.21,2))</f>
        <v/>
      </c>
      <c r="J71" s="5">
        <f>IF(F71="","",ROUND(F71*0.1,2))</f>
        <v/>
      </c>
      <c r="K71" s="5">
        <f>IF(G71="","",ROUND(G71*0.04,2))</f>
        <v/>
      </c>
      <c r="L71" s="4" t="n"/>
      <c r="M71" s="4" t="n"/>
      <c r="N71" s="5">
        <f>IF(A71="","",SUM(E71:K71)-N(L71))</f>
        <v/>
      </c>
      <c r="O71">
        <f>IF(OR(A71="",M71=""),"",IF(ABS(M71-N71)&lt;=0.02,"OK","REVISAR"))</f>
        <v/>
      </c>
      <c r="P71">
        <f>IF(D71="","",IF(LEN(TRIM(D71))&lt;&gt;9,"REVISAR",IFERROR(IF(OR(ISNUMBER(VALUE(LEFT(UPPER(TRIM(D71)),1))),LEFT(UPPER(TRIM(D71)),1)="X",LEFT(UPPER(TRIM(D71)),1)="Y",LEFT(UPPER(TRIM(D71)),1)="Z"),IF(MID("TRWAGMYFPDXBNJZSQVHLCKE",MOD(VALUE(SUBSTITUTE(SUBSTITUTE(SUBSTITUTE(LEFT(UPPER(TRIM(D71)),8),"X","0"),"Y","1"),"Z","2")),23)+1,1)=RIGHT(UPPER(TRIM(D71)),1),"OK","REVISAR"),IF(OR(RIGHT(UPPER(TRIM(D71)),1)=TEXT(MOD(10-MOD((VALUE(MID(UPPER(TRIM(D71)),3,1))+VALUE(MID(UPPER(TRIM(D71)),5,1))+VALUE(MID(UPPER(TRIM(D71)),7,1)))+(INT(2*VALUE(MID(UPPER(TRIM(D71)),2,1))/10)+MOD(2*VALUE(MID(UPPER(TRIM(D71)),2,1)),10))+(INT(2*VALUE(MID(UPPER(TRIM(D71)),4,1))/10)+MOD(2*VALUE(MID(UPPER(TRIM(D71)),4,1)),10))+(INT(2*VALUE(MID(UPPER(TRIM(D71)),6,1))/10)+MOD(2*VALUE(MID(UPPER(TRIM(D71)),6,1)),10))+(INT(2*VALUE(MID(UPPER(TRIM(D71)),8,1))/10)+MOD(2*VALUE(MID(UPPER(TRIM(D71)),8,1)),10)),10),10),"0"),RIGHT(UPPER(TRIM(D71)),1)=MID("JABCDEFGHI",MOD(10-MOD((VALUE(MID(UPPER(TRIM(D71)),3,1))+VALUE(MID(UPPER(TRIM(D71)),5,1))+VALUE(MID(UPPER(TRIM(D71)),7,1)))+(INT(2*VALUE(MID(UPPER(TRIM(D71)),2,1))/10)+MOD(2*VALUE(MID(UPPER(TRIM(D71)),2,1)),10))+(INT(2*VALUE(MID(UPPER(TRIM(D71)),4,1))/10)+MOD(2*VALUE(MID(UPPER(TRIM(D71)),4,1)),10))+(INT(2*VALUE(MID(UPPER(TRIM(D71)),6,1))/10)+MOD(2*VALUE(MID(UPPER(TRIM(D71)),6,1)),10))+(INT(2*VALUE(MID(UPPER(TRIM(D71)),8,1))/10)+MOD(2*VALUE(MID(UPPER(TRIM(D71)),8,1)),10)),10),10)+1,1)),"OK","REVISAR")),"REVISAR")))</f>
        <v/>
      </c>
      <c r="Q71">
        <f>IF(B71="","",IF(COUNTIFS($B$2:$B$501,B71,$D$2:$D$501,D71)&gt;1,"DUPLICADA",""))</f>
        <v/>
      </c>
      <c r="R71">
        <f>IF(A71="","",ROUNDUP(MONTH(A71)/3,0))</f>
        <v/>
      </c>
      <c r="S71" s="3" t="n"/>
    </row>
    <row r="72">
      <c r="A72" s="2" t="n"/>
      <c r="B72" s="3" t="n"/>
      <c r="C72" s="3" t="n"/>
      <c r="D72" s="3" t="n"/>
      <c r="E72" s="4" t="n"/>
      <c r="F72" s="4" t="n"/>
      <c r="G72" s="4" t="n"/>
      <c r="H72" s="4" t="n"/>
      <c r="I72" s="5">
        <f>IF(E72="","",ROUND(E72*0.21,2))</f>
        <v/>
      </c>
      <c r="J72" s="5">
        <f>IF(F72="","",ROUND(F72*0.1,2))</f>
        <v/>
      </c>
      <c r="K72" s="5">
        <f>IF(G72="","",ROUND(G72*0.04,2))</f>
        <v/>
      </c>
      <c r="L72" s="4" t="n"/>
      <c r="M72" s="4" t="n"/>
      <c r="N72" s="5">
        <f>IF(A72="","",SUM(E72:K72)-N(L72))</f>
        <v/>
      </c>
      <c r="O72">
        <f>IF(OR(A72="",M72=""),"",IF(ABS(M72-N72)&lt;=0.02,"OK","REVISAR"))</f>
        <v/>
      </c>
      <c r="P72">
        <f>IF(D72="","",IF(LEN(TRIM(D72))&lt;&gt;9,"REVISAR",IFERROR(IF(OR(ISNUMBER(VALUE(LEFT(UPPER(TRIM(D72)),1))),LEFT(UPPER(TRIM(D72)),1)="X",LEFT(UPPER(TRIM(D72)),1)="Y",LEFT(UPPER(TRIM(D72)),1)="Z"),IF(MID("TRWAGMYFPDXBNJZSQVHLCKE",MOD(VALUE(SUBSTITUTE(SUBSTITUTE(SUBSTITUTE(LEFT(UPPER(TRIM(D72)),8),"X","0"),"Y","1"),"Z","2")),23)+1,1)=RIGHT(UPPER(TRIM(D72)),1),"OK","REVISAR"),IF(OR(RIGHT(UPPER(TRIM(D72)),1)=TEXT(MOD(10-MOD((VALUE(MID(UPPER(TRIM(D72)),3,1))+VALUE(MID(UPPER(TRIM(D72)),5,1))+VALUE(MID(UPPER(TRIM(D72)),7,1)))+(INT(2*VALUE(MID(UPPER(TRIM(D72)),2,1))/10)+MOD(2*VALUE(MID(UPPER(TRIM(D72)),2,1)),10))+(INT(2*VALUE(MID(UPPER(TRIM(D72)),4,1))/10)+MOD(2*VALUE(MID(UPPER(TRIM(D72)),4,1)),10))+(INT(2*VALUE(MID(UPPER(TRIM(D72)),6,1))/10)+MOD(2*VALUE(MID(UPPER(TRIM(D72)),6,1)),10))+(INT(2*VALUE(MID(UPPER(TRIM(D72)),8,1))/10)+MOD(2*VALUE(MID(UPPER(TRIM(D72)),8,1)),10)),10),10),"0"),RIGHT(UPPER(TRIM(D72)),1)=MID("JABCDEFGHI",MOD(10-MOD((VALUE(MID(UPPER(TRIM(D72)),3,1))+VALUE(MID(UPPER(TRIM(D72)),5,1))+VALUE(MID(UPPER(TRIM(D72)),7,1)))+(INT(2*VALUE(MID(UPPER(TRIM(D72)),2,1))/10)+MOD(2*VALUE(MID(UPPER(TRIM(D72)),2,1)),10))+(INT(2*VALUE(MID(UPPER(TRIM(D72)),4,1))/10)+MOD(2*VALUE(MID(UPPER(TRIM(D72)),4,1)),10))+(INT(2*VALUE(MID(UPPER(TRIM(D72)),6,1))/10)+MOD(2*VALUE(MID(UPPER(TRIM(D72)),6,1)),10))+(INT(2*VALUE(MID(UPPER(TRIM(D72)),8,1))/10)+MOD(2*VALUE(MID(UPPER(TRIM(D72)),8,1)),10)),10),10)+1,1)),"OK","REVISAR")),"REVISAR")))</f>
        <v/>
      </c>
      <c r="Q72">
        <f>IF(B72="","",IF(COUNTIFS($B$2:$B$501,B72,$D$2:$D$501,D72)&gt;1,"DUPLICADA",""))</f>
        <v/>
      </c>
      <c r="R72">
        <f>IF(A72="","",ROUNDUP(MONTH(A72)/3,0))</f>
        <v/>
      </c>
      <c r="S72" s="3" t="n"/>
    </row>
    <row r="73">
      <c r="A73" s="2" t="n"/>
      <c r="B73" s="3" t="n"/>
      <c r="C73" s="3" t="n"/>
      <c r="D73" s="3" t="n"/>
      <c r="E73" s="4" t="n"/>
      <c r="F73" s="4" t="n"/>
      <c r="G73" s="4" t="n"/>
      <c r="H73" s="4" t="n"/>
      <c r="I73" s="5">
        <f>IF(E73="","",ROUND(E73*0.21,2))</f>
        <v/>
      </c>
      <c r="J73" s="5">
        <f>IF(F73="","",ROUND(F73*0.1,2))</f>
        <v/>
      </c>
      <c r="K73" s="5">
        <f>IF(G73="","",ROUND(G73*0.04,2))</f>
        <v/>
      </c>
      <c r="L73" s="4" t="n"/>
      <c r="M73" s="4" t="n"/>
      <c r="N73" s="5">
        <f>IF(A73="","",SUM(E73:K73)-N(L73))</f>
        <v/>
      </c>
      <c r="O73">
        <f>IF(OR(A73="",M73=""),"",IF(ABS(M73-N73)&lt;=0.02,"OK","REVISAR"))</f>
        <v/>
      </c>
      <c r="P73">
        <f>IF(D73="","",IF(LEN(TRIM(D73))&lt;&gt;9,"REVISAR",IFERROR(IF(OR(ISNUMBER(VALUE(LEFT(UPPER(TRIM(D73)),1))),LEFT(UPPER(TRIM(D73)),1)="X",LEFT(UPPER(TRIM(D73)),1)="Y",LEFT(UPPER(TRIM(D73)),1)="Z"),IF(MID("TRWAGMYFPDXBNJZSQVHLCKE",MOD(VALUE(SUBSTITUTE(SUBSTITUTE(SUBSTITUTE(LEFT(UPPER(TRIM(D73)),8),"X","0"),"Y","1"),"Z","2")),23)+1,1)=RIGHT(UPPER(TRIM(D73)),1),"OK","REVISAR"),IF(OR(RIGHT(UPPER(TRIM(D73)),1)=TEXT(MOD(10-MOD((VALUE(MID(UPPER(TRIM(D73)),3,1))+VALUE(MID(UPPER(TRIM(D73)),5,1))+VALUE(MID(UPPER(TRIM(D73)),7,1)))+(INT(2*VALUE(MID(UPPER(TRIM(D73)),2,1))/10)+MOD(2*VALUE(MID(UPPER(TRIM(D73)),2,1)),10))+(INT(2*VALUE(MID(UPPER(TRIM(D73)),4,1))/10)+MOD(2*VALUE(MID(UPPER(TRIM(D73)),4,1)),10))+(INT(2*VALUE(MID(UPPER(TRIM(D73)),6,1))/10)+MOD(2*VALUE(MID(UPPER(TRIM(D73)),6,1)),10))+(INT(2*VALUE(MID(UPPER(TRIM(D73)),8,1))/10)+MOD(2*VALUE(MID(UPPER(TRIM(D73)),8,1)),10)),10),10),"0"),RIGHT(UPPER(TRIM(D73)),1)=MID("JABCDEFGHI",MOD(10-MOD((VALUE(MID(UPPER(TRIM(D73)),3,1))+VALUE(MID(UPPER(TRIM(D73)),5,1))+VALUE(MID(UPPER(TRIM(D73)),7,1)))+(INT(2*VALUE(MID(UPPER(TRIM(D73)),2,1))/10)+MOD(2*VALUE(MID(UPPER(TRIM(D73)),2,1)),10))+(INT(2*VALUE(MID(UPPER(TRIM(D73)),4,1))/10)+MOD(2*VALUE(MID(UPPER(TRIM(D73)),4,1)),10))+(INT(2*VALUE(MID(UPPER(TRIM(D73)),6,1))/10)+MOD(2*VALUE(MID(UPPER(TRIM(D73)),6,1)),10))+(INT(2*VALUE(MID(UPPER(TRIM(D73)),8,1))/10)+MOD(2*VALUE(MID(UPPER(TRIM(D73)),8,1)),10)),10),10)+1,1)),"OK","REVISAR")),"REVISAR")))</f>
        <v/>
      </c>
      <c r="Q73">
        <f>IF(B73="","",IF(COUNTIFS($B$2:$B$501,B73,$D$2:$D$501,D73)&gt;1,"DUPLICADA",""))</f>
        <v/>
      </c>
      <c r="R73">
        <f>IF(A73="","",ROUNDUP(MONTH(A73)/3,0))</f>
        <v/>
      </c>
      <c r="S73" s="3" t="n"/>
    </row>
    <row r="74">
      <c r="A74" s="2" t="n"/>
      <c r="B74" s="3" t="n"/>
      <c r="C74" s="3" t="n"/>
      <c r="D74" s="3" t="n"/>
      <c r="E74" s="4" t="n"/>
      <c r="F74" s="4" t="n"/>
      <c r="G74" s="4" t="n"/>
      <c r="H74" s="4" t="n"/>
      <c r="I74" s="5">
        <f>IF(E74="","",ROUND(E74*0.21,2))</f>
        <v/>
      </c>
      <c r="J74" s="5">
        <f>IF(F74="","",ROUND(F74*0.1,2))</f>
        <v/>
      </c>
      <c r="K74" s="5">
        <f>IF(G74="","",ROUND(G74*0.04,2))</f>
        <v/>
      </c>
      <c r="L74" s="4" t="n"/>
      <c r="M74" s="4" t="n"/>
      <c r="N74" s="5">
        <f>IF(A74="","",SUM(E74:K74)-N(L74))</f>
        <v/>
      </c>
      <c r="O74">
        <f>IF(OR(A74="",M74=""),"",IF(ABS(M74-N74)&lt;=0.02,"OK","REVISAR"))</f>
        <v/>
      </c>
      <c r="P74">
        <f>IF(D74="","",IF(LEN(TRIM(D74))&lt;&gt;9,"REVISAR",IFERROR(IF(OR(ISNUMBER(VALUE(LEFT(UPPER(TRIM(D74)),1))),LEFT(UPPER(TRIM(D74)),1)="X",LEFT(UPPER(TRIM(D74)),1)="Y",LEFT(UPPER(TRIM(D74)),1)="Z"),IF(MID("TRWAGMYFPDXBNJZSQVHLCKE",MOD(VALUE(SUBSTITUTE(SUBSTITUTE(SUBSTITUTE(LEFT(UPPER(TRIM(D74)),8),"X","0"),"Y","1"),"Z","2")),23)+1,1)=RIGHT(UPPER(TRIM(D74)),1),"OK","REVISAR"),IF(OR(RIGHT(UPPER(TRIM(D74)),1)=TEXT(MOD(10-MOD((VALUE(MID(UPPER(TRIM(D74)),3,1))+VALUE(MID(UPPER(TRIM(D74)),5,1))+VALUE(MID(UPPER(TRIM(D74)),7,1)))+(INT(2*VALUE(MID(UPPER(TRIM(D74)),2,1))/10)+MOD(2*VALUE(MID(UPPER(TRIM(D74)),2,1)),10))+(INT(2*VALUE(MID(UPPER(TRIM(D74)),4,1))/10)+MOD(2*VALUE(MID(UPPER(TRIM(D74)),4,1)),10))+(INT(2*VALUE(MID(UPPER(TRIM(D74)),6,1))/10)+MOD(2*VALUE(MID(UPPER(TRIM(D74)),6,1)),10))+(INT(2*VALUE(MID(UPPER(TRIM(D74)),8,1))/10)+MOD(2*VALUE(MID(UPPER(TRIM(D74)),8,1)),10)),10),10),"0"),RIGHT(UPPER(TRIM(D74)),1)=MID("JABCDEFGHI",MOD(10-MOD((VALUE(MID(UPPER(TRIM(D74)),3,1))+VALUE(MID(UPPER(TRIM(D74)),5,1))+VALUE(MID(UPPER(TRIM(D74)),7,1)))+(INT(2*VALUE(MID(UPPER(TRIM(D74)),2,1))/10)+MOD(2*VALUE(MID(UPPER(TRIM(D74)),2,1)),10))+(INT(2*VALUE(MID(UPPER(TRIM(D74)),4,1))/10)+MOD(2*VALUE(MID(UPPER(TRIM(D74)),4,1)),10))+(INT(2*VALUE(MID(UPPER(TRIM(D74)),6,1))/10)+MOD(2*VALUE(MID(UPPER(TRIM(D74)),6,1)),10))+(INT(2*VALUE(MID(UPPER(TRIM(D74)),8,1))/10)+MOD(2*VALUE(MID(UPPER(TRIM(D74)),8,1)),10)),10),10)+1,1)),"OK","REVISAR")),"REVISAR")))</f>
        <v/>
      </c>
      <c r="Q74">
        <f>IF(B74="","",IF(COUNTIFS($B$2:$B$501,B74,$D$2:$D$501,D74)&gt;1,"DUPLICADA",""))</f>
        <v/>
      </c>
      <c r="R74">
        <f>IF(A74="","",ROUNDUP(MONTH(A74)/3,0))</f>
        <v/>
      </c>
      <c r="S74" s="3" t="n"/>
    </row>
    <row r="75">
      <c r="A75" s="2" t="n"/>
      <c r="B75" s="3" t="n"/>
      <c r="C75" s="3" t="n"/>
      <c r="D75" s="3" t="n"/>
      <c r="E75" s="4" t="n"/>
      <c r="F75" s="4" t="n"/>
      <c r="G75" s="4" t="n"/>
      <c r="H75" s="4" t="n"/>
      <c r="I75" s="5">
        <f>IF(E75="","",ROUND(E75*0.21,2))</f>
        <v/>
      </c>
      <c r="J75" s="5">
        <f>IF(F75="","",ROUND(F75*0.1,2))</f>
        <v/>
      </c>
      <c r="K75" s="5">
        <f>IF(G75="","",ROUND(G75*0.04,2))</f>
        <v/>
      </c>
      <c r="L75" s="4" t="n"/>
      <c r="M75" s="4" t="n"/>
      <c r="N75" s="5">
        <f>IF(A75="","",SUM(E75:K75)-N(L75))</f>
        <v/>
      </c>
      <c r="O75">
        <f>IF(OR(A75="",M75=""),"",IF(ABS(M75-N75)&lt;=0.02,"OK","REVISAR"))</f>
        <v/>
      </c>
      <c r="P75">
        <f>IF(D75="","",IF(LEN(TRIM(D75))&lt;&gt;9,"REVISAR",IFERROR(IF(OR(ISNUMBER(VALUE(LEFT(UPPER(TRIM(D75)),1))),LEFT(UPPER(TRIM(D75)),1)="X",LEFT(UPPER(TRIM(D75)),1)="Y",LEFT(UPPER(TRIM(D75)),1)="Z"),IF(MID("TRWAGMYFPDXBNJZSQVHLCKE",MOD(VALUE(SUBSTITUTE(SUBSTITUTE(SUBSTITUTE(LEFT(UPPER(TRIM(D75)),8),"X","0"),"Y","1"),"Z","2")),23)+1,1)=RIGHT(UPPER(TRIM(D75)),1),"OK","REVISAR"),IF(OR(RIGHT(UPPER(TRIM(D75)),1)=TEXT(MOD(10-MOD((VALUE(MID(UPPER(TRIM(D75)),3,1))+VALUE(MID(UPPER(TRIM(D75)),5,1))+VALUE(MID(UPPER(TRIM(D75)),7,1)))+(INT(2*VALUE(MID(UPPER(TRIM(D75)),2,1))/10)+MOD(2*VALUE(MID(UPPER(TRIM(D75)),2,1)),10))+(INT(2*VALUE(MID(UPPER(TRIM(D75)),4,1))/10)+MOD(2*VALUE(MID(UPPER(TRIM(D75)),4,1)),10))+(INT(2*VALUE(MID(UPPER(TRIM(D75)),6,1))/10)+MOD(2*VALUE(MID(UPPER(TRIM(D75)),6,1)),10))+(INT(2*VALUE(MID(UPPER(TRIM(D75)),8,1))/10)+MOD(2*VALUE(MID(UPPER(TRIM(D75)),8,1)),10)),10),10),"0"),RIGHT(UPPER(TRIM(D75)),1)=MID("JABCDEFGHI",MOD(10-MOD((VALUE(MID(UPPER(TRIM(D75)),3,1))+VALUE(MID(UPPER(TRIM(D75)),5,1))+VALUE(MID(UPPER(TRIM(D75)),7,1)))+(INT(2*VALUE(MID(UPPER(TRIM(D75)),2,1))/10)+MOD(2*VALUE(MID(UPPER(TRIM(D75)),2,1)),10))+(INT(2*VALUE(MID(UPPER(TRIM(D75)),4,1))/10)+MOD(2*VALUE(MID(UPPER(TRIM(D75)),4,1)),10))+(INT(2*VALUE(MID(UPPER(TRIM(D75)),6,1))/10)+MOD(2*VALUE(MID(UPPER(TRIM(D75)),6,1)),10))+(INT(2*VALUE(MID(UPPER(TRIM(D75)),8,1))/10)+MOD(2*VALUE(MID(UPPER(TRIM(D75)),8,1)),10)),10),10)+1,1)),"OK","REVISAR")),"REVISAR")))</f>
        <v/>
      </c>
      <c r="Q75">
        <f>IF(B75="","",IF(COUNTIFS($B$2:$B$501,B75,$D$2:$D$501,D75)&gt;1,"DUPLICADA",""))</f>
        <v/>
      </c>
      <c r="R75">
        <f>IF(A75="","",ROUNDUP(MONTH(A75)/3,0))</f>
        <v/>
      </c>
      <c r="S75" s="3" t="n"/>
    </row>
    <row r="76">
      <c r="A76" s="2" t="n"/>
      <c r="B76" s="3" t="n"/>
      <c r="C76" s="3" t="n"/>
      <c r="D76" s="3" t="n"/>
      <c r="E76" s="4" t="n"/>
      <c r="F76" s="4" t="n"/>
      <c r="G76" s="4" t="n"/>
      <c r="H76" s="4" t="n"/>
      <c r="I76" s="5">
        <f>IF(E76="","",ROUND(E76*0.21,2))</f>
        <v/>
      </c>
      <c r="J76" s="5">
        <f>IF(F76="","",ROUND(F76*0.1,2))</f>
        <v/>
      </c>
      <c r="K76" s="5">
        <f>IF(G76="","",ROUND(G76*0.04,2))</f>
        <v/>
      </c>
      <c r="L76" s="4" t="n"/>
      <c r="M76" s="4" t="n"/>
      <c r="N76" s="5">
        <f>IF(A76="","",SUM(E76:K76)-N(L76))</f>
        <v/>
      </c>
      <c r="O76">
        <f>IF(OR(A76="",M76=""),"",IF(ABS(M76-N76)&lt;=0.02,"OK","REVISAR"))</f>
        <v/>
      </c>
      <c r="P76">
        <f>IF(D76="","",IF(LEN(TRIM(D76))&lt;&gt;9,"REVISAR",IFERROR(IF(OR(ISNUMBER(VALUE(LEFT(UPPER(TRIM(D76)),1))),LEFT(UPPER(TRIM(D76)),1)="X",LEFT(UPPER(TRIM(D76)),1)="Y",LEFT(UPPER(TRIM(D76)),1)="Z"),IF(MID("TRWAGMYFPDXBNJZSQVHLCKE",MOD(VALUE(SUBSTITUTE(SUBSTITUTE(SUBSTITUTE(LEFT(UPPER(TRIM(D76)),8),"X","0"),"Y","1"),"Z","2")),23)+1,1)=RIGHT(UPPER(TRIM(D76)),1),"OK","REVISAR"),IF(OR(RIGHT(UPPER(TRIM(D76)),1)=TEXT(MOD(10-MOD((VALUE(MID(UPPER(TRIM(D76)),3,1))+VALUE(MID(UPPER(TRIM(D76)),5,1))+VALUE(MID(UPPER(TRIM(D76)),7,1)))+(INT(2*VALUE(MID(UPPER(TRIM(D76)),2,1))/10)+MOD(2*VALUE(MID(UPPER(TRIM(D76)),2,1)),10))+(INT(2*VALUE(MID(UPPER(TRIM(D76)),4,1))/10)+MOD(2*VALUE(MID(UPPER(TRIM(D76)),4,1)),10))+(INT(2*VALUE(MID(UPPER(TRIM(D76)),6,1))/10)+MOD(2*VALUE(MID(UPPER(TRIM(D76)),6,1)),10))+(INT(2*VALUE(MID(UPPER(TRIM(D76)),8,1))/10)+MOD(2*VALUE(MID(UPPER(TRIM(D76)),8,1)),10)),10),10),"0"),RIGHT(UPPER(TRIM(D76)),1)=MID("JABCDEFGHI",MOD(10-MOD((VALUE(MID(UPPER(TRIM(D76)),3,1))+VALUE(MID(UPPER(TRIM(D76)),5,1))+VALUE(MID(UPPER(TRIM(D76)),7,1)))+(INT(2*VALUE(MID(UPPER(TRIM(D76)),2,1))/10)+MOD(2*VALUE(MID(UPPER(TRIM(D76)),2,1)),10))+(INT(2*VALUE(MID(UPPER(TRIM(D76)),4,1))/10)+MOD(2*VALUE(MID(UPPER(TRIM(D76)),4,1)),10))+(INT(2*VALUE(MID(UPPER(TRIM(D76)),6,1))/10)+MOD(2*VALUE(MID(UPPER(TRIM(D76)),6,1)),10))+(INT(2*VALUE(MID(UPPER(TRIM(D76)),8,1))/10)+MOD(2*VALUE(MID(UPPER(TRIM(D76)),8,1)),10)),10),10)+1,1)),"OK","REVISAR")),"REVISAR")))</f>
        <v/>
      </c>
      <c r="Q76">
        <f>IF(B76="","",IF(COUNTIFS($B$2:$B$501,B76,$D$2:$D$501,D76)&gt;1,"DUPLICADA",""))</f>
        <v/>
      </c>
      <c r="R76">
        <f>IF(A76="","",ROUNDUP(MONTH(A76)/3,0))</f>
        <v/>
      </c>
      <c r="S76" s="3" t="n"/>
    </row>
    <row r="77">
      <c r="A77" s="2" t="n"/>
      <c r="B77" s="3" t="n"/>
      <c r="C77" s="3" t="n"/>
      <c r="D77" s="3" t="n"/>
      <c r="E77" s="4" t="n"/>
      <c r="F77" s="4" t="n"/>
      <c r="G77" s="4" t="n"/>
      <c r="H77" s="4" t="n"/>
      <c r="I77" s="5">
        <f>IF(E77="","",ROUND(E77*0.21,2))</f>
        <v/>
      </c>
      <c r="J77" s="5">
        <f>IF(F77="","",ROUND(F77*0.1,2))</f>
        <v/>
      </c>
      <c r="K77" s="5">
        <f>IF(G77="","",ROUND(G77*0.04,2))</f>
        <v/>
      </c>
      <c r="L77" s="4" t="n"/>
      <c r="M77" s="4" t="n"/>
      <c r="N77" s="5">
        <f>IF(A77="","",SUM(E77:K77)-N(L77))</f>
        <v/>
      </c>
      <c r="O77">
        <f>IF(OR(A77="",M77=""),"",IF(ABS(M77-N77)&lt;=0.02,"OK","REVISAR"))</f>
        <v/>
      </c>
      <c r="P77">
        <f>IF(D77="","",IF(LEN(TRIM(D77))&lt;&gt;9,"REVISAR",IFERROR(IF(OR(ISNUMBER(VALUE(LEFT(UPPER(TRIM(D77)),1))),LEFT(UPPER(TRIM(D77)),1)="X",LEFT(UPPER(TRIM(D77)),1)="Y",LEFT(UPPER(TRIM(D77)),1)="Z"),IF(MID("TRWAGMYFPDXBNJZSQVHLCKE",MOD(VALUE(SUBSTITUTE(SUBSTITUTE(SUBSTITUTE(LEFT(UPPER(TRIM(D77)),8),"X","0"),"Y","1"),"Z","2")),23)+1,1)=RIGHT(UPPER(TRIM(D77)),1),"OK","REVISAR"),IF(OR(RIGHT(UPPER(TRIM(D77)),1)=TEXT(MOD(10-MOD((VALUE(MID(UPPER(TRIM(D77)),3,1))+VALUE(MID(UPPER(TRIM(D77)),5,1))+VALUE(MID(UPPER(TRIM(D77)),7,1)))+(INT(2*VALUE(MID(UPPER(TRIM(D77)),2,1))/10)+MOD(2*VALUE(MID(UPPER(TRIM(D77)),2,1)),10))+(INT(2*VALUE(MID(UPPER(TRIM(D77)),4,1))/10)+MOD(2*VALUE(MID(UPPER(TRIM(D77)),4,1)),10))+(INT(2*VALUE(MID(UPPER(TRIM(D77)),6,1))/10)+MOD(2*VALUE(MID(UPPER(TRIM(D77)),6,1)),10))+(INT(2*VALUE(MID(UPPER(TRIM(D77)),8,1))/10)+MOD(2*VALUE(MID(UPPER(TRIM(D77)),8,1)),10)),10),10),"0"),RIGHT(UPPER(TRIM(D77)),1)=MID("JABCDEFGHI",MOD(10-MOD((VALUE(MID(UPPER(TRIM(D77)),3,1))+VALUE(MID(UPPER(TRIM(D77)),5,1))+VALUE(MID(UPPER(TRIM(D77)),7,1)))+(INT(2*VALUE(MID(UPPER(TRIM(D77)),2,1))/10)+MOD(2*VALUE(MID(UPPER(TRIM(D77)),2,1)),10))+(INT(2*VALUE(MID(UPPER(TRIM(D77)),4,1))/10)+MOD(2*VALUE(MID(UPPER(TRIM(D77)),4,1)),10))+(INT(2*VALUE(MID(UPPER(TRIM(D77)),6,1))/10)+MOD(2*VALUE(MID(UPPER(TRIM(D77)),6,1)),10))+(INT(2*VALUE(MID(UPPER(TRIM(D77)),8,1))/10)+MOD(2*VALUE(MID(UPPER(TRIM(D77)),8,1)),10)),10),10)+1,1)),"OK","REVISAR")),"REVISAR")))</f>
        <v/>
      </c>
      <c r="Q77">
        <f>IF(B77="","",IF(COUNTIFS($B$2:$B$501,B77,$D$2:$D$501,D77)&gt;1,"DUPLICADA",""))</f>
        <v/>
      </c>
      <c r="R77">
        <f>IF(A77="","",ROUNDUP(MONTH(A77)/3,0))</f>
        <v/>
      </c>
      <c r="S77" s="3" t="n"/>
    </row>
    <row r="78">
      <c r="A78" s="2" t="n"/>
      <c r="B78" s="3" t="n"/>
      <c r="C78" s="3" t="n"/>
      <c r="D78" s="3" t="n"/>
      <c r="E78" s="4" t="n"/>
      <c r="F78" s="4" t="n"/>
      <c r="G78" s="4" t="n"/>
      <c r="H78" s="4" t="n"/>
      <c r="I78" s="5">
        <f>IF(E78="","",ROUND(E78*0.21,2))</f>
        <v/>
      </c>
      <c r="J78" s="5">
        <f>IF(F78="","",ROUND(F78*0.1,2))</f>
        <v/>
      </c>
      <c r="K78" s="5">
        <f>IF(G78="","",ROUND(G78*0.04,2))</f>
        <v/>
      </c>
      <c r="L78" s="4" t="n"/>
      <c r="M78" s="4" t="n"/>
      <c r="N78" s="5">
        <f>IF(A78="","",SUM(E78:K78)-N(L78))</f>
        <v/>
      </c>
      <c r="O78">
        <f>IF(OR(A78="",M78=""),"",IF(ABS(M78-N78)&lt;=0.02,"OK","REVISAR"))</f>
        <v/>
      </c>
      <c r="P78">
        <f>IF(D78="","",IF(LEN(TRIM(D78))&lt;&gt;9,"REVISAR",IFERROR(IF(OR(ISNUMBER(VALUE(LEFT(UPPER(TRIM(D78)),1))),LEFT(UPPER(TRIM(D78)),1)="X",LEFT(UPPER(TRIM(D78)),1)="Y",LEFT(UPPER(TRIM(D78)),1)="Z"),IF(MID("TRWAGMYFPDXBNJZSQVHLCKE",MOD(VALUE(SUBSTITUTE(SUBSTITUTE(SUBSTITUTE(LEFT(UPPER(TRIM(D78)),8),"X","0"),"Y","1"),"Z","2")),23)+1,1)=RIGHT(UPPER(TRIM(D78)),1),"OK","REVISAR"),IF(OR(RIGHT(UPPER(TRIM(D78)),1)=TEXT(MOD(10-MOD((VALUE(MID(UPPER(TRIM(D78)),3,1))+VALUE(MID(UPPER(TRIM(D78)),5,1))+VALUE(MID(UPPER(TRIM(D78)),7,1)))+(INT(2*VALUE(MID(UPPER(TRIM(D78)),2,1))/10)+MOD(2*VALUE(MID(UPPER(TRIM(D78)),2,1)),10))+(INT(2*VALUE(MID(UPPER(TRIM(D78)),4,1))/10)+MOD(2*VALUE(MID(UPPER(TRIM(D78)),4,1)),10))+(INT(2*VALUE(MID(UPPER(TRIM(D78)),6,1))/10)+MOD(2*VALUE(MID(UPPER(TRIM(D78)),6,1)),10))+(INT(2*VALUE(MID(UPPER(TRIM(D78)),8,1))/10)+MOD(2*VALUE(MID(UPPER(TRIM(D78)),8,1)),10)),10),10),"0"),RIGHT(UPPER(TRIM(D78)),1)=MID("JABCDEFGHI",MOD(10-MOD((VALUE(MID(UPPER(TRIM(D78)),3,1))+VALUE(MID(UPPER(TRIM(D78)),5,1))+VALUE(MID(UPPER(TRIM(D78)),7,1)))+(INT(2*VALUE(MID(UPPER(TRIM(D78)),2,1))/10)+MOD(2*VALUE(MID(UPPER(TRIM(D78)),2,1)),10))+(INT(2*VALUE(MID(UPPER(TRIM(D78)),4,1))/10)+MOD(2*VALUE(MID(UPPER(TRIM(D78)),4,1)),10))+(INT(2*VALUE(MID(UPPER(TRIM(D78)),6,1))/10)+MOD(2*VALUE(MID(UPPER(TRIM(D78)),6,1)),10))+(INT(2*VALUE(MID(UPPER(TRIM(D78)),8,1))/10)+MOD(2*VALUE(MID(UPPER(TRIM(D78)),8,1)),10)),10),10)+1,1)),"OK","REVISAR")),"REVISAR")))</f>
        <v/>
      </c>
      <c r="Q78">
        <f>IF(B78="","",IF(COUNTIFS($B$2:$B$501,B78,$D$2:$D$501,D78)&gt;1,"DUPLICADA",""))</f>
        <v/>
      </c>
      <c r="R78">
        <f>IF(A78="","",ROUNDUP(MONTH(A78)/3,0))</f>
        <v/>
      </c>
      <c r="S78" s="3" t="n"/>
    </row>
    <row r="79">
      <c r="A79" s="2" t="n"/>
      <c r="B79" s="3" t="n"/>
      <c r="C79" s="3" t="n"/>
      <c r="D79" s="3" t="n"/>
      <c r="E79" s="4" t="n"/>
      <c r="F79" s="4" t="n"/>
      <c r="G79" s="4" t="n"/>
      <c r="H79" s="4" t="n"/>
      <c r="I79" s="5">
        <f>IF(E79="","",ROUND(E79*0.21,2))</f>
        <v/>
      </c>
      <c r="J79" s="5">
        <f>IF(F79="","",ROUND(F79*0.1,2))</f>
        <v/>
      </c>
      <c r="K79" s="5">
        <f>IF(G79="","",ROUND(G79*0.04,2))</f>
        <v/>
      </c>
      <c r="L79" s="4" t="n"/>
      <c r="M79" s="4" t="n"/>
      <c r="N79" s="5">
        <f>IF(A79="","",SUM(E79:K79)-N(L79))</f>
        <v/>
      </c>
      <c r="O79">
        <f>IF(OR(A79="",M79=""),"",IF(ABS(M79-N79)&lt;=0.02,"OK","REVISAR"))</f>
        <v/>
      </c>
      <c r="P79">
        <f>IF(D79="","",IF(LEN(TRIM(D79))&lt;&gt;9,"REVISAR",IFERROR(IF(OR(ISNUMBER(VALUE(LEFT(UPPER(TRIM(D79)),1))),LEFT(UPPER(TRIM(D79)),1)="X",LEFT(UPPER(TRIM(D79)),1)="Y",LEFT(UPPER(TRIM(D79)),1)="Z"),IF(MID("TRWAGMYFPDXBNJZSQVHLCKE",MOD(VALUE(SUBSTITUTE(SUBSTITUTE(SUBSTITUTE(LEFT(UPPER(TRIM(D79)),8),"X","0"),"Y","1"),"Z","2")),23)+1,1)=RIGHT(UPPER(TRIM(D79)),1),"OK","REVISAR"),IF(OR(RIGHT(UPPER(TRIM(D79)),1)=TEXT(MOD(10-MOD((VALUE(MID(UPPER(TRIM(D79)),3,1))+VALUE(MID(UPPER(TRIM(D79)),5,1))+VALUE(MID(UPPER(TRIM(D79)),7,1)))+(INT(2*VALUE(MID(UPPER(TRIM(D79)),2,1))/10)+MOD(2*VALUE(MID(UPPER(TRIM(D79)),2,1)),10))+(INT(2*VALUE(MID(UPPER(TRIM(D79)),4,1))/10)+MOD(2*VALUE(MID(UPPER(TRIM(D79)),4,1)),10))+(INT(2*VALUE(MID(UPPER(TRIM(D79)),6,1))/10)+MOD(2*VALUE(MID(UPPER(TRIM(D79)),6,1)),10))+(INT(2*VALUE(MID(UPPER(TRIM(D79)),8,1))/10)+MOD(2*VALUE(MID(UPPER(TRIM(D79)),8,1)),10)),10),10),"0"),RIGHT(UPPER(TRIM(D79)),1)=MID("JABCDEFGHI",MOD(10-MOD((VALUE(MID(UPPER(TRIM(D79)),3,1))+VALUE(MID(UPPER(TRIM(D79)),5,1))+VALUE(MID(UPPER(TRIM(D79)),7,1)))+(INT(2*VALUE(MID(UPPER(TRIM(D79)),2,1))/10)+MOD(2*VALUE(MID(UPPER(TRIM(D79)),2,1)),10))+(INT(2*VALUE(MID(UPPER(TRIM(D79)),4,1))/10)+MOD(2*VALUE(MID(UPPER(TRIM(D79)),4,1)),10))+(INT(2*VALUE(MID(UPPER(TRIM(D79)),6,1))/10)+MOD(2*VALUE(MID(UPPER(TRIM(D79)),6,1)),10))+(INT(2*VALUE(MID(UPPER(TRIM(D79)),8,1))/10)+MOD(2*VALUE(MID(UPPER(TRIM(D79)),8,1)),10)),10),10)+1,1)),"OK","REVISAR")),"REVISAR")))</f>
        <v/>
      </c>
      <c r="Q79">
        <f>IF(B79="","",IF(COUNTIFS($B$2:$B$501,B79,$D$2:$D$501,D79)&gt;1,"DUPLICADA",""))</f>
        <v/>
      </c>
      <c r="R79">
        <f>IF(A79="","",ROUNDUP(MONTH(A79)/3,0))</f>
        <v/>
      </c>
      <c r="S79" s="3" t="n"/>
    </row>
    <row r="80">
      <c r="A80" s="2" t="n"/>
      <c r="B80" s="3" t="n"/>
      <c r="C80" s="3" t="n"/>
      <c r="D80" s="3" t="n"/>
      <c r="E80" s="4" t="n"/>
      <c r="F80" s="4" t="n"/>
      <c r="G80" s="4" t="n"/>
      <c r="H80" s="4" t="n"/>
      <c r="I80" s="5">
        <f>IF(E80="","",ROUND(E80*0.21,2))</f>
        <v/>
      </c>
      <c r="J80" s="5">
        <f>IF(F80="","",ROUND(F80*0.1,2))</f>
        <v/>
      </c>
      <c r="K80" s="5">
        <f>IF(G80="","",ROUND(G80*0.04,2))</f>
        <v/>
      </c>
      <c r="L80" s="4" t="n"/>
      <c r="M80" s="4" t="n"/>
      <c r="N80" s="5">
        <f>IF(A80="","",SUM(E80:K80)-N(L80))</f>
        <v/>
      </c>
      <c r="O80">
        <f>IF(OR(A80="",M80=""),"",IF(ABS(M80-N80)&lt;=0.02,"OK","REVISAR"))</f>
        <v/>
      </c>
      <c r="P80">
        <f>IF(D80="","",IF(LEN(TRIM(D80))&lt;&gt;9,"REVISAR",IFERROR(IF(OR(ISNUMBER(VALUE(LEFT(UPPER(TRIM(D80)),1))),LEFT(UPPER(TRIM(D80)),1)="X",LEFT(UPPER(TRIM(D80)),1)="Y",LEFT(UPPER(TRIM(D80)),1)="Z"),IF(MID("TRWAGMYFPDXBNJZSQVHLCKE",MOD(VALUE(SUBSTITUTE(SUBSTITUTE(SUBSTITUTE(LEFT(UPPER(TRIM(D80)),8),"X","0"),"Y","1"),"Z","2")),23)+1,1)=RIGHT(UPPER(TRIM(D80)),1),"OK","REVISAR"),IF(OR(RIGHT(UPPER(TRIM(D80)),1)=TEXT(MOD(10-MOD((VALUE(MID(UPPER(TRIM(D80)),3,1))+VALUE(MID(UPPER(TRIM(D80)),5,1))+VALUE(MID(UPPER(TRIM(D80)),7,1)))+(INT(2*VALUE(MID(UPPER(TRIM(D80)),2,1))/10)+MOD(2*VALUE(MID(UPPER(TRIM(D80)),2,1)),10))+(INT(2*VALUE(MID(UPPER(TRIM(D80)),4,1))/10)+MOD(2*VALUE(MID(UPPER(TRIM(D80)),4,1)),10))+(INT(2*VALUE(MID(UPPER(TRIM(D80)),6,1))/10)+MOD(2*VALUE(MID(UPPER(TRIM(D80)),6,1)),10))+(INT(2*VALUE(MID(UPPER(TRIM(D80)),8,1))/10)+MOD(2*VALUE(MID(UPPER(TRIM(D80)),8,1)),10)),10),10),"0"),RIGHT(UPPER(TRIM(D80)),1)=MID("JABCDEFGHI",MOD(10-MOD((VALUE(MID(UPPER(TRIM(D80)),3,1))+VALUE(MID(UPPER(TRIM(D80)),5,1))+VALUE(MID(UPPER(TRIM(D80)),7,1)))+(INT(2*VALUE(MID(UPPER(TRIM(D80)),2,1))/10)+MOD(2*VALUE(MID(UPPER(TRIM(D80)),2,1)),10))+(INT(2*VALUE(MID(UPPER(TRIM(D80)),4,1))/10)+MOD(2*VALUE(MID(UPPER(TRIM(D80)),4,1)),10))+(INT(2*VALUE(MID(UPPER(TRIM(D80)),6,1))/10)+MOD(2*VALUE(MID(UPPER(TRIM(D80)),6,1)),10))+(INT(2*VALUE(MID(UPPER(TRIM(D80)),8,1))/10)+MOD(2*VALUE(MID(UPPER(TRIM(D80)),8,1)),10)),10),10)+1,1)),"OK","REVISAR")),"REVISAR")))</f>
        <v/>
      </c>
      <c r="Q80">
        <f>IF(B80="","",IF(COUNTIFS($B$2:$B$501,B80,$D$2:$D$501,D80)&gt;1,"DUPLICADA",""))</f>
        <v/>
      </c>
      <c r="R80">
        <f>IF(A80="","",ROUNDUP(MONTH(A80)/3,0))</f>
        <v/>
      </c>
      <c r="S80" s="3" t="n"/>
    </row>
    <row r="81">
      <c r="A81" s="2" t="n"/>
      <c r="B81" s="3" t="n"/>
      <c r="C81" s="3" t="n"/>
      <c r="D81" s="3" t="n"/>
      <c r="E81" s="4" t="n"/>
      <c r="F81" s="4" t="n"/>
      <c r="G81" s="4" t="n"/>
      <c r="H81" s="4" t="n"/>
      <c r="I81" s="5">
        <f>IF(E81="","",ROUND(E81*0.21,2))</f>
        <v/>
      </c>
      <c r="J81" s="5">
        <f>IF(F81="","",ROUND(F81*0.1,2))</f>
        <v/>
      </c>
      <c r="K81" s="5">
        <f>IF(G81="","",ROUND(G81*0.04,2))</f>
        <v/>
      </c>
      <c r="L81" s="4" t="n"/>
      <c r="M81" s="4" t="n"/>
      <c r="N81" s="5">
        <f>IF(A81="","",SUM(E81:K81)-N(L81))</f>
        <v/>
      </c>
      <c r="O81">
        <f>IF(OR(A81="",M81=""),"",IF(ABS(M81-N81)&lt;=0.02,"OK","REVISAR"))</f>
        <v/>
      </c>
      <c r="P81">
        <f>IF(D81="","",IF(LEN(TRIM(D81))&lt;&gt;9,"REVISAR",IFERROR(IF(OR(ISNUMBER(VALUE(LEFT(UPPER(TRIM(D81)),1))),LEFT(UPPER(TRIM(D81)),1)="X",LEFT(UPPER(TRIM(D81)),1)="Y",LEFT(UPPER(TRIM(D81)),1)="Z"),IF(MID("TRWAGMYFPDXBNJZSQVHLCKE",MOD(VALUE(SUBSTITUTE(SUBSTITUTE(SUBSTITUTE(LEFT(UPPER(TRIM(D81)),8),"X","0"),"Y","1"),"Z","2")),23)+1,1)=RIGHT(UPPER(TRIM(D81)),1),"OK","REVISAR"),IF(OR(RIGHT(UPPER(TRIM(D81)),1)=TEXT(MOD(10-MOD((VALUE(MID(UPPER(TRIM(D81)),3,1))+VALUE(MID(UPPER(TRIM(D81)),5,1))+VALUE(MID(UPPER(TRIM(D81)),7,1)))+(INT(2*VALUE(MID(UPPER(TRIM(D81)),2,1))/10)+MOD(2*VALUE(MID(UPPER(TRIM(D81)),2,1)),10))+(INT(2*VALUE(MID(UPPER(TRIM(D81)),4,1))/10)+MOD(2*VALUE(MID(UPPER(TRIM(D81)),4,1)),10))+(INT(2*VALUE(MID(UPPER(TRIM(D81)),6,1))/10)+MOD(2*VALUE(MID(UPPER(TRIM(D81)),6,1)),10))+(INT(2*VALUE(MID(UPPER(TRIM(D81)),8,1))/10)+MOD(2*VALUE(MID(UPPER(TRIM(D81)),8,1)),10)),10),10),"0"),RIGHT(UPPER(TRIM(D81)),1)=MID("JABCDEFGHI",MOD(10-MOD((VALUE(MID(UPPER(TRIM(D81)),3,1))+VALUE(MID(UPPER(TRIM(D81)),5,1))+VALUE(MID(UPPER(TRIM(D81)),7,1)))+(INT(2*VALUE(MID(UPPER(TRIM(D81)),2,1))/10)+MOD(2*VALUE(MID(UPPER(TRIM(D81)),2,1)),10))+(INT(2*VALUE(MID(UPPER(TRIM(D81)),4,1))/10)+MOD(2*VALUE(MID(UPPER(TRIM(D81)),4,1)),10))+(INT(2*VALUE(MID(UPPER(TRIM(D81)),6,1))/10)+MOD(2*VALUE(MID(UPPER(TRIM(D81)),6,1)),10))+(INT(2*VALUE(MID(UPPER(TRIM(D81)),8,1))/10)+MOD(2*VALUE(MID(UPPER(TRIM(D81)),8,1)),10)),10),10)+1,1)),"OK","REVISAR")),"REVISAR")))</f>
        <v/>
      </c>
      <c r="Q81">
        <f>IF(B81="","",IF(COUNTIFS($B$2:$B$501,B81,$D$2:$D$501,D81)&gt;1,"DUPLICADA",""))</f>
        <v/>
      </c>
      <c r="R81">
        <f>IF(A81="","",ROUNDUP(MONTH(A81)/3,0))</f>
        <v/>
      </c>
      <c r="S81" s="3" t="n"/>
    </row>
    <row r="82">
      <c r="A82" s="2" t="n"/>
      <c r="B82" s="3" t="n"/>
      <c r="C82" s="3" t="n"/>
      <c r="D82" s="3" t="n"/>
      <c r="E82" s="4" t="n"/>
      <c r="F82" s="4" t="n"/>
      <c r="G82" s="4" t="n"/>
      <c r="H82" s="4" t="n"/>
      <c r="I82" s="5">
        <f>IF(E82="","",ROUND(E82*0.21,2))</f>
        <v/>
      </c>
      <c r="J82" s="5">
        <f>IF(F82="","",ROUND(F82*0.1,2))</f>
        <v/>
      </c>
      <c r="K82" s="5">
        <f>IF(G82="","",ROUND(G82*0.04,2))</f>
        <v/>
      </c>
      <c r="L82" s="4" t="n"/>
      <c r="M82" s="4" t="n"/>
      <c r="N82" s="5">
        <f>IF(A82="","",SUM(E82:K82)-N(L82))</f>
        <v/>
      </c>
      <c r="O82">
        <f>IF(OR(A82="",M82=""),"",IF(ABS(M82-N82)&lt;=0.02,"OK","REVISAR"))</f>
        <v/>
      </c>
      <c r="P82">
        <f>IF(D82="","",IF(LEN(TRIM(D82))&lt;&gt;9,"REVISAR",IFERROR(IF(OR(ISNUMBER(VALUE(LEFT(UPPER(TRIM(D82)),1))),LEFT(UPPER(TRIM(D82)),1)="X",LEFT(UPPER(TRIM(D82)),1)="Y",LEFT(UPPER(TRIM(D82)),1)="Z"),IF(MID("TRWAGMYFPDXBNJZSQVHLCKE",MOD(VALUE(SUBSTITUTE(SUBSTITUTE(SUBSTITUTE(LEFT(UPPER(TRIM(D82)),8),"X","0"),"Y","1"),"Z","2")),23)+1,1)=RIGHT(UPPER(TRIM(D82)),1),"OK","REVISAR"),IF(OR(RIGHT(UPPER(TRIM(D82)),1)=TEXT(MOD(10-MOD((VALUE(MID(UPPER(TRIM(D82)),3,1))+VALUE(MID(UPPER(TRIM(D82)),5,1))+VALUE(MID(UPPER(TRIM(D82)),7,1)))+(INT(2*VALUE(MID(UPPER(TRIM(D82)),2,1))/10)+MOD(2*VALUE(MID(UPPER(TRIM(D82)),2,1)),10))+(INT(2*VALUE(MID(UPPER(TRIM(D82)),4,1))/10)+MOD(2*VALUE(MID(UPPER(TRIM(D82)),4,1)),10))+(INT(2*VALUE(MID(UPPER(TRIM(D82)),6,1))/10)+MOD(2*VALUE(MID(UPPER(TRIM(D82)),6,1)),10))+(INT(2*VALUE(MID(UPPER(TRIM(D82)),8,1))/10)+MOD(2*VALUE(MID(UPPER(TRIM(D82)),8,1)),10)),10),10),"0"),RIGHT(UPPER(TRIM(D82)),1)=MID("JABCDEFGHI",MOD(10-MOD((VALUE(MID(UPPER(TRIM(D82)),3,1))+VALUE(MID(UPPER(TRIM(D82)),5,1))+VALUE(MID(UPPER(TRIM(D82)),7,1)))+(INT(2*VALUE(MID(UPPER(TRIM(D82)),2,1))/10)+MOD(2*VALUE(MID(UPPER(TRIM(D82)),2,1)),10))+(INT(2*VALUE(MID(UPPER(TRIM(D82)),4,1))/10)+MOD(2*VALUE(MID(UPPER(TRIM(D82)),4,1)),10))+(INT(2*VALUE(MID(UPPER(TRIM(D82)),6,1))/10)+MOD(2*VALUE(MID(UPPER(TRIM(D82)),6,1)),10))+(INT(2*VALUE(MID(UPPER(TRIM(D82)),8,1))/10)+MOD(2*VALUE(MID(UPPER(TRIM(D82)),8,1)),10)),10),10)+1,1)),"OK","REVISAR")),"REVISAR")))</f>
        <v/>
      </c>
      <c r="Q82">
        <f>IF(B82="","",IF(COUNTIFS($B$2:$B$501,B82,$D$2:$D$501,D82)&gt;1,"DUPLICADA",""))</f>
        <v/>
      </c>
      <c r="R82">
        <f>IF(A82="","",ROUNDUP(MONTH(A82)/3,0))</f>
        <v/>
      </c>
      <c r="S82" s="3" t="n"/>
    </row>
    <row r="83">
      <c r="A83" s="2" t="n"/>
      <c r="B83" s="3" t="n"/>
      <c r="C83" s="3" t="n"/>
      <c r="D83" s="3" t="n"/>
      <c r="E83" s="4" t="n"/>
      <c r="F83" s="4" t="n"/>
      <c r="G83" s="4" t="n"/>
      <c r="H83" s="4" t="n"/>
      <c r="I83" s="5">
        <f>IF(E83="","",ROUND(E83*0.21,2))</f>
        <v/>
      </c>
      <c r="J83" s="5">
        <f>IF(F83="","",ROUND(F83*0.1,2))</f>
        <v/>
      </c>
      <c r="K83" s="5">
        <f>IF(G83="","",ROUND(G83*0.04,2))</f>
        <v/>
      </c>
      <c r="L83" s="4" t="n"/>
      <c r="M83" s="4" t="n"/>
      <c r="N83" s="5">
        <f>IF(A83="","",SUM(E83:K83)-N(L83))</f>
        <v/>
      </c>
      <c r="O83">
        <f>IF(OR(A83="",M83=""),"",IF(ABS(M83-N83)&lt;=0.02,"OK","REVISAR"))</f>
        <v/>
      </c>
      <c r="P83">
        <f>IF(D83="","",IF(LEN(TRIM(D83))&lt;&gt;9,"REVISAR",IFERROR(IF(OR(ISNUMBER(VALUE(LEFT(UPPER(TRIM(D83)),1))),LEFT(UPPER(TRIM(D83)),1)="X",LEFT(UPPER(TRIM(D83)),1)="Y",LEFT(UPPER(TRIM(D83)),1)="Z"),IF(MID("TRWAGMYFPDXBNJZSQVHLCKE",MOD(VALUE(SUBSTITUTE(SUBSTITUTE(SUBSTITUTE(LEFT(UPPER(TRIM(D83)),8),"X","0"),"Y","1"),"Z","2")),23)+1,1)=RIGHT(UPPER(TRIM(D83)),1),"OK","REVISAR"),IF(OR(RIGHT(UPPER(TRIM(D83)),1)=TEXT(MOD(10-MOD((VALUE(MID(UPPER(TRIM(D83)),3,1))+VALUE(MID(UPPER(TRIM(D83)),5,1))+VALUE(MID(UPPER(TRIM(D83)),7,1)))+(INT(2*VALUE(MID(UPPER(TRIM(D83)),2,1))/10)+MOD(2*VALUE(MID(UPPER(TRIM(D83)),2,1)),10))+(INT(2*VALUE(MID(UPPER(TRIM(D83)),4,1))/10)+MOD(2*VALUE(MID(UPPER(TRIM(D83)),4,1)),10))+(INT(2*VALUE(MID(UPPER(TRIM(D83)),6,1))/10)+MOD(2*VALUE(MID(UPPER(TRIM(D83)),6,1)),10))+(INT(2*VALUE(MID(UPPER(TRIM(D83)),8,1))/10)+MOD(2*VALUE(MID(UPPER(TRIM(D83)),8,1)),10)),10),10),"0"),RIGHT(UPPER(TRIM(D83)),1)=MID("JABCDEFGHI",MOD(10-MOD((VALUE(MID(UPPER(TRIM(D83)),3,1))+VALUE(MID(UPPER(TRIM(D83)),5,1))+VALUE(MID(UPPER(TRIM(D83)),7,1)))+(INT(2*VALUE(MID(UPPER(TRIM(D83)),2,1))/10)+MOD(2*VALUE(MID(UPPER(TRIM(D83)),2,1)),10))+(INT(2*VALUE(MID(UPPER(TRIM(D83)),4,1))/10)+MOD(2*VALUE(MID(UPPER(TRIM(D83)),4,1)),10))+(INT(2*VALUE(MID(UPPER(TRIM(D83)),6,1))/10)+MOD(2*VALUE(MID(UPPER(TRIM(D83)),6,1)),10))+(INT(2*VALUE(MID(UPPER(TRIM(D83)),8,1))/10)+MOD(2*VALUE(MID(UPPER(TRIM(D83)),8,1)),10)),10),10)+1,1)),"OK","REVISAR")),"REVISAR")))</f>
        <v/>
      </c>
      <c r="Q83">
        <f>IF(B83="","",IF(COUNTIFS($B$2:$B$501,B83,$D$2:$D$501,D83)&gt;1,"DUPLICADA",""))</f>
        <v/>
      </c>
      <c r="R83">
        <f>IF(A83="","",ROUNDUP(MONTH(A83)/3,0))</f>
        <v/>
      </c>
      <c r="S83" s="3" t="n"/>
    </row>
    <row r="84">
      <c r="A84" s="2" t="n"/>
      <c r="B84" s="3" t="n"/>
      <c r="C84" s="3" t="n"/>
      <c r="D84" s="3" t="n"/>
      <c r="E84" s="4" t="n"/>
      <c r="F84" s="4" t="n"/>
      <c r="G84" s="4" t="n"/>
      <c r="H84" s="4" t="n"/>
      <c r="I84" s="5">
        <f>IF(E84="","",ROUND(E84*0.21,2))</f>
        <v/>
      </c>
      <c r="J84" s="5">
        <f>IF(F84="","",ROUND(F84*0.1,2))</f>
        <v/>
      </c>
      <c r="K84" s="5">
        <f>IF(G84="","",ROUND(G84*0.04,2))</f>
        <v/>
      </c>
      <c r="L84" s="4" t="n"/>
      <c r="M84" s="4" t="n"/>
      <c r="N84" s="5">
        <f>IF(A84="","",SUM(E84:K84)-N(L84))</f>
        <v/>
      </c>
      <c r="O84">
        <f>IF(OR(A84="",M84=""),"",IF(ABS(M84-N84)&lt;=0.02,"OK","REVISAR"))</f>
        <v/>
      </c>
      <c r="P84">
        <f>IF(D84="","",IF(LEN(TRIM(D84))&lt;&gt;9,"REVISAR",IFERROR(IF(OR(ISNUMBER(VALUE(LEFT(UPPER(TRIM(D84)),1))),LEFT(UPPER(TRIM(D84)),1)="X",LEFT(UPPER(TRIM(D84)),1)="Y",LEFT(UPPER(TRIM(D84)),1)="Z"),IF(MID("TRWAGMYFPDXBNJZSQVHLCKE",MOD(VALUE(SUBSTITUTE(SUBSTITUTE(SUBSTITUTE(LEFT(UPPER(TRIM(D84)),8),"X","0"),"Y","1"),"Z","2")),23)+1,1)=RIGHT(UPPER(TRIM(D84)),1),"OK","REVISAR"),IF(OR(RIGHT(UPPER(TRIM(D84)),1)=TEXT(MOD(10-MOD((VALUE(MID(UPPER(TRIM(D84)),3,1))+VALUE(MID(UPPER(TRIM(D84)),5,1))+VALUE(MID(UPPER(TRIM(D84)),7,1)))+(INT(2*VALUE(MID(UPPER(TRIM(D84)),2,1))/10)+MOD(2*VALUE(MID(UPPER(TRIM(D84)),2,1)),10))+(INT(2*VALUE(MID(UPPER(TRIM(D84)),4,1))/10)+MOD(2*VALUE(MID(UPPER(TRIM(D84)),4,1)),10))+(INT(2*VALUE(MID(UPPER(TRIM(D84)),6,1))/10)+MOD(2*VALUE(MID(UPPER(TRIM(D84)),6,1)),10))+(INT(2*VALUE(MID(UPPER(TRIM(D84)),8,1))/10)+MOD(2*VALUE(MID(UPPER(TRIM(D84)),8,1)),10)),10),10),"0"),RIGHT(UPPER(TRIM(D84)),1)=MID("JABCDEFGHI",MOD(10-MOD((VALUE(MID(UPPER(TRIM(D84)),3,1))+VALUE(MID(UPPER(TRIM(D84)),5,1))+VALUE(MID(UPPER(TRIM(D84)),7,1)))+(INT(2*VALUE(MID(UPPER(TRIM(D84)),2,1))/10)+MOD(2*VALUE(MID(UPPER(TRIM(D84)),2,1)),10))+(INT(2*VALUE(MID(UPPER(TRIM(D84)),4,1))/10)+MOD(2*VALUE(MID(UPPER(TRIM(D84)),4,1)),10))+(INT(2*VALUE(MID(UPPER(TRIM(D84)),6,1))/10)+MOD(2*VALUE(MID(UPPER(TRIM(D84)),6,1)),10))+(INT(2*VALUE(MID(UPPER(TRIM(D84)),8,1))/10)+MOD(2*VALUE(MID(UPPER(TRIM(D84)),8,1)),10)),10),10)+1,1)),"OK","REVISAR")),"REVISAR")))</f>
        <v/>
      </c>
      <c r="Q84">
        <f>IF(B84="","",IF(COUNTIFS($B$2:$B$501,B84,$D$2:$D$501,D84)&gt;1,"DUPLICADA",""))</f>
        <v/>
      </c>
      <c r="R84">
        <f>IF(A84="","",ROUNDUP(MONTH(A84)/3,0))</f>
        <v/>
      </c>
      <c r="S84" s="3" t="n"/>
    </row>
    <row r="85">
      <c r="A85" s="2" t="n"/>
      <c r="B85" s="3" t="n"/>
      <c r="C85" s="3" t="n"/>
      <c r="D85" s="3" t="n"/>
      <c r="E85" s="4" t="n"/>
      <c r="F85" s="4" t="n"/>
      <c r="G85" s="4" t="n"/>
      <c r="H85" s="4" t="n"/>
      <c r="I85" s="5">
        <f>IF(E85="","",ROUND(E85*0.21,2))</f>
        <v/>
      </c>
      <c r="J85" s="5">
        <f>IF(F85="","",ROUND(F85*0.1,2))</f>
        <v/>
      </c>
      <c r="K85" s="5">
        <f>IF(G85="","",ROUND(G85*0.04,2))</f>
        <v/>
      </c>
      <c r="L85" s="4" t="n"/>
      <c r="M85" s="4" t="n"/>
      <c r="N85" s="5">
        <f>IF(A85="","",SUM(E85:K85)-N(L85))</f>
        <v/>
      </c>
      <c r="O85">
        <f>IF(OR(A85="",M85=""),"",IF(ABS(M85-N85)&lt;=0.02,"OK","REVISAR"))</f>
        <v/>
      </c>
      <c r="P85">
        <f>IF(D85="","",IF(LEN(TRIM(D85))&lt;&gt;9,"REVISAR",IFERROR(IF(OR(ISNUMBER(VALUE(LEFT(UPPER(TRIM(D85)),1))),LEFT(UPPER(TRIM(D85)),1)="X",LEFT(UPPER(TRIM(D85)),1)="Y",LEFT(UPPER(TRIM(D85)),1)="Z"),IF(MID("TRWAGMYFPDXBNJZSQVHLCKE",MOD(VALUE(SUBSTITUTE(SUBSTITUTE(SUBSTITUTE(LEFT(UPPER(TRIM(D85)),8),"X","0"),"Y","1"),"Z","2")),23)+1,1)=RIGHT(UPPER(TRIM(D85)),1),"OK","REVISAR"),IF(OR(RIGHT(UPPER(TRIM(D85)),1)=TEXT(MOD(10-MOD((VALUE(MID(UPPER(TRIM(D85)),3,1))+VALUE(MID(UPPER(TRIM(D85)),5,1))+VALUE(MID(UPPER(TRIM(D85)),7,1)))+(INT(2*VALUE(MID(UPPER(TRIM(D85)),2,1))/10)+MOD(2*VALUE(MID(UPPER(TRIM(D85)),2,1)),10))+(INT(2*VALUE(MID(UPPER(TRIM(D85)),4,1))/10)+MOD(2*VALUE(MID(UPPER(TRIM(D85)),4,1)),10))+(INT(2*VALUE(MID(UPPER(TRIM(D85)),6,1))/10)+MOD(2*VALUE(MID(UPPER(TRIM(D85)),6,1)),10))+(INT(2*VALUE(MID(UPPER(TRIM(D85)),8,1))/10)+MOD(2*VALUE(MID(UPPER(TRIM(D85)),8,1)),10)),10),10),"0"),RIGHT(UPPER(TRIM(D85)),1)=MID("JABCDEFGHI",MOD(10-MOD((VALUE(MID(UPPER(TRIM(D85)),3,1))+VALUE(MID(UPPER(TRIM(D85)),5,1))+VALUE(MID(UPPER(TRIM(D85)),7,1)))+(INT(2*VALUE(MID(UPPER(TRIM(D85)),2,1))/10)+MOD(2*VALUE(MID(UPPER(TRIM(D85)),2,1)),10))+(INT(2*VALUE(MID(UPPER(TRIM(D85)),4,1))/10)+MOD(2*VALUE(MID(UPPER(TRIM(D85)),4,1)),10))+(INT(2*VALUE(MID(UPPER(TRIM(D85)),6,1))/10)+MOD(2*VALUE(MID(UPPER(TRIM(D85)),6,1)),10))+(INT(2*VALUE(MID(UPPER(TRIM(D85)),8,1))/10)+MOD(2*VALUE(MID(UPPER(TRIM(D85)),8,1)),10)),10),10)+1,1)),"OK","REVISAR")),"REVISAR")))</f>
        <v/>
      </c>
      <c r="Q85">
        <f>IF(B85="","",IF(COUNTIFS($B$2:$B$501,B85,$D$2:$D$501,D85)&gt;1,"DUPLICADA",""))</f>
        <v/>
      </c>
      <c r="R85">
        <f>IF(A85="","",ROUNDUP(MONTH(A85)/3,0))</f>
        <v/>
      </c>
      <c r="S85" s="3" t="n"/>
    </row>
    <row r="86">
      <c r="A86" s="2" t="n"/>
      <c r="B86" s="3" t="n"/>
      <c r="C86" s="3" t="n"/>
      <c r="D86" s="3" t="n"/>
      <c r="E86" s="4" t="n"/>
      <c r="F86" s="4" t="n"/>
      <c r="G86" s="4" t="n"/>
      <c r="H86" s="4" t="n"/>
      <c r="I86" s="5">
        <f>IF(E86="","",ROUND(E86*0.21,2))</f>
        <v/>
      </c>
      <c r="J86" s="5">
        <f>IF(F86="","",ROUND(F86*0.1,2))</f>
        <v/>
      </c>
      <c r="K86" s="5">
        <f>IF(G86="","",ROUND(G86*0.04,2))</f>
        <v/>
      </c>
      <c r="L86" s="4" t="n"/>
      <c r="M86" s="4" t="n"/>
      <c r="N86" s="5">
        <f>IF(A86="","",SUM(E86:K86)-N(L86))</f>
        <v/>
      </c>
      <c r="O86">
        <f>IF(OR(A86="",M86=""),"",IF(ABS(M86-N86)&lt;=0.02,"OK","REVISAR"))</f>
        <v/>
      </c>
      <c r="P86">
        <f>IF(D86="","",IF(LEN(TRIM(D86))&lt;&gt;9,"REVISAR",IFERROR(IF(OR(ISNUMBER(VALUE(LEFT(UPPER(TRIM(D86)),1))),LEFT(UPPER(TRIM(D86)),1)="X",LEFT(UPPER(TRIM(D86)),1)="Y",LEFT(UPPER(TRIM(D86)),1)="Z"),IF(MID("TRWAGMYFPDXBNJZSQVHLCKE",MOD(VALUE(SUBSTITUTE(SUBSTITUTE(SUBSTITUTE(LEFT(UPPER(TRIM(D86)),8),"X","0"),"Y","1"),"Z","2")),23)+1,1)=RIGHT(UPPER(TRIM(D86)),1),"OK","REVISAR"),IF(OR(RIGHT(UPPER(TRIM(D86)),1)=TEXT(MOD(10-MOD((VALUE(MID(UPPER(TRIM(D86)),3,1))+VALUE(MID(UPPER(TRIM(D86)),5,1))+VALUE(MID(UPPER(TRIM(D86)),7,1)))+(INT(2*VALUE(MID(UPPER(TRIM(D86)),2,1))/10)+MOD(2*VALUE(MID(UPPER(TRIM(D86)),2,1)),10))+(INT(2*VALUE(MID(UPPER(TRIM(D86)),4,1))/10)+MOD(2*VALUE(MID(UPPER(TRIM(D86)),4,1)),10))+(INT(2*VALUE(MID(UPPER(TRIM(D86)),6,1))/10)+MOD(2*VALUE(MID(UPPER(TRIM(D86)),6,1)),10))+(INT(2*VALUE(MID(UPPER(TRIM(D86)),8,1))/10)+MOD(2*VALUE(MID(UPPER(TRIM(D86)),8,1)),10)),10),10),"0"),RIGHT(UPPER(TRIM(D86)),1)=MID("JABCDEFGHI",MOD(10-MOD((VALUE(MID(UPPER(TRIM(D86)),3,1))+VALUE(MID(UPPER(TRIM(D86)),5,1))+VALUE(MID(UPPER(TRIM(D86)),7,1)))+(INT(2*VALUE(MID(UPPER(TRIM(D86)),2,1))/10)+MOD(2*VALUE(MID(UPPER(TRIM(D86)),2,1)),10))+(INT(2*VALUE(MID(UPPER(TRIM(D86)),4,1))/10)+MOD(2*VALUE(MID(UPPER(TRIM(D86)),4,1)),10))+(INT(2*VALUE(MID(UPPER(TRIM(D86)),6,1))/10)+MOD(2*VALUE(MID(UPPER(TRIM(D86)),6,1)),10))+(INT(2*VALUE(MID(UPPER(TRIM(D86)),8,1))/10)+MOD(2*VALUE(MID(UPPER(TRIM(D86)),8,1)),10)),10),10)+1,1)),"OK","REVISAR")),"REVISAR")))</f>
        <v/>
      </c>
      <c r="Q86">
        <f>IF(B86="","",IF(COUNTIFS($B$2:$B$501,B86,$D$2:$D$501,D86)&gt;1,"DUPLICADA",""))</f>
        <v/>
      </c>
      <c r="R86">
        <f>IF(A86="","",ROUNDUP(MONTH(A86)/3,0))</f>
        <v/>
      </c>
      <c r="S86" s="3" t="n"/>
    </row>
    <row r="87">
      <c r="A87" s="2" t="n"/>
      <c r="B87" s="3" t="n"/>
      <c r="C87" s="3" t="n"/>
      <c r="D87" s="3" t="n"/>
      <c r="E87" s="4" t="n"/>
      <c r="F87" s="4" t="n"/>
      <c r="G87" s="4" t="n"/>
      <c r="H87" s="4" t="n"/>
      <c r="I87" s="5">
        <f>IF(E87="","",ROUND(E87*0.21,2))</f>
        <v/>
      </c>
      <c r="J87" s="5">
        <f>IF(F87="","",ROUND(F87*0.1,2))</f>
        <v/>
      </c>
      <c r="K87" s="5">
        <f>IF(G87="","",ROUND(G87*0.04,2))</f>
        <v/>
      </c>
      <c r="L87" s="4" t="n"/>
      <c r="M87" s="4" t="n"/>
      <c r="N87" s="5">
        <f>IF(A87="","",SUM(E87:K87)-N(L87))</f>
        <v/>
      </c>
      <c r="O87">
        <f>IF(OR(A87="",M87=""),"",IF(ABS(M87-N87)&lt;=0.02,"OK","REVISAR"))</f>
        <v/>
      </c>
      <c r="P87">
        <f>IF(D87="","",IF(LEN(TRIM(D87))&lt;&gt;9,"REVISAR",IFERROR(IF(OR(ISNUMBER(VALUE(LEFT(UPPER(TRIM(D87)),1))),LEFT(UPPER(TRIM(D87)),1)="X",LEFT(UPPER(TRIM(D87)),1)="Y",LEFT(UPPER(TRIM(D87)),1)="Z"),IF(MID("TRWAGMYFPDXBNJZSQVHLCKE",MOD(VALUE(SUBSTITUTE(SUBSTITUTE(SUBSTITUTE(LEFT(UPPER(TRIM(D87)),8),"X","0"),"Y","1"),"Z","2")),23)+1,1)=RIGHT(UPPER(TRIM(D87)),1),"OK","REVISAR"),IF(OR(RIGHT(UPPER(TRIM(D87)),1)=TEXT(MOD(10-MOD((VALUE(MID(UPPER(TRIM(D87)),3,1))+VALUE(MID(UPPER(TRIM(D87)),5,1))+VALUE(MID(UPPER(TRIM(D87)),7,1)))+(INT(2*VALUE(MID(UPPER(TRIM(D87)),2,1))/10)+MOD(2*VALUE(MID(UPPER(TRIM(D87)),2,1)),10))+(INT(2*VALUE(MID(UPPER(TRIM(D87)),4,1))/10)+MOD(2*VALUE(MID(UPPER(TRIM(D87)),4,1)),10))+(INT(2*VALUE(MID(UPPER(TRIM(D87)),6,1))/10)+MOD(2*VALUE(MID(UPPER(TRIM(D87)),6,1)),10))+(INT(2*VALUE(MID(UPPER(TRIM(D87)),8,1))/10)+MOD(2*VALUE(MID(UPPER(TRIM(D87)),8,1)),10)),10),10),"0"),RIGHT(UPPER(TRIM(D87)),1)=MID("JABCDEFGHI",MOD(10-MOD((VALUE(MID(UPPER(TRIM(D87)),3,1))+VALUE(MID(UPPER(TRIM(D87)),5,1))+VALUE(MID(UPPER(TRIM(D87)),7,1)))+(INT(2*VALUE(MID(UPPER(TRIM(D87)),2,1))/10)+MOD(2*VALUE(MID(UPPER(TRIM(D87)),2,1)),10))+(INT(2*VALUE(MID(UPPER(TRIM(D87)),4,1))/10)+MOD(2*VALUE(MID(UPPER(TRIM(D87)),4,1)),10))+(INT(2*VALUE(MID(UPPER(TRIM(D87)),6,1))/10)+MOD(2*VALUE(MID(UPPER(TRIM(D87)),6,1)),10))+(INT(2*VALUE(MID(UPPER(TRIM(D87)),8,1))/10)+MOD(2*VALUE(MID(UPPER(TRIM(D87)),8,1)),10)),10),10)+1,1)),"OK","REVISAR")),"REVISAR")))</f>
        <v/>
      </c>
      <c r="Q87">
        <f>IF(B87="","",IF(COUNTIFS($B$2:$B$501,B87,$D$2:$D$501,D87)&gt;1,"DUPLICADA",""))</f>
        <v/>
      </c>
      <c r="R87">
        <f>IF(A87="","",ROUNDUP(MONTH(A87)/3,0))</f>
        <v/>
      </c>
      <c r="S87" s="3" t="n"/>
    </row>
    <row r="88">
      <c r="A88" s="2" t="n"/>
      <c r="B88" s="3" t="n"/>
      <c r="C88" s="3" t="n"/>
      <c r="D88" s="3" t="n"/>
      <c r="E88" s="4" t="n"/>
      <c r="F88" s="4" t="n"/>
      <c r="G88" s="4" t="n"/>
      <c r="H88" s="4" t="n"/>
      <c r="I88" s="5">
        <f>IF(E88="","",ROUND(E88*0.21,2))</f>
        <v/>
      </c>
      <c r="J88" s="5">
        <f>IF(F88="","",ROUND(F88*0.1,2))</f>
        <v/>
      </c>
      <c r="K88" s="5">
        <f>IF(G88="","",ROUND(G88*0.04,2))</f>
        <v/>
      </c>
      <c r="L88" s="4" t="n"/>
      <c r="M88" s="4" t="n"/>
      <c r="N88" s="5">
        <f>IF(A88="","",SUM(E88:K88)-N(L88))</f>
        <v/>
      </c>
      <c r="O88">
        <f>IF(OR(A88="",M88=""),"",IF(ABS(M88-N88)&lt;=0.02,"OK","REVISAR"))</f>
        <v/>
      </c>
      <c r="P88">
        <f>IF(D88="","",IF(LEN(TRIM(D88))&lt;&gt;9,"REVISAR",IFERROR(IF(OR(ISNUMBER(VALUE(LEFT(UPPER(TRIM(D88)),1))),LEFT(UPPER(TRIM(D88)),1)="X",LEFT(UPPER(TRIM(D88)),1)="Y",LEFT(UPPER(TRIM(D88)),1)="Z"),IF(MID("TRWAGMYFPDXBNJZSQVHLCKE",MOD(VALUE(SUBSTITUTE(SUBSTITUTE(SUBSTITUTE(LEFT(UPPER(TRIM(D88)),8),"X","0"),"Y","1"),"Z","2")),23)+1,1)=RIGHT(UPPER(TRIM(D88)),1),"OK","REVISAR"),IF(OR(RIGHT(UPPER(TRIM(D88)),1)=TEXT(MOD(10-MOD((VALUE(MID(UPPER(TRIM(D88)),3,1))+VALUE(MID(UPPER(TRIM(D88)),5,1))+VALUE(MID(UPPER(TRIM(D88)),7,1)))+(INT(2*VALUE(MID(UPPER(TRIM(D88)),2,1))/10)+MOD(2*VALUE(MID(UPPER(TRIM(D88)),2,1)),10))+(INT(2*VALUE(MID(UPPER(TRIM(D88)),4,1))/10)+MOD(2*VALUE(MID(UPPER(TRIM(D88)),4,1)),10))+(INT(2*VALUE(MID(UPPER(TRIM(D88)),6,1))/10)+MOD(2*VALUE(MID(UPPER(TRIM(D88)),6,1)),10))+(INT(2*VALUE(MID(UPPER(TRIM(D88)),8,1))/10)+MOD(2*VALUE(MID(UPPER(TRIM(D88)),8,1)),10)),10),10),"0"),RIGHT(UPPER(TRIM(D88)),1)=MID("JABCDEFGHI",MOD(10-MOD((VALUE(MID(UPPER(TRIM(D88)),3,1))+VALUE(MID(UPPER(TRIM(D88)),5,1))+VALUE(MID(UPPER(TRIM(D88)),7,1)))+(INT(2*VALUE(MID(UPPER(TRIM(D88)),2,1))/10)+MOD(2*VALUE(MID(UPPER(TRIM(D88)),2,1)),10))+(INT(2*VALUE(MID(UPPER(TRIM(D88)),4,1))/10)+MOD(2*VALUE(MID(UPPER(TRIM(D88)),4,1)),10))+(INT(2*VALUE(MID(UPPER(TRIM(D88)),6,1))/10)+MOD(2*VALUE(MID(UPPER(TRIM(D88)),6,1)),10))+(INT(2*VALUE(MID(UPPER(TRIM(D88)),8,1))/10)+MOD(2*VALUE(MID(UPPER(TRIM(D88)),8,1)),10)),10),10)+1,1)),"OK","REVISAR")),"REVISAR")))</f>
        <v/>
      </c>
      <c r="Q88">
        <f>IF(B88="","",IF(COUNTIFS($B$2:$B$501,B88,$D$2:$D$501,D88)&gt;1,"DUPLICADA",""))</f>
        <v/>
      </c>
      <c r="R88">
        <f>IF(A88="","",ROUNDUP(MONTH(A88)/3,0))</f>
        <v/>
      </c>
      <c r="S88" s="3" t="n"/>
    </row>
    <row r="89">
      <c r="A89" s="2" t="n"/>
      <c r="B89" s="3" t="n"/>
      <c r="C89" s="3" t="n"/>
      <c r="D89" s="3" t="n"/>
      <c r="E89" s="4" t="n"/>
      <c r="F89" s="4" t="n"/>
      <c r="G89" s="4" t="n"/>
      <c r="H89" s="4" t="n"/>
      <c r="I89" s="5">
        <f>IF(E89="","",ROUND(E89*0.21,2))</f>
        <v/>
      </c>
      <c r="J89" s="5">
        <f>IF(F89="","",ROUND(F89*0.1,2))</f>
        <v/>
      </c>
      <c r="K89" s="5">
        <f>IF(G89="","",ROUND(G89*0.04,2))</f>
        <v/>
      </c>
      <c r="L89" s="4" t="n"/>
      <c r="M89" s="4" t="n"/>
      <c r="N89" s="5">
        <f>IF(A89="","",SUM(E89:K89)-N(L89))</f>
        <v/>
      </c>
      <c r="O89">
        <f>IF(OR(A89="",M89=""),"",IF(ABS(M89-N89)&lt;=0.02,"OK","REVISAR"))</f>
        <v/>
      </c>
      <c r="P89">
        <f>IF(D89="","",IF(LEN(TRIM(D89))&lt;&gt;9,"REVISAR",IFERROR(IF(OR(ISNUMBER(VALUE(LEFT(UPPER(TRIM(D89)),1))),LEFT(UPPER(TRIM(D89)),1)="X",LEFT(UPPER(TRIM(D89)),1)="Y",LEFT(UPPER(TRIM(D89)),1)="Z"),IF(MID("TRWAGMYFPDXBNJZSQVHLCKE",MOD(VALUE(SUBSTITUTE(SUBSTITUTE(SUBSTITUTE(LEFT(UPPER(TRIM(D89)),8),"X","0"),"Y","1"),"Z","2")),23)+1,1)=RIGHT(UPPER(TRIM(D89)),1),"OK","REVISAR"),IF(OR(RIGHT(UPPER(TRIM(D89)),1)=TEXT(MOD(10-MOD((VALUE(MID(UPPER(TRIM(D89)),3,1))+VALUE(MID(UPPER(TRIM(D89)),5,1))+VALUE(MID(UPPER(TRIM(D89)),7,1)))+(INT(2*VALUE(MID(UPPER(TRIM(D89)),2,1))/10)+MOD(2*VALUE(MID(UPPER(TRIM(D89)),2,1)),10))+(INT(2*VALUE(MID(UPPER(TRIM(D89)),4,1))/10)+MOD(2*VALUE(MID(UPPER(TRIM(D89)),4,1)),10))+(INT(2*VALUE(MID(UPPER(TRIM(D89)),6,1))/10)+MOD(2*VALUE(MID(UPPER(TRIM(D89)),6,1)),10))+(INT(2*VALUE(MID(UPPER(TRIM(D89)),8,1))/10)+MOD(2*VALUE(MID(UPPER(TRIM(D89)),8,1)),10)),10),10),"0"),RIGHT(UPPER(TRIM(D89)),1)=MID("JABCDEFGHI",MOD(10-MOD((VALUE(MID(UPPER(TRIM(D89)),3,1))+VALUE(MID(UPPER(TRIM(D89)),5,1))+VALUE(MID(UPPER(TRIM(D89)),7,1)))+(INT(2*VALUE(MID(UPPER(TRIM(D89)),2,1))/10)+MOD(2*VALUE(MID(UPPER(TRIM(D89)),2,1)),10))+(INT(2*VALUE(MID(UPPER(TRIM(D89)),4,1))/10)+MOD(2*VALUE(MID(UPPER(TRIM(D89)),4,1)),10))+(INT(2*VALUE(MID(UPPER(TRIM(D89)),6,1))/10)+MOD(2*VALUE(MID(UPPER(TRIM(D89)),6,1)),10))+(INT(2*VALUE(MID(UPPER(TRIM(D89)),8,1))/10)+MOD(2*VALUE(MID(UPPER(TRIM(D89)),8,1)),10)),10),10)+1,1)),"OK","REVISAR")),"REVISAR")))</f>
        <v/>
      </c>
      <c r="Q89">
        <f>IF(B89="","",IF(COUNTIFS($B$2:$B$501,B89,$D$2:$D$501,D89)&gt;1,"DUPLICADA",""))</f>
        <v/>
      </c>
      <c r="R89">
        <f>IF(A89="","",ROUNDUP(MONTH(A89)/3,0))</f>
        <v/>
      </c>
      <c r="S89" s="3" t="n"/>
    </row>
    <row r="90">
      <c r="A90" s="2" t="n"/>
      <c r="B90" s="3" t="n"/>
      <c r="C90" s="3" t="n"/>
      <c r="D90" s="3" t="n"/>
      <c r="E90" s="4" t="n"/>
      <c r="F90" s="4" t="n"/>
      <c r="G90" s="4" t="n"/>
      <c r="H90" s="4" t="n"/>
      <c r="I90" s="5">
        <f>IF(E90="","",ROUND(E90*0.21,2))</f>
        <v/>
      </c>
      <c r="J90" s="5">
        <f>IF(F90="","",ROUND(F90*0.1,2))</f>
        <v/>
      </c>
      <c r="K90" s="5">
        <f>IF(G90="","",ROUND(G90*0.04,2))</f>
        <v/>
      </c>
      <c r="L90" s="4" t="n"/>
      <c r="M90" s="4" t="n"/>
      <c r="N90" s="5">
        <f>IF(A90="","",SUM(E90:K90)-N(L90))</f>
        <v/>
      </c>
      <c r="O90">
        <f>IF(OR(A90="",M90=""),"",IF(ABS(M90-N90)&lt;=0.02,"OK","REVISAR"))</f>
        <v/>
      </c>
      <c r="P90">
        <f>IF(D90="","",IF(LEN(TRIM(D90))&lt;&gt;9,"REVISAR",IFERROR(IF(OR(ISNUMBER(VALUE(LEFT(UPPER(TRIM(D90)),1))),LEFT(UPPER(TRIM(D90)),1)="X",LEFT(UPPER(TRIM(D90)),1)="Y",LEFT(UPPER(TRIM(D90)),1)="Z"),IF(MID("TRWAGMYFPDXBNJZSQVHLCKE",MOD(VALUE(SUBSTITUTE(SUBSTITUTE(SUBSTITUTE(LEFT(UPPER(TRIM(D90)),8),"X","0"),"Y","1"),"Z","2")),23)+1,1)=RIGHT(UPPER(TRIM(D90)),1),"OK","REVISAR"),IF(OR(RIGHT(UPPER(TRIM(D90)),1)=TEXT(MOD(10-MOD((VALUE(MID(UPPER(TRIM(D90)),3,1))+VALUE(MID(UPPER(TRIM(D90)),5,1))+VALUE(MID(UPPER(TRIM(D90)),7,1)))+(INT(2*VALUE(MID(UPPER(TRIM(D90)),2,1))/10)+MOD(2*VALUE(MID(UPPER(TRIM(D90)),2,1)),10))+(INT(2*VALUE(MID(UPPER(TRIM(D90)),4,1))/10)+MOD(2*VALUE(MID(UPPER(TRIM(D90)),4,1)),10))+(INT(2*VALUE(MID(UPPER(TRIM(D90)),6,1))/10)+MOD(2*VALUE(MID(UPPER(TRIM(D90)),6,1)),10))+(INT(2*VALUE(MID(UPPER(TRIM(D90)),8,1))/10)+MOD(2*VALUE(MID(UPPER(TRIM(D90)),8,1)),10)),10),10),"0"),RIGHT(UPPER(TRIM(D90)),1)=MID("JABCDEFGHI",MOD(10-MOD((VALUE(MID(UPPER(TRIM(D90)),3,1))+VALUE(MID(UPPER(TRIM(D90)),5,1))+VALUE(MID(UPPER(TRIM(D90)),7,1)))+(INT(2*VALUE(MID(UPPER(TRIM(D90)),2,1))/10)+MOD(2*VALUE(MID(UPPER(TRIM(D90)),2,1)),10))+(INT(2*VALUE(MID(UPPER(TRIM(D90)),4,1))/10)+MOD(2*VALUE(MID(UPPER(TRIM(D90)),4,1)),10))+(INT(2*VALUE(MID(UPPER(TRIM(D90)),6,1))/10)+MOD(2*VALUE(MID(UPPER(TRIM(D90)),6,1)),10))+(INT(2*VALUE(MID(UPPER(TRIM(D90)),8,1))/10)+MOD(2*VALUE(MID(UPPER(TRIM(D90)),8,1)),10)),10),10)+1,1)),"OK","REVISAR")),"REVISAR")))</f>
        <v/>
      </c>
      <c r="Q90">
        <f>IF(B90="","",IF(COUNTIFS($B$2:$B$501,B90,$D$2:$D$501,D90)&gt;1,"DUPLICADA",""))</f>
        <v/>
      </c>
      <c r="R90">
        <f>IF(A90="","",ROUNDUP(MONTH(A90)/3,0))</f>
        <v/>
      </c>
      <c r="S90" s="3" t="n"/>
    </row>
    <row r="91">
      <c r="A91" s="2" t="n"/>
      <c r="B91" s="3" t="n"/>
      <c r="C91" s="3" t="n"/>
      <c r="D91" s="3" t="n"/>
      <c r="E91" s="4" t="n"/>
      <c r="F91" s="4" t="n"/>
      <c r="G91" s="4" t="n"/>
      <c r="H91" s="4" t="n"/>
      <c r="I91" s="5">
        <f>IF(E91="","",ROUND(E91*0.21,2))</f>
        <v/>
      </c>
      <c r="J91" s="5">
        <f>IF(F91="","",ROUND(F91*0.1,2))</f>
        <v/>
      </c>
      <c r="K91" s="5">
        <f>IF(G91="","",ROUND(G91*0.04,2))</f>
        <v/>
      </c>
      <c r="L91" s="4" t="n"/>
      <c r="M91" s="4" t="n"/>
      <c r="N91" s="5">
        <f>IF(A91="","",SUM(E91:K91)-N(L91))</f>
        <v/>
      </c>
      <c r="O91">
        <f>IF(OR(A91="",M91=""),"",IF(ABS(M91-N91)&lt;=0.02,"OK","REVISAR"))</f>
        <v/>
      </c>
      <c r="P91">
        <f>IF(D91="","",IF(LEN(TRIM(D91))&lt;&gt;9,"REVISAR",IFERROR(IF(OR(ISNUMBER(VALUE(LEFT(UPPER(TRIM(D91)),1))),LEFT(UPPER(TRIM(D91)),1)="X",LEFT(UPPER(TRIM(D91)),1)="Y",LEFT(UPPER(TRIM(D91)),1)="Z"),IF(MID("TRWAGMYFPDXBNJZSQVHLCKE",MOD(VALUE(SUBSTITUTE(SUBSTITUTE(SUBSTITUTE(LEFT(UPPER(TRIM(D91)),8),"X","0"),"Y","1"),"Z","2")),23)+1,1)=RIGHT(UPPER(TRIM(D91)),1),"OK","REVISAR"),IF(OR(RIGHT(UPPER(TRIM(D91)),1)=TEXT(MOD(10-MOD((VALUE(MID(UPPER(TRIM(D91)),3,1))+VALUE(MID(UPPER(TRIM(D91)),5,1))+VALUE(MID(UPPER(TRIM(D91)),7,1)))+(INT(2*VALUE(MID(UPPER(TRIM(D91)),2,1))/10)+MOD(2*VALUE(MID(UPPER(TRIM(D91)),2,1)),10))+(INT(2*VALUE(MID(UPPER(TRIM(D91)),4,1))/10)+MOD(2*VALUE(MID(UPPER(TRIM(D91)),4,1)),10))+(INT(2*VALUE(MID(UPPER(TRIM(D91)),6,1))/10)+MOD(2*VALUE(MID(UPPER(TRIM(D91)),6,1)),10))+(INT(2*VALUE(MID(UPPER(TRIM(D91)),8,1))/10)+MOD(2*VALUE(MID(UPPER(TRIM(D91)),8,1)),10)),10),10),"0"),RIGHT(UPPER(TRIM(D91)),1)=MID("JABCDEFGHI",MOD(10-MOD((VALUE(MID(UPPER(TRIM(D91)),3,1))+VALUE(MID(UPPER(TRIM(D91)),5,1))+VALUE(MID(UPPER(TRIM(D91)),7,1)))+(INT(2*VALUE(MID(UPPER(TRIM(D91)),2,1))/10)+MOD(2*VALUE(MID(UPPER(TRIM(D91)),2,1)),10))+(INT(2*VALUE(MID(UPPER(TRIM(D91)),4,1))/10)+MOD(2*VALUE(MID(UPPER(TRIM(D91)),4,1)),10))+(INT(2*VALUE(MID(UPPER(TRIM(D91)),6,1))/10)+MOD(2*VALUE(MID(UPPER(TRIM(D91)),6,1)),10))+(INT(2*VALUE(MID(UPPER(TRIM(D91)),8,1))/10)+MOD(2*VALUE(MID(UPPER(TRIM(D91)),8,1)),10)),10),10)+1,1)),"OK","REVISAR")),"REVISAR")))</f>
        <v/>
      </c>
      <c r="Q91">
        <f>IF(B91="","",IF(COUNTIFS($B$2:$B$501,B91,$D$2:$D$501,D91)&gt;1,"DUPLICADA",""))</f>
        <v/>
      </c>
      <c r="R91">
        <f>IF(A91="","",ROUNDUP(MONTH(A91)/3,0))</f>
        <v/>
      </c>
      <c r="S91" s="3" t="n"/>
    </row>
    <row r="92">
      <c r="A92" s="2" t="n"/>
      <c r="B92" s="3" t="n"/>
      <c r="C92" s="3" t="n"/>
      <c r="D92" s="3" t="n"/>
      <c r="E92" s="4" t="n"/>
      <c r="F92" s="4" t="n"/>
      <c r="G92" s="4" t="n"/>
      <c r="H92" s="4" t="n"/>
      <c r="I92" s="5">
        <f>IF(E92="","",ROUND(E92*0.21,2))</f>
        <v/>
      </c>
      <c r="J92" s="5">
        <f>IF(F92="","",ROUND(F92*0.1,2))</f>
        <v/>
      </c>
      <c r="K92" s="5">
        <f>IF(G92="","",ROUND(G92*0.04,2))</f>
        <v/>
      </c>
      <c r="L92" s="4" t="n"/>
      <c r="M92" s="4" t="n"/>
      <c r="N92" s="5">
        <f>IF(A92="","",SUM(E92:K92)-N(L92))</f>
        <v/>
      </c>
      <c r="O92">
        <f>IF(OR(A92="",M92=""),"",IF(ABS(M92-N92)&lt;=0.02,"OK","REVISAR"))</f>
        <v/>
      </c>
      <c r="P92">
        <f>IF(D92="","",IF(LEN(TRIM(D92))&lt;&gt;9,"REVISAR",IFERROR(IF(OR(ISNUMBER(VALUE(LEFT(UPPER(TRIM(D92)),1))),LEFT(UPPER(TRIM(D92)),1)="X",LEFT(UPPER(TRIM(D92)),1)="Y",LEFT(UPPER(TRIM(D92)),1)="Z"),IF(MID("TRWAGMYFPDXBNJZSQVHLCKE",MOD(VALUE(SUBSTITUTE(SUBSTITUTE(SUBSTITUTE(LEFT(UPPER(TRIM(D92)),8),"X","0"),"Y","1"),"Z","2")),23)+1,1)=RIGHT(UPPER(TRIM(D92)),1),"OK","REVISAR"),IF(OR(RIGHT(UPPER(TRIM(D92)),1)=TEXT(MOD(10-MOD((VALUE(MID(UPPER(TRIM(D92)),3,1))+VALUE(MID(UPPER(TRIM(D92)),5,1))+VALUE(MID(UPPER(TRIM(D92)),7,1)))+(INT(2*VALUE(MID(UPPER(TRIM(D92)),2,1))/10)+MOD(2*VALUE(MID(UPPER(TRIM(D92)),2,1)),10))+(INT(2*VALUE(MID(UPPER(TRIM(D92)),4,1))/10)+MOD(2*VALUE(MID(UPPER(TRIM(D92)),4,1)),10))+(INT(2*VALUE(MID(UPPER(TRIM(D92)),6,1))/10)+MOD(2*VALUE(MID(UPPER(TRIM(D92)),6,1)),10))+(INT(2*VALUE(MID(UPPER(TRIM(D92)),8,1))/10)+MOD(2*VALUE(MID(UPPER(TRIM(D92)),8,1)),10)),10),10),"0"),RIGHT(UPPER(TRIM(D92)),1)=MID("JABCDEFGHI",MOD(10-MOD((VALUE(MID(UPPER(TRIM(D92)),3,1))+VALUE(MID(UPPER(TRIM(D92)),5,1))+VALUE(MID(UPPER(TRIM(D92)),7,1)))+(INT(2*VALUE(MID(UPPER(TRIM(D92)),2,1))/10)+MOD(2*VALUE(MID(UPPER(TRIM(D92)),2,1)),10))+(INT(2*VALUE(MID(UPPER(TRIM(D92)),4,1))/10)+MOD(2*VALUE(MID(UPPER(TRIM(D92)),4,1)),10))+(INT(2*VALUE(MID(UPPER(TRIM(D92)),6,1))/10)+MOD(2*VALUE(MID(UPPER(TRIM(D92)),6,1)),10))+(INT(2*VALUE(MID(UPPER(TRIM(D92)),8,1))/10)+MOD(2*VALUE(MID(UPPER(TRIM(D92)),8,1)),10)),10),10)+1,1)),"OK","REVISAR")),"REVISAR")))</f>
        <v/>
      </c>
      <c r="Q92">
        <f>IF(B92="","",IF(COUNTIFS($B$2:$B$501,B92,$D$2:$D$501,D92)&gt;1,"DUPLICADA",""))</f>
        <v/>
      </c>
      <c r="R92">
        <f>IF(A92="","",ROUNDUP(MONTH(A92)/3,0))</f>
        <v/>
      </c>
      <c r="S92" s="3" t="n"/>
    </row>
    <row r="93">
      <c r="A93" s="2" t="n"/>
      <c r="B93" s="3" t="n"/>
      <c r="C93" s="3" t="n"/>
      <c r="D93" s="3" t="n"/>
      <c r="E93" s="4" t="n"/>
      <c r="F93" s="4" t="n"/>
      <c r="G93" s="4" t="n"/>
      <c r="H93" s="4" t="n"/>
      <c r="I93" s="5">
        <f>IF(E93="","",ROUND(E93*0.21,2))</f>
        <v/>
      </c>
      <c r="J93" s="5">
        <f>IF(F93="","",ROUND(F93*0.1,2))</f>
        <v/>
      </c>
      <c r="K93" s="5">
        <f>IF(G93="","",ROUND(G93*0.04,2))</f>
        <v/>
      </c>
      <c r="L93" s="4" t="n"/>
      <c r="M93" s="4" t="n"/>
      <c r="N93" s="5">
        <f>IF(A93="","",SUM(E93:K93)-N(L93))</f>
        <v/>
      </c>
      <c r="O93">
        <f>IF(OR(A93="",M93=""),"",IF(ABS(M93-N93)&lt;=0.02,"OK","REVISAR"))</f>
        <v/>
      </c>
      <c r="P93">
        <f>IF(D93="","",IF(LEN(TRIM(D93))&lt;&gt;9,"REVISAR",IFERROR(IF(OR(ISNUMBER(VALUE(LEFT(UPPER(TRIM(D93)),1))),LEFT(UPPER(TRIM(D93)),1)="X",LEFT(UPPER(TRIM(D93)),1)="Y",LEFT(UPPER(TRIM(D93)),1)="Z"),IF(MID("TRWAGMYFPDXBNJZSQVHLCKE",MOD(VALUE(SUBSTITUTE(SUBSTITUTE(SUBSTITUTE(LEFT(UPPER(TRIM(D93)),8),"X","0"),"Y","1"),"Z","2")),23)+1,1)=RIGHT(UPPER(TRIM(D93)),1),"OK","REVISAR"),IF(OR(RIGHT(UPPER(TRIM(D93)),1)=TEXT(MOD(10-MOD((VALUE(MID(UPPER(TRIM(D93)),3,1))+VALUE(MID(UPPER(TRIM(D93)),5,1))+VALUE(MID(UPPER(TRIM(D93)),7,1)))+(INT(2*VALUE(MID(UPPER(TRIM(D93)),2,1))/10)+MOD(2*VALUE(MID(UPPER(TRIM(D93)),2,1)),10))+(INT(2*VALUE(MID(UPPER(TRIM(D93)),4,1))/10)+MOD(2*VALUE(MID(UPPER(TRIM(D93)),4,1)),10))+(INT(2*VALUE(MID(UPPER(TRIM(D93)),6,1))/10)+MOD(2*VALUE(MID(UPPER(TRIM(D93)),6,1)),10))+(INT(2*VALUE(MID(UPPER(TRIM(D93)),8,1))/10)+MOD(2*VALUE(MID(UPPER(TRIM(D93)),8,1)),10)),10),10),"0"),RIGHT(UPPER(TRIM(D93)),1)=MID("JABCDEFGHI",MOD(10-MOD((VALUE(MID(UPPER(TRIM(D93)),3,1))+VALUE(MID(UPPER(TRIM(D93)),5,1))+VALUE(MID(UPPER(TRIM(D93)),7,1)))+(INT(2*VALUE(MID(UPPER(TRIM(D93)),2,1))/10)+MOD(2*VALUE(MID(UPPER(TRIM(D93)),2,1)),10))+(INT(2*VALUE(MID(UPPER(TRIM(D93)),4,1))/10)+MOD(2*VALUE(MID(UPPER(TRIM(D93)),4,1)),10))+(INT(2*VALUE(MID(UPPER(TRIM(D93)),6,1))/10)+MOD(2*VALUE(MID(UPPER(TRIM(D93)),6,1)),10))+(INT(2*VALUE(MID(UPPER(TRIM(D93)),8,1))/10)+MOD(2*VALUE(MID(UPPER(TRIM(D93)),8,1)),10)),10),10)+1,1)),"OK","REVISAR")),"REVISAR")))</f>
        <v/>
      </c>
      <c r="Q93">
        <f>IF(B93="","",IF(COUNTIFS($B$2:$B$501,B93,$D$2:$D$501,D93)&gt;1,"DUPLICADA",""))</f>
        <v/>
      </c>
      <c r="R93">
        <f>IF(A93="","",ROUNDUP(MONTH(A93)/3,0))</f>
        <v/>
      </c>
      <c r="S93" s="3" t="n"/>
    </row>
    <row r="94">
      <c r="A94" s="2" t="n"/>
      <c r="B94" s="3" t="n"/>
      <c r="C94" s="3" t="n"/>
      <c r="D94" s="3" t="n"/>
      <c r="E94" s="4" t="n"/>
      <c r="F94" s="4" t="n"/>
      <c r="G94" s="4" t="n"/>
      <c r="H94" s="4" t="n"/>
      <c r="I94" s="5">
        <f>IF(E94="","",ROUND(E94*0.21,2))</f>
        <v/>
      </c>
      <c r="J94" s="5">
        <f>IF(F94="","",ROUND(F94*0.1,2))</f>
        <v/>
      </c>
      <c r="K94" s="5">
        <f>IF(G94="","",ROUND(G94*0.04,2))</f>
        <v/>
      </c>
      <c r="L94" s="4" t="n"/>
      <c r="M94" s="4" t="n"/>
      <c r="N94" s="5">
        <f>IF(A94="","",SUM(E94:K94)-N(L94))</f>
        <v/>
      </c>
      <c r="O94">
        <f>IF(OR(A94="",M94=""),"",IF(ABS(M94-N94)&lt;=0.02,"OK","REVISAR"))</f>
        <v/>
      </c>
      <c r="P94">
        <f>IF(D94="","",IF(LEN(TRIM(D94))&lt;&gt;9,"REVISAR",IFERROR(IF(OR(ISNUMBER(VALUE(LEFT(UPPER(TRIM(D94)),1))),LEFT(UPPER(TRIM(D94)),1)="X",LEFT(UPPER(TRIM(D94)),1)="Y",LEFT(UPPER(TRIM(D94)),1)="Z"),IF(MID("TRWAGMYFPDXBNJZSQVHLCKE",MOD(VALUE(SUBSTITUTE(SUBSTITUTE(SUBSTITUTE(LEFT(UPPER(TRIM(D94)),8),"X","0"),"Y","1"),"Z","2")),23)+1,1)=RIGHT(UPPER(TRIM(D94)),1),"OK","REVISAR"),IF(OR(RIGHT(UPPER(TRIM(D94)),1)=TEXT(MOD(10-MOD((VALUE(MID(UPPER(TRIM(D94)),3,1))+VALUE(MID(UPPER(TRIM(D94)),5,1))+VALUE(MID(UPPER(TRIM(D94)),7,1)))+(INT(2*VALUE(MID(UPPER(TRIM(D94)),2,1))/10)+MOD(2*VALUE(MID(UPPER(TRIM(D94)),2,1)),10))+(INT(2*VALUE(MID(UPPER(TRIM(D94)),4,1))/10)+MOD(2*VALUE(MID(UPPER(TRIM(D94)),4,1)),10))+(INT(2*VALUE(MID(UPPER(TRIM(D94)),6,1))/10)+MOD(2*VALUE(MID(UPPER(TRIM(D94)),6,1)),10))+(INT(2*VALUE(MID(UPPER(TRIM(D94)),8,1))/10)+MOD(2*VALUE(MID(UPPER(TRIM(D94)),8,1)),10)),10),10),"0"),RIGHT(UPPER(TRIM(D94)),1)=MID("JABCDEFGHI",MOD(10-MOD((VALUE(MID(UPPER(TRIM(D94)),3,1))+VALUE(MID(UPPER(TRIM(D94)),5,1))+VALUE(MID(UPPER(TRIM(D94)),7,1)))+(INT(2*VALUE(MID(UPPER(TRIM(D94)),2,1))/10)+MOD(2*VALUE(MID(UPPER(TRIM(D94)),2,1)),10))+(INT(2*VALUE(MID(UPPER(TRIM(D94)),4,1))/10)+MOD(2*VALUE(MID(UPPER(TRIM(D94)),4,1)),10))+(INT(2*VALUE(MID(UPPER(TRIM(D94)),6,1))/10)+MOD(2*VALUE(MID(UPPER(TRIM(D94)),6,1)),10))+(INT(2*VALUE(MID(UPPER(TRIM(D94)),8,1))/10)+MOD(2*VALUE(MID(UPPER(TRIM(D94)),8,1)),10)),10),10)+1,1)),"OK","REVISAR")),"REVISAR")))</f>
        <v/>
      </c>
      <c r="Q94">
        <f>IF(B94="","",IF(COUNTIFS($B$2:$B$501,B94,$D$2:$D$501,D94)&gt;1,"DUPLICADA",""))</f>
        <v/>
      </c>
      <c r="R94">
        <f>IF(A94="","",ROUNDUP(MONTH(A94)/3,0))</f>
        <v/>
      </c>
      <c r="S94" s="3" t="n"/>
    </row>
    <row r="95">
      <c r="A95" s="2" t="n"/>
      <c r="B95" s="3" t="n"/>
      <c r="C95" s="3" t="n"/>
      <c r="D95" s="3" t="n"/>
      <c r="E95" s="4" t="n"/>
      <c r="F95" s="4" t="n"/>
      <c r="G95" s="4" t="n"/>
      <c r="H95" s="4" t="n"/>
      <c r="I95" s="5">
        <f>IF(E95="","",ROUND(E95*0.21,2))</f>
        <v/>
      </c>
      <c r="J95" s="5">
        <f>IF(F95="","",ROUND(F95*0.1,2))</f>
        <v/>
      </c>
      <c r="K95" s="5">
        <f>IF(G95="","",ROUND(G95*0.04,2))</f>
        <v/>
      </c>
      <c r="L95" s="4" t="n"/>
      <c r="M95" s="4" t="n"/>
      <c r="N95" s="5">
        <f>IF(A95="","",SUM(E95:K95)-N(L95))</f>
        <v/>
      </c>
      <c r="O95">
        <f>IF(OR(A95="",M95=""),"",IF(ABS(M95-N95)&lt;=0.02,"OK","REVISAR"))</f>
        <v/>
      </c>
      <c r="P95">
        <f>IF(D95="","",IF(LEN(TRIM(D95))&lt;&gt;9,"REVISAR",IFERROR(IF(OR(ISNUMBER(VALUE(LEFT(UPPER(TRIM(D95)),1))),LEFT(UPPER(TRIM(D95)),1)="X",LEFT(UPPER(TRIM(D95)),1)="Y",LEFT(UPPER(TRIM(D95)),1)="Z"),IF(MID("TRWAGMYFPDXBNJZSQVHLCKE",MOD(VALUE(SUBSTITUTE(SUBSTITUTE(SUBSTITUTE(LEFT(UPPER(TRIM(D95)),8),"X","0"),"Y","1"),"Z","2")),23)+1,1)=RIGHT(UPPER(TRIM(D95)),1),"OK","REVISAR"),IF(OR(RIGHT(UPPER(TRIM(D95)),1)=TEXT(MOD(10-MOD((VALUE(MID(UPPER(TRIM(D95)),3,1))+VALUE(MID(UPPER(TRIM(D95)),5,1))+VALUE(MID(UPPER(TRIM(D95)),7,1)))+(INT(2*VALUE(MID(UPPER(TRIM(D95)),2,1))/10)+MOD(2*VALUE(MID(UPPER(TRIM(D95)),2,1)),10))+(INT(2*VALUE(MID(UPPER(TRIM(D95)),4,1))/10)+MOD(2*VALUE(MID(UPPER(TRIM(D95)),4,1)),10))+(INT(2*VALUE(MID(UPPER(TRIM(D95)),6,1))/10)+MOD(2*VALUE(MID(UPPER(TRIM(D95)),6,1)),10))+(INT(2*VALUE(MID(UPPER(TRIM(D95)),8,1))/10)+MOD(2*VALUE(MID(UPPER(TRIM(D95)),8,1)),10)),10),10),"0"),RIGHT(UPPER(TRIM(D95)),1)=MID("JABCDEFGHI",MOD(10-MOD((VALUE(MID(UPPER(TRIM(D95)),3,1))+VALUE(MID(UPPER(TRIM(D95)),5,1))+VALUE(MID(UPPER(TRIM(D95)),7,1)))+(INT(2*VALUE(MID(UPPER(TRIM(D95)),2,1))/10)+MOD(2*VALUE(MID(UPPER(TRIM(D95)),2,1)),10))+(INT(2*VALUE(MID(UPPER(TRIM(D95)),4,1))/10)+MOD(2*VALUE(MID(UPPER(TRIM(D95)),4,1)),10))+(INT(2*VALUE(MID(UPPER(TRIM(D95)),6,1))/10)+MOD(2*VALUE(MID(UPPER(TRIM(D95)),6,1)),10))+(INT(2*VALUE(MID(UPPER(TRIM(D95)),8,1))/10)+MOD(2*VALUE(MID(UPPER(TRIM(D95)),8,1)),10)),10),10)+1,1)),"OK","REVISAR")),"REVISAR")))</f>
        <v/>
      </c>
      <c r="Q95">
        <f>IF(B95="","",IF(COUNTIFS($B$2:$B$501,B95,$D$2:$D$501,D95)&gt;1,"DUPLICADA",""))</f>
        <v/>
      </c>
      <c r="R95">
        <f>IF(A95="","",ROUNDUP(MONTH(A95)/3,0))</f>
        <v/>
      </c>
      <c r="S95" s="3" t="n"/>
    </row>
    <row r="96">
      <c r="A96" s="2" t="n"/>
      <c r="B96" s="3" t="n"/>
      <c r="C96" s="3" t="n"/>
      <c r="D96" s="3" t="n"/>
      <c r="E96" s="4" t="n"/>
      <c r="F96" s="4" t="n"/>
      <c r="G96" s="4" t="n"/>
      <c r="H96" s="4" t="n"/>
      <c r="I96" s="5">
        <f>IF(E96="","",ROUND(E96*0.21,2))</f>
        <v/>
      </c>
      <c r="J96" s="5">
        <f>IF(F96="","",ROUND(F96*0.1,2))</f>
        <v/>
      </c>
      <c r="K96" s="5">
        <f>IF(G96="","",ROUND(G96*0.04,2))</f>
        <v/>
      </c>
      <c r="L96" s="4" t="n"/>
      <c r="M96" s="4" t="n"/>
      <c r="N96" s="5">
        <f>IF(A96="","",SUM(E96:K96)-N(L96))</f>
        <v/>
      </c>
      <c r="O96">
        <f>IF(OR(A96="",M96=""),"",IF(ABS(M96-N96)&lt;=0.02,"OK","REVISAR"))</f>
        <v/>
      </c>
      <c r="P96">
        <f>IF(D96="","",IF(LEN(TRIM(D96))&lt;&gt;9,"REVISAR",IFERROR(IF(OR(ISNUMBER(VALUE(LEFT(UPPER(TRIM(D96)),1))),LEFT(UPPER(TRIM(D96)),1)="X",LEFT(UPPER(TRIM(D96)),1)="Y",LEFT(UPPER(TRIM(D96)),1)="Z"),IF(MID("TRWAGMYFPDXBNJZSQVHLCKE",MOD(VALUE(SUBSTITUTE(SUBSTITUTE(SUBSTITUTE(LEFT(UPPER(TRIM(D96)),8),"X","0"),"Y","1"),"Z","2")),23)+1,1)=RIGHT(UPPER(TRIM(D96)),1),"OK","REVISAR"),IF(OR(RIGHT(UPPER(TRIM(D96)),1)=TEXT(MOD(10-MOD((VALUE(MID(UPPER(TRIM(D96)),3,1))+VALUE(MID(UPPER(TRIM(D96)),5,1))+VALUE(MID(UPPER(TRIM(D96)),7,1)))+(INT(2*VALUE(MID(UPPER(TRIM(D96)),2,1))/10)+MOD(2*VALUE(MID(UPPER(TRIM(D96)),2,1)),10))+(INT(2*VALUE(MID(UPPER(TRIM(D96)),4,1))/10)+MOD(2*VALUE(MID(UPPER(TRIM(D96)),4,1)),10))+(INT(2*VALUE(MID(UPPER(TRIM(D96)),6,1))/10)+MOD(2*VALUE(MID(UPPER(TRIM(D96)),6,1)),10))+(INT(2*VALUE(MID(UPPER(TRIM(D96)),8,1))/10)+MOD(2*VALUE(MID(UPPER(TRIM(D96)),8,1)),10)),10),10),"0"),RIGHT(UPPER(TRIM(D96)),1)=MID("JABCDEFGHI",MOD(10-MOD((VALUE(MID(UPPER(TRIM(D96)),3,1))+VALUE(MID(UPPER(TRIM(D96)),5,1))+VALUE(MID(UPPER(TRIM(D96)),7,1)))+(INT(2*VALUE(MID(UPPER(TRIM(D96)),2,1))/10)+MOD(2*VALUE(MID(UPPER(TRIM(D96)),2,1)),10))+(INT(2*VALUE(MID(UPPER(TRIM(D96)),4,1))/10)+MOD(2*VALUE(MID(UPPER(TRIM(D96)),4,1)),10))+(INT(2*VALUE(MID(UPPER(TRIM(D96)),6,1))/10)+MOD(2*VALUE(MID(UPPER(TRIM(D96)),6,1)),10))+(INT(2*VALUE(MID(UPPER(TRIM(D96)),8,1))/10)+MOD(2*VALUE(MID(UPPER(TRIM(D96)),8,1)),10)),10),10)+1,1)),"OK","REVISAR")),"REVISAR")))</f>
        <v/>
      </c>
      <c r="Q96">
        <f>IF(B96="","",IF(COUNTIFS($B$2:$B$501,B96,$D$2:$D$501,D96)&gt;1,"DUPLICADA",""))</f>
        <v/>
      </c>
      <c r="R96">
        <f>IF(A96="","",ROUNDUP(MONTH(A96)/3,0))</f>
        <v/>
      </c>
      <c r="S96" s="3" t="n"/>
    </row>
    <row r="97">
      <c r="A97" s="2" t="n"/>
      <c r="B97" s="3" t="n"/>
      <c r="C97" s="3" t="n"/>
      <c r="D97" s="3" t="n"/>
      <c r="E97" s="4" t="n"/>
      <c r="F97" s="4" t="n"/>
      <c r="G97" s="4" t="n"/>
      <c r="H97" s="4" t="n"/>
      <c r="I97" s="5">
        <f>IF(E97="","",ROUND(E97*0.21,2))</f>
        <v/>
      </c>
      <c r="J97" s="5">
        <f>IF(F97="","",ROUND(F97*0.1,2))</f>
        <v/>
      </c>
      <c r="K97" s="5">
        <f>IF(G97="","",ROUND(G97*0.04,2))</f>
        <v/>
      </c>
      <c r="L97" s="4" t="n"/>
      <c r="M97" s="4" t="n"/>
      <c r="N97" s="5">
        <f>IF(A97="","",SUM(E97:K97)-N(L97))</f>
        <v/>
      </c>
      <c r="O97">
        <f>IF(OR(A97="",M97=""),"",IF(ABS(M97-N97)&lt;=0.02,"OK","REVISAR"))</f>
        <v/>
      </c>
      <c r="P97">
        <f>IF(D97="","",IF(LEN(TRIM(D97))&lt;&gt;9,"REVISAR",IFERROR(IF(OR(ISNUMBER(VALUE(LEFT(UPPER(TRIM(D97)),1))),LEFT(UPPER(TRIM(D97)),1)="X",LEFT(UPPER(TRIM(D97)),1)="Y",LEFT(UPPER(TRIM(D97)),1)="Z"),IF(MID("TRWAGMYFPDXBNJZSQVHLCKE",MOD(VALUE(SUBSTITUTE(SUBSTITUTE(SUBSTITUTE(LEFT(UPPER(TRIM(D97)),8),"X","0"),"Y","1"),"Z","2")),23)+1,1)=RIGHT(UPPER(TRIM(D97)),1),"OK","REVISAR"),IF(OR(RIGHT(UPPER(TRIM(D97)),1)=TEXT(MOD(10-MOD((VALUE(MID(UPPER(TRIM(D97)),3,1))+VALUE(MID(UPPER(TRIM(D97)),5,1))+VALUE(MID(UPPER(TRIM(D97)),7,1)))+(INT(2*VALUE(MID(UPPER(TRIM(D97)),2,1))/10)+MOD(2*VALUE(MID(UPPER(TRIM(D97)),2,1)),10))+(INT(2*VALUE(MID(UPPER(TRIM(D97)),4,1))/10)+MOD(2*VALUE(MID(UPPER(TRIM(D97)),4,1)),10))+(INT(2*VALUE(MID(UPPER(TRIM(D97)),6,1))/10)+MOD(2*VALUE(MID(UPPER(TRIM(D97)),6,1)),10))+(INT(2*VALUE(MID(UPPER(TRIM(D97)),8,1))/10)+MOD(2*VALUE(MID(UPPER(TRIM(D97)),8,1)),10)),10),10),"0"),RIGHT(UPPER(TRIM(D97)),1)=MID("JABCDEFGHI",MOD(10-MOD((VALUE(MID(UPPER(TRIM(D97)),3,1))+VALUE(MID(UPPER(TRIM(D97)),5,1))+VALUE(MID(UPPER(TRIM(D97)),7,1)))+(INT(2*VALUE(MID(UPPER(TRIM(D97)),2,1))/10)+MOD(2*VALUE(MID(UPPER(TRIM(D97)),2,1)),10))+(INT(2*VALUE(MID(UPPER(TRIM(D97)),4,1))/10)+MOD(2*VALUE(MID(UPPER(TRIM(D97)),4,1)),10))+(INT(2*VALUE(MID(UPPER(TRIM(D97)),6,1))/10)+MOD(2*VALUE(MID(UPPER(TRIM(D97)),6,1)),10))+(INT(2*VALUE(MID(UPPER(TRIM(D97)),8,1))/10)+MOD(2*VALUE(MID(UPPER(TRIM(D97)),8,1)),10)),10),10)+1,1)),"OK","REVISAR")),"REVISAR")))</f>
        <v/>
      </c>
      <c r="Q97">
        <f>IF(B97="","",IF(COUNTIFS($B$2:$B$501,B97,$D$2:$D$501,D97)&gt;1,"DUPLICADA",""))</f>
        <v/>
      </c>
      <c r="R97">
        <f>IF(A97="","",ROUNDUP(MONTH(A97)/3,0))</f>
        <v/>
      </c>
      <c r="S97" s="3" t="n"/>
    </row>
    <row r="98">
      <c r="A98" s="2" t="n"/>
      <c r="B98" s="3" t="n"/>
      <c r="C98" s="3" t="n"/>
      <c r="D98" s="3" t="n"/>
      <c r="E98" s="4" t="n"/>
      <c r="F98" s="4" t="n"/>
      <c r="G98" s="4" t="n"/>
      <c r="H98" s="4" t="n"/>
      <c r="I98" s="5">
        <f>IF(E98="","",ROUND(E98*0.21,2))</f>
        <v/>
      </c>
      <c r="J98" s="5">
        <f>IF(F98="","",ROUND(F98*0.1,2))</f>
        <v/>
      </c>
      <c r="K98" s="5">
        <f>IF(G98="","",ROUND(G98*0.04,2))</f>
        <v/>
      </c>
      <c r="L98" s="4" t="n"/>
      <c r="M98" s="4" t="n"/>
      <c r="N98" s="5">
        <f>IF(A98="","",SUM(E98:K98)-N(L98))</f>
        <v/>
      </c>
      <c r="O98">
        <f>IF(OR(A98="",M98=""),"",IF(ABS(M98-N98)&lt;=0.02,"OK","REVISAR"))</f>
        <v/>
      </c>
      <c r="P98">
        <f>IF(D98="","",IF(LEN(TRIM(D98))&lt;&gt;9,"REVISAR",IFERROR(IF(OR(ISNUMBER(VALUE(LEFT(UPPER(TRIM(D98)),1))),LEFT(UPPER(TRIM(D98)),1)="X",LEFT(UPPER(TRIM(D98)),1)="Y",LEFT(UPPER(TRIM(D98)),1)="Z"),IF(MID("TRWAGMYFPDXBNJZSQVHLCKE",MOD(VALUE(SUBSTITUTE(SUBSTITUTE(SUBSTITUTE(LEFT(UPPER(TRIM(D98)),8),"X","0"),"Y","1"),"Z","2")),23)+1,1)=RIGHT(UPPER(TRIM(D98)),1),"OK","REVISAR"),IF(OR(RIGHT(UPPER(TRIM(D98)),1)=TEXT(MOD(10-MOD((VALUE(MID(UPPER(TRIM(D98)),3,1))+VALUE(MID(UPPER(TRIM(D98)),5,1))+VALUE(MID(UPPER(TRIM(D98)),7,1)))+(INT(2*VALUE(MID(UPPER(TRIM(D98)),2,1))/10)+MOD(2*VALUE(MID(UPPER(TRIM(D98)),2,1)),10))+(INT(2*VALUE(MID(UPPER(TRIM(D98)),4,1))/10)+MOD(2*VALUE(MID(UPPER(TRIM(D98)),4,1)),10))+(INT(2*VALUE(MID(UPPER(TRIM(D98)),6,1))/10)+MOD(2*VALUE(MID(UPPER(TRIM(D98)),6,1)),10))+(INT(2*VALUE(MID(UPPER(TRIM(D98)),8,1))/10)+MOD(2*VALUE(MID(UPPER(TRIM(D98)),8,1)),10)),10),10),"0"),RIGHT(UPPER(TRIM(D98)),1)=MID("JABCDEFGHI",MOD(10-MOD((VALUE(MID(UPPER(TRIM(D98)),3,1))+VALUE(MID(UPPER(TRIM(D98)),5,1))+VALUE(MID(UPPER(TRIM(D98)),7,1)))+(INT(2*VALUE(MID(UPPER(TRIM(D98)),2,1))/10)+MOD(2*VALUE(MID(UPPER(TRIM(D98)),2,1)),10))+(INT(2*VALUE(MID(UPPER(TRIM(D98)),4,1))/10)+MOD(2*VALUE(MID(UPPER(TRIM(D98)),4,1)),10))+(INT(2*VALUE(MID(UPPER(TRIM(D98)),6,1))/10)+MOD(2*VALUE(MID(UPPER(TRIM(D98)),6,1)),10))+(INT(2*VALUE(MID(UPPER(TRIM(D98)),8,1))/10)+MOD(2*VALUE(MID(UPPER(TRIM(D98)),8,1)),10)),10),10)+1,1)),"OK","REVISAR")),"REVISAR")))</f>
        <v/>
      </c>
      <c r="Q98">
        <f>IF(B98="","",IF(COUNTIFS($B$2:$B$501,B98,$D$2:$D$501,D98)&gt;1,"DUPLICADA",""))</f>
        <v/>
      </c>
      <c r="R98">
        <f>IF(A98="","",ROUNDUP(MONTH(A98)/3,0))</f>
        <v/>
      </c>
      <c r="S98" s="3" t="n"/>
    </row>
    <row r="99">
      <c r="A99" s="2" t="n"/>
      <c r="B99" s="3" t="n"/>
      <c r="C99" s="3" t="n"/>
      <c r="D99" s="3" t="n"/>
      <c r="E99" s="4" t="n"/>
      <c r="F99" s="4" t="n"/>
      <c r="G99" s="4" t="n"/>
      <c r="H99" s="4" t="n"/>
      <c r="I99" s="5">
        <f>IF(E99="","",ROUND(E99*0.21,2))</f>
        <v/>
      </c>
      <c r="J99" s="5">
        <f>IF(F99="","",ROUND(F99*0.1,2))</f>
        <v/>
      </c>
      <c r="K99" s="5">
        <f>IF(G99="","",ROUND(G99*0.04,2))</f>
        <v/>
      </c>
      <c r="L99" s="4" t="n"/>
      <c r="M99" s="4" t="n"/>
      <c r="N99" s="5">
        <f>IF(A99="","",SUM(E99:K99)-N(L99))</f>
        <v/>
      </c>
      <c r="O99">
        <f>IF(OR(A99="",M99=""),"",IF(ABS(M99-N99)&lt;=0.02,"OK","REVISAR"))</f>
        <v/>
      </c>
      <c r="P99">
        <f>IF(D99="","",IF(LEN(TRIM(D99))&lt;&gt;9,"REVISAR",IFERROR(IF(OR(ISNUMBER(VALUE(LEFT(UPPER(TRIM(D99)),1))),LEFT(UPPER(TRIM(D99)),1)="X",LEFT(UPPER(TRIM(D99)),1)="Y",LEFT(UPPER(TRIM(D99)),1)="Z"),IF(MID("TRWAGMYFPDXBNJZSQVHLCKE",MOD(VALUE(SUBSTITUTE(SUBSTITUTE(SUBSTITUTE(LEFT(UPPER(TRIM(D99)),8),"X","0"),"Y","1"),"Z","2")),23)+1,1)=RIGHT(UPPER(TRIM(D99)),1),"OK","REVISAR"),IF(OR(RIGHT(UPPER(TRIM(D99)),1)=TEXT(MOD(10-MOD((VALUE(MID(UPPER(TRIM(D99)),3,1))+VALUE(MID(UPPER(TRIM(D99)),5,1))+VALUE(MID(UPPER(TRIM(D99)),7,1)))+(INT(2*VALUE(MID(UPPER(TRIM(D99)),2,1))/10)+MOD(2*VALUE(MID(UPPER(TRIM(D99)),2,1)),10))+(INT(2*VALUE(MID(UPPER(TRIM(D99)),4,1))/10)+MOD(2*VALUE(MID(UPPER(TRIM(D99)),4,1)),10))+(INT(2*VALUE(MID(UPPER(TRIM(D99)),6,1))/10)+MOD(2*VALUE(MID(UPPER(TRIM(D99)),6,1)),10))+(INT(2*VALUE(MID(UPPER(TRIM(D99)),8,1))/10)+MOD(2*VALUE(MID(UPPER(TRIM(D99)),8,1)),10)),10),10),"0"),RIGHT(UPPER(TRIM(D99)),1)=MID("JABCDEFGHI",MOD(10-MOD((VALUE(MID(UPPER(TRIM(D99)),3,1))+VALUE(MID(UPPER(TRIM(D99)),5,1))+VALUE(MID(UPPER(TRIM(D99)),7,1)))+(INT(2*VALUE(MID(UPPER(TRIM(D99)),2,1))/10)+MOD(2*VALUE(MID(UPPER(TRIM(D99)),2,1)),10))+(INT(2*VALUE(MID(UPPER(TRIM(D99)),4,1))/10)+MOD(2*VALUE(MID(UPPER(TRIM(D99)),4,1)),10))+(INT(2*VALUE(MID(UPPER(TRIM(D99)),6,1))/10)+MOD(2*VALUE(MID(UPPER(TRIM(D99)),6,1)),10))+(INT(2*VALUE(MID(UPPER(TRIM(D99)),8,1))/10)+MOD(2*VALUE(MID(UPPER(TRIM(D99)),8,1)),10)),10),10)+1,1)),"OK","REVISAR")),"REVISAR")))</f>
        <v/>
      </c>
      <c r="Q99">
        <f>IF(B99="","",IF(COUNTIFS($B$2:$B$501,B99,$D$2:$D$501,D99)&gt;1,"DUPLICADA",""))</f>
        <v/>
      </c>
      <c r="R99">
        <f>IF(A99="","",ROUNDUP(MONTH(A99)/3,0))</f>
        <v/>
      </c>
      <c r="S99" s="3" t="n"/>
    </row>
    <row r="100">
      <c r="A100" s="2" t="n"/>
      <c r="B100" s="3" t="n"/>
      <c r="C100" s="3" t="n"/>
      <c r="D100" s="3" t="n"/>
      <c r="E100" s="4" t="n"/>
      <c r="F100" s="4" t="n"/>
      <c r="G100" s="4" t="n"/>
      <c r="H100" s="4" t="n"/>
      <c r="I100" s="5">
        <f>IF(E100="","",ROUND(E100*0.21,2))</f>
        <v/>
      </c>
      <c r="J100" s="5">
        <f>IF(F100="","",ROUND(F100*0.1,2))</f>
        <v/>
      </c>
      <c r="K100" s="5">
        <f>IF(G100="","",ROUND(G100*0.04,2))</f>
        <v/>
      </c>
      <c r="L100" s="4" t="n"/>
      <c r="M100" s="4" t="n"/>
      <c r="N100" s="5">
        <f>IF(A100="","",SUM(E100:K100)-N(L100))</f>
        <v/>
      </c>
      <c r="O100">
        <f>IF(OR(A100="",M100=""),"",IF(ABS(M100-N100)&lt;=0.02,"OK","REVISAR"))</f>
        <v/>
      </c>
      <c r="P100">
        <f>IF(D100="","",IF(LEN(TRIM(D100))&lt;&gt;9,"REVISAR",IFERROR(IF(OR(ISNUMBER(VALUE(LEFT(UPPER(TRIM(D100)),1))),LEFT(UPPER(TRIM(D100)),1)="X",LEFT(UPPER(TRIM(D100)),1)="Y",LEFT(UPPER(TRIM(D100)),1)="Z"),IF(MID("TRWAGMYFPDXBNJZSQVHLCKE",MOD(VALUE(SUBSTITUTE(SUBSTITUTE(SUBSTITUTE(LEFT(UPPER(TRIM(D100)),8),"X","0"),"Y","1"),"Z","2")),23)+1,1)=RIGHT(UPPER(TRIM(D100)),1),"OK","REVISAR"),IF(OR(RIGHT(UPPER(TRIM(D100)),1)=TEXT(MOD(10-MOD((VALUE(MID(UPPER(TRIM(D100)),3,1))+VALUE(MID(UPPER(TRIM(D100)),5,1))+VALUE(MID(UPPER(TRIM(D100)),7,1)))+(INT(2*VALUE(MID(UPPER(TRIM(D100)),2,1))/10)+MOD(2*VALUE(MID(UPPER(TRIM(D100)),2,1)),10))+(INT(2*VALUE(MID(UPPER(TRIM(D100)),4,1))/10)+MOD(2*VALUE(MID(UPPER(TRIM(D100)),4,1)),10))+(INT(2*VALUE(MID(UPPER(TRIM(D100)),6,1))/10)+MOD(2*VALUE(MID(UPPER(TRIM(D100)),6,1)),10))+(INT(2*VALUE(MID(UPPER(TRIM(D100)),8,1))/10)+MOD(2*VALUE(MID(UPPER(TRIM(D100)),8,1)),10)),10),10),"0"),RIGHT(UPPER(TRIM(D100)),1)=MID("JABCDEFGHI",MOD(10-MOD((VALUE(MID(UPPER(TRIM(D100)),3,1))+VALUE(MID(UPPER(TRIM(D100)),5,1))+VALUE(MID(UPPER(TRIM(D100)),7,1)))+(INT(2*VALUE(MID(UPPER(TRIM(D100)),2,1))/10)+MOD(2*VALUE(MID(UPPER(TRIM(D100)),2,1)),10))+(INT(2*VALUE(MID(UPPER(TRIM(D100)),4,1))/10)+MOD(2*VALUE(MID(UPPER(TRIM(D100)),4,1)),10))+(INT(2*VALUE(MID(UPPER(TRIM(D100)),6,1))/10)+MOD(2*VALUE(MID(UPPER(TRIM(D100)),6,1)),10))+(INT(2*VALUE(MID(UPPER(TRIM(D100)),8,1))/10)+MOD(2*VALUE(MID(UPPER(TRIM(D100)),8,1)),10)),10),10)+1,1)),"OK","REVISAR")),"REVISAR")))</f>
        <v/>
      </c>
      <c r="Q100">
        <f>IF(B100="","",IF(COUNTIFS($B$2:$B$501,B100,$D$2:$D$501,D100)&gt;1,"DUPLICADA",""))</f>
        <v/>
      </c>
      <c r="R100">
        <f>IF(A100="","",ROUNDUP(MONTH(A100)/3,0))</f>
        <v/>
      </c>
      <c r="S100" s="3" t="n"/>
    </row>
    <row r="101">
      <c r="A101" s="2" t="n"/>
      <c r="B101" s="3" t="n"/>
      <c r="C101" s="3" t="n"/>
      <c r="D101" s="3" t="n"/>
      <c r="E101" s="4" t="n"/>
      <c r="F101" s="4" t="n"/>
      <c r="G101" s="4" t="n"/>
      <c r="H101" s="4" t="n"/>
      <c r="I101" s="5">
        <f>IF(E101="","",ROUND(E101*0.21,2))</f>
        <v/>
      </c>
      <c r="J101" s="5">
        <f>IF(F101="","",ROUND(F101*0.1,2))</f>
        <v/>
      </c>
      <c r="K101" s="5">
        <f>IF(G101="","",ROUND(G101*0.04,2))</f>
        <v/>
      </c>
      <c r="L101" s="4" t="n"/>
      <c r="M101" s="4" t="n"/>
      <c r="N101" s="5">
        <f>IF(A101="","",SUM(E101:K101)-N(L101))</f>
        <v/>
      </c>
      <c r="O101">
        <f>IF(OR(A101="",M101=""),"",IF(ABS(M101-N101)&lt;=0.02,"OK","REVISAR"))</f>
        <v/>
      </c>
      <c r="P101">
        <f>IF(D101="","",IF(LEN(TRIM(D101))&lt;&gt;9,"REVISAR",IFERROR(IF(OR(ISNUMBER(VALUE(LEFT(UPPER(TRIM(D101)),1))),LEFT(UPPER(TRIM(D101)),1)="X",LEFT(UPPER(TRIM(D101)),1)="Y",LEFT(UPPER(TRIM(D101)),1)="Z"),IF(MID("TRWAGMYFPDXBNJZSQVHLCKE",MOD(VALUE(SUBSTITUTE(SUBSTITUTE(SUBSTITUTE(LEFT(UPPER(TRIM(D101)),8),"X","0"),"Y","1"),"Z","2")),23)+1,1)=RIGHT(UPPER(TRIM(D101)),1),"OK","REVISAR"),IF(OR(RIGHT(UPPER(TRIM(D101)),1)=TEXT(MOD(10-MOD((VALUE(MID(UPPER(TRIM(D101)),3,1))+VALUE(MID(UPPER(TRIM(D101)),5,1))+VALUE(MID(UPPER(TRIM(D101)),7,1)))+(INT(2*VALUE(MID(UPPER(TRIM(D101)),2,1))/10)+MOD(2*VALUE(MID(UPPER(TRIM(D101)),2,1)),10))+(INT(2*VALUE(MID(UPPER(TRIM(D101)),4,1))/10)+MOD(2*VALUE(MID(UPPER(TRIM(D101)),4,1)),10))+(INT(2*VALUE(MID(UPPER(TRIM(D101)),6,1))/10)+MOD(2*VALUE(MID(UPPER(TRIM(D101)),6,1)),10))+(INT(2*VALUE(MID(UPPER(TRIM(D101)),8,1))/10)+MOD(2*VALUE(MID(UPPER(TRIM(D101)),8,1)),10)),10),10),"0"),RIGHT(UPPER(TRIM(D101)),1)=MID("JABCDEFGHI",MOD(10-MOD((VALUE(MID(UPPER(TRIM(D101)),3,1))+VALUE(MID(UPPER(TRIM(D101)),5,1))+VALUE(MID(UPPER(TRIM(D101)),7,1)))+(INT(2*VALUE(MID(UPPER(TRIM(D101)),2,1))/10)+MOD(2*VALUE(MID(UPPER(TRIM(D101)),2,1)),10))+(INT(2*VALUE(MID(UPPER(TRIM(D101)),4,1))/10)+MOD(2*VALUE(MID(UPPER(TRIM(D101)),4,1)),10))+(INT(2*VALUE(MID(UPPER(TRIM(D101)),6,1))/10)+MOD(2*VALUE(MID(UPPER(TRIM(D101)),6,1)),10))+(INT(2*VALUE(MID(UPPER(TRIM(D101)),8,1))/10)+MOD(2*VALUE(MID(UPPER(TRIM(D101)),8,1)),10)),10),10)+1,1)),"OK","REVISAR")),"REVISAR")))</f>
        <v/>
      </c>
      <c r="Q101">
        <f>IF(B101="","",IF(COUNTIFS($B$2:$B$501,B101,$D$2:$D$501,D101)&gt;1,"DUPLICADA",""))</f>
        <v/>
      </c>
      <c r="R101">
        <f>IF(A101="","",ROUNDUP(MONTH(A101)/3,0))</f>
        <v/>
      </c>
      <c r="S101" s="3" t="n"/>
    </row>
    <row r="102">
      <c r="A102" s="2" t="n"/>
      <c r="B102" s="3" t="n"/>
      <c r="C102" s="3" t="n"/>
      <c r="D102" s="3" t="n"/>
      <c r="E102" s="4" t="n"/>
      <c r="F102" s="4" t="n"/>
      <c r="G102" s="4" t="n"/>
      <c r="H102" s="4" t="n"/>
      <c r="I102" s="5">
        <f>IF(E102="","",ROUND(E102*0.21,2))</f>
        <v/>
      </c>
      <c r="J102" s="5">
        <f>IF(F102="","",ROUND(F102*0.1,2))</f>
        <v/>
      </c>
      <c r="K102" s="5">
        <f>IF(G102="","",ROUND(G102*0.04,2))</f>
        <v/>
      </c>
      <c r="L102" s="4" t="n"/>
      <c r="M102" s="4" t="n"/>
      <c r="N102" s="5">
        <f>IF(A102="","",SUM(E102:K102)-N(L102))</f>
        <v/>
      </c>
      <c r="O102">
        <f>IF(OR(A102="",M102=""),"",IF(ABS(M102-N102)&lt;=0.02,"OK","REVISAR"))</f>
        <v/>
      </c>
      <c r="P102">
        <f>IF(D102="","",IF(LEN(TRIM(D102))&lt;&gt;9,"REVISAR",IFERROR(IF(OR(ISNUMBER(VALUE(LEFT(UPPER(TRIM(D102)),1))),LEFT(UPPER(TRIM(D102)),1)="X",LEFT(UPPER(TRIM(D102)),1)="Y",LEFT(UPPER(TRIM(D102)),1)="Z"),IF(MID("TRWAGMYFPDXBNJZSQVHLCKE",MOD(VALUE(SUBSTITUTE(SUBSTITUTE(SUBSTITUTE(LEFT(UPPER(TRIM(D102)),8),"X","0"),"Y","1"),"Z","2")),23)+1,1)=RIGHT(UPPER(TRIM(D102)),1),"OK","REVISAR"),IF(OR(RIGHT(UPPER(TRIM(D102)),1)=TEXT(MOD(10-MOD((VALUE(MID(UPPER(TRIM(D102)),3,1))+VALUE(MID(UPPER(TRIM(D102)),5,1))+VALUE(MID(UPPER(TRIM(D102)),7,1)))+(INT(2*VALUE(MID(UPPER(TRIM(D102)),2,1))/10)+MOD(2*VALUE(MID(UPPER(TRIM(D102)),2,1)),10))+(INT(2*VALUE(MID(UPPER(TRIM(D102)),4,1))/10)+MOD(2*VALUE(MID(UPPER(TRIM(D102)),4,1)),10))+(INT(2*VALUE(MID(UPPER(TRIM(D102)),6,1))/10)+MOD(2*VALUE(MID(UPPER(TRIM(D102)),6,1)),10))+(INT(2*VALUE(MID(UPPER(TRIM(D102)),8,1))/10)+MOD(2*VALUE(MID(UPPER(TRIM(D102)),8,1)),10)),10),10),"0"),RIGHT(UPPER(TRIM(D102)),1)=MID("JABCDEFGHI",MOD(10-MOD((VALUE(MID(UPPER(TRIM(D102)),3,1))+VALUE(MID(UPPER(TRIM(D102)),5,1))+VALUE(MID(UPPER(TRIM(D102)),7,1)))+(INT(2*VALUE(MID(UPPER(TRIM(D102)),2,1))/10)+MOD(2*VALUE(MID(UPPER(TRIM(D102)),2,1)),10))+(INT(2*VALUE(MID(UPPER(TRIM(D102)),4,1))/10)+MOD(2*VALUE(MID(UPPER(TRIM(D102)),4,1)),10))+(INT(2*VALUE(MID(UPPER(TRIM(D102)),6,1))/10)+MOD(2*VALUE(MID(UPPER(TRIM(D102)),6,1)),10))+(INT(2*VALUE(MID(UPPER(TRIM(D102)),8,1))/10)+MOD(2*VALUE(MID(UPPER(TRIM(D102)),8,1)),10)),10),10)+1,1)),"OK","REVISAR")),"REVISAR")))</f>
        <v/>
      </c>
      <c r="Q102">
        <f>IF(B102="","",IF(COUNTIFS($B$2:$B$501,B102,$D$2:$D$501,D102)&gt;1,"DUPLICADA",""))</f>
        <v/>
      </c>
      <c r="R102">
        <f>IF(A102="","",ROUNDUP(MONTH(A102)/3,0))</f>
        <v/>
      </c>
      <c r="S102" s="3" t="n"/>
    </row>
    <row r="103">
      <c r="A103" s="2" t="n"/>
      <c r="B103" s="3" t="n"/>
      <c r="C103" s="3" t="n"/>
      <c r="D103" s="3" t="n"/>
      <c r="E103" s="4" t="n"/>
      <c r="F103" s="4" t="n"/>
      <c r="G103" s="4" t="n"/>
      <c r="H103" s="4" t="n"/>
      <c r="I103" s="5">
        <f>IF(E103="","",ROUND(E103*0.21,2))</f>
        <v/>
      </c>
      <c r="J103" s="5">
        <f>IF(F103="","",ROUND(F103*0.1,2))</f>
        <v/>
      </c>
      <c r="K103" s="5">
        <f>IF(G103="","",ROUND(G103*0.04,2))</f>
        <v/>
      </c>
      <c r="L103" s="4" t="n"/>
      <c r="M103" s="4" t="n"/>
      <c r="N103" s="5">
        <f>IF(A103="","",SUM(E103:K103)-N(L103))</f>
        <v/>
      </c>
      <c r="O103">
        <f>IF(OR(A103="",M103=""),"",IF(ABS(M103-N103)&lt;=0.02,"OK","REVISAR"))</f>
        <v/>
      </c>
      <c r="P103">
        <f>IF(D103="","",IF(LEN(TRIM(D103))&lt;&gt;9,"REVISAR",IFERROR(IF(OR(ISNUMBER(VALUE(LEFT(UPPER(TRIM(D103)),1))),LEFT(UPPER(TRIM(D103)),1)="X",LEFT(UPPER(TRIM(D103)),1)="Y",LEFT(UPPER(TRIM(D103)),1)="Z"),IF(MID("TRWAGMYFPDXBNJZSQVHLCKE",MOD(VALUE(SUBSTITUTE(SUBSTITUTE(SUBSTITUTE(LEFT(UPPER(TRIM(D103)),8),"X","0"),"Y","1"),"Z","2")),23)+1,1)=RIGHT(UPPER(TRIM(D103)),1),"OK","REVISAR"),IF(OR(RIGHT(UPPER(TRIM(D103)),1)=TEXT(MOD(10-MOD((VALUE(MID(UPPER(TRIM(D103)),3,1))+VALUE(MID(UPPER(TRIM(D103)),5,1))+VALUE(MID(UPPER(TRIM(D103)),7,1)))+(INT(2*VALUE(MID(UPPER(TRIM(D103)),2,1))/10)+MOD(2*VALUE(MID(UPPER(TRIM(D103)),2,1)),10))+(INT(2*VALUE(MID(UPPER(TRIM(D103)),4,1))/10)+MOD(2*VALUE(MID(UPPER(TRIM(D103)),4,1)),10))+(INT(2*VALUE(MID(UPPER(TRIM(D103)),6,1))/10)+MOD(2*VALUE(MID(UPPER(TRIM(D103)),6,1)),10))+(INT(2*VALUE(MID(UPPER(TRIM(D103)),8,1))/10)+MOD(2*VALUE(MID(UPPER(TRIM(D103)),8,1)),10)),10),10),"0"),RIGHT(UPPER(TRIM(D103)),1)=MID("JABCDEFGHI",MOD(10-MOD((VALUE(MID(UPPER(TRIM(D103)),3,1))+VALUE(MID(UPPER(TRIM(D103)),5,1))+VALUE(MID(UPPER(TRIM(D103)),7,1)))+(INT(2*VALUE(MID(UPPER(TRIM(D103)),2,1))/10)+MOD(2*VALUE(MID(UPPER(TRIM(D103)),2,1)),10))+(INT(2*VALUE(MID(UPPER(TRIM(D103)),4,1))/10)+MOD(2*VALUE(MID(UPPER(TRIM(D103)),4,1)),10))+(INT(2*VALUE(MID(UPPER(TRIM(D103)),6,1))/10)+MOD(2*VALUE(MID(UPPER(TRIM(D103)),6,1)),10))+(INT(2*VALUE(MID(UPPER(TRIM(D103)),8,1))/10)+MOD(2*VALUE(MID(UPPER(TRIM(D103)),8,1)),10)),10),10)+1,1)),"OK","REVISAR")),"REVISAR")))</f>
        <v/>
      </c>
      <c r="Q103">
        <f>IF(B103="","",IF(COUNTIFS($B$2:$B$501,B103,$D$2:$D$501,D103)&gt;1,"DUPLICADA",""))</f>
        <v/>
      </c>
      <c r="R103">
        <f>IF(A103="","",ROUNDUP(MONTH(A103)/3,0))</f>
        <v/>
      </c>
      <c r="S103" s="3" t="n"/>
    </row>
    <row r="104">
      <c r="A104" s="2" t="n"/>
      <c r="B104" s="3" t="n"/>
      <c r="C104" s="3" t="n"/>
      <c r="D104" s="3" t="n"/>
      <c r="E104" s="4" t="n"/>
      <c r="F104" s="4" t="n"/>
      <c r="G104" s="4" t="n"/>
      <c r="H104" s="4" t="n"/>
      <c r="I104" s="5">
        <f>IF(E104="","",ROUND(E104*0.21,2))</f>
        <v/>
      </c>
      <c r="J104" s="5">
        <f>IF(F104="","",ROUND(F104*0.1,2))</f>
        <v/>
      </c>
      <c r="K104" s="5">
        <f>IF(G104="","",ROUND(G104*0.04,2))</f>
        <v/>
      </c>
      <c r="L104" s="4" t="n"/>
      <c r="M104" s="4" t="n"/>
      <c r="N104" s="5">
        <f>IF(A104="","",SUM(E104:K104)-N(L104))</f>
        <v/>
      </c>
      <c r="O104">
        <f>IF(OR(A104="",M104=""),"",IF(ABS(M104-N104)&lt;=0.02,"OK","REVISAR"))</f>
        <v/>
      </c>
      <c r="P104">
        <f>IF(D104="","",IF(LEN(TRIM(D104))&lt;&gt;9,"REVISAR",IFERROR(IF(OR(ISNUMBER(VALUE(LEFT(UPPER(TRIM(D104)),1))),LEFT(UPPER(TRIM(D104)),1)="X",LEFT(UPPER(TRIM(D104)),1)="Y",LEFT(UPPER(TRIM(D104)),1)="Z"),IF(MID("TRWAGMYFPDXBNJZSQVHLCKE",MOD(VALUE(SUBSTITUTE(SUBSTITUTE(SUBSTITUTE(LEFT(UPPER(TRIM(D104)),8),"X","0"),"Y","1"),"Z","2")),23)+1,1)=RIGHT(UPPER(TRIM(D104)),1),"OK","REVISAR"),IF(OR(RIGHT(UPPER(TRIM(D104)),1)=TEXT(MOD(10-MOD((VALUE(MID(UPPER(TRIM(D104)),3,1))+VALUE(MID(UPPER(TRIM(D104)),5,1))+VALUE(MID(UPPER(TRIM(D104)),7,1)))+(INT(2*VALUE(MID(UPPER(TRIM(D104)),2,1))/10)+MOD(2*VALUE(MID(UPPER(TRIM(D104)),2,1)),10))+(INT(2*VALUE(MID(UPPER(TRIM(D104)),4,1))/10)+MOD(2*VALUE(MID(UPPER(TRIM(D104)),4,1)),10))+(INT(2*VALUE(MID(UPPER(TRIM(D104)),6,1))/10)+MOD(2*VALUE(MID(UPPER(TRIM(D104)),6,1)),10))+(INT(2*VALUE(MID(UPPER(TRIM(D104)),8,1))/10)+MOD(2*VALUE(MID(UPPER(TRIM(D104)),8,1)),10)),10),10),"0"),RIGHT(UPPER(TRIM(D104)),1)=MID("JABCDEFGHI",MOD(10-MOD((VALUE(MID(UPPER(TRIM(D104)),3,1))+VALUE(MID(UPPER(TRIM(D104)),5,1))+VALUE(MID(UPPER(TRIM(D104)),7,1)))+(INT(2*VALUE(MID(UPPER(TRIM(D104)),2,1))/10)+MOD(2*VALUE(MID(UPPER(TRIM(D104)),2,1)),10))+(INT(2*VALUE(MID(UPPER(TRIM(D104)),4,1))/10)+MOD(2*VALUE(MID(UPPER(TRIM(D104)),4,1)),10))+(INT(2*VALUE(MID(UPPER(TRIM(D104)),6,1))/10)+MOD(2*VALUE(MID(UPPER(TRIM(D104)),6,1)),10))+(INT(2*VALUE(MID(UPPER(TRIM(D104)),8,1))/10)+MOD(2*VALUE(MID(UPPER(TRIM(D104)),8,1)),10)),10),10)+1,1)),"OK","REVISAR")),"REVISAR")))</f>
        <v/>
      </c>
      <c r="Q104">
        <f>IF(B104="","",IF(COUNTIFS($B$2:$B$501,B104,$D$2:$D$501,D104)&gt;1,"DUPLICADA",""))</f>
        <v/>
      </c>
      <c r="R104">
        <f>IF(A104="","",ROUNDUP(MONTH(A104)/3,0))</f>
        <v/>
      </c>
      <c r="S104" s="3" t="n"/>
    </row>
    <row r="105">
      <c r="A105" s="2" t="n"/>
      <c r="B105" s="3" t="n"/>
      <c r="C105" s="3" t="n"/>
      <c r="D105" s="3" t="n"/>
      <c r="E105" s="4" t="n"/>
      <c r="F105" s="4" t="n"/>
      <c r="G105" s="4" t="n"/>
      <c r="H105" s="4" t="n"/>
      <c r="I105" s="5">
        <f>IF(E105="","",ROUND(E105*0.21,2))</f>
        <v/>
      </c>
      <c r="J105" s="5">
        <f>IF(F105="","",ROUND(F105*0.1,2))</f>
        <v/>
      </c>
      <c r="K105" s="5">
        <f>IF(G105="","",ROUND(G105*0.04,2))</f>
        <v/>
      </c>
      <c r="L105" s="4" t="n"/>
      <c r="M105" s="4" t="n"/>
      <c r="N105" s="5">
        <f>IF(A105="","",SUM(E105:K105)-N(L105))</f>
        <v/>
      </c>
      <c r="O105">
        <f>IF(OR(A105="",M105=""),"",IF(ABS(M105-N105)&lt;=0.02,"OK","REVISAR"))</f>
        <v/>
      </c>
      <c r="P105">
        <f>IF(D105="","",IF(LEN(TRIM(D105))&lt;&gt;9,"REVISAR",IFERROR(IF(OR(ISNUMBER(VALUE(LEFT(UPPER(TRIM(D105)),1))),LEFT(UPPER(TRIM(D105)),1)="X",LEFT(UPPER(TRIM(D105)),1)="Y",LEFT(UPPER(TRIM(D105)),1)="Z"),IF(MID("TRWAGMYFPDXBNJZSQVHLCKE",MOD(VALUE(SUBSTITUTE(SUBSTITUTE(SUBSTITUTE(LEFT(UPPER(TRIM(D105)),8),"X","0"),"Y","1"),"Z","2")),23)+1,1)=RIGHT(UPPER(TRIM(D105)),1),"OK","REVISAR"),IF(OR(RIGHT(UPPER(TRIM(D105)),1)=TEXT(MOD(10-MOD((VALUE(MID(UPPER(TRIM(D105)),3,1))+VALUE(MID(UPPER(TRIM(D105)),5,1))+VALUE(MID(UPPER(TRIM(D105)),7,1)))+(INT(2*VALUE(MID(UPPER(TRIM(D105)),2,1))/10)+MOD(2*VALUE(MID(UPPER(TRIM(D105)),2,1)),10))+(INT(2*VALUE(MID(UPPER(TRIM(D105)),4,1))/10)+MOD(2*VALUE(MID(UPPER(TRIM(D105)),4,1)),10))+(INT(2*VALUE(MID(UPPER(TRIM(D105)),6,1))/10)+MOD(2*VALUE(MID(UPPER(TRIM(D105)),6,1)),10))+(INT(2*VALUE(MID(UPPER(TRIM(D105)),8,1))/10)+MOD(2*VALUE(MID(UPPER(TRIM(D105)),8,1)),10)),10),10),"0"),RIGHT(UPPER(TRIM(D105)),1)=MID("JABCDEFGHI",MOD(10-MOD((VALUE(MID(UPPER(TRIM(D105)),3,1))+VALUE(MID(UPPER(TRIM(D105)),5,1))+VALUE(MID(UPPER(TRIM(D105)),7,1)))+(INT(2*VALUE(MID(UPPER(TRIM(D105)),2,1))/10)+MOD(2*VALUE(MID(UPPER(TRIM(D105)),2,1)),10))+(INT(2*VALUE(MID(UPPER(TRIM(D105)),4,1))/10)+MOD(2*VALUE(MID(UPPER(TRIM(D105)),4,1)),10))+(INT(2*VALUE(MID(UPPER(TRIM(D105)),6,1))/10)+MOD(2*VALUE(MID(UPPER(TRIM(D105)),6,1)),10))+(INT(2*VALUE(MID(UPPER(TRIM(D105)),8,1))/10)+MOD(2*VALUE(MID(UPPER(TRIM(D105)),8,1)),10)),10),10)+1,1)),"OK","REVISAR")),"REVISAR")))</f>
        <v/>
      </c>
      <c r="Q105">
        <f>IF(B105="","",IF(COUNTIFS($B$2:$B$501,B105,$D$2:$D$501,D105)&gt;1,"DUPLICADA",""))</f>
        <v/>
      </c>
      <c r="R105">
        <f>IF(A105="","",ROUNDUP(MONTH(A105)/3,0))</f>
        <v/>
      </c>
      <c r="S105" s="3" t="n"/>
    </row>
    <row r="106">
      <c r="A106" s="2" t="n"/>
      <c r="B106" s="3" t="n"/>
      <c r="C106" s="3" t="n"/>
      <c r="D106" s="3" t="n"/>
      <c r="E106" s="4" t="n"/>
      <c r="F106" s="4" t="n"/>
      <c r="G106" s="4" t="n"/>
      <c r="H106" s="4" t="n"/>
      <c r="I106" s="5">
        <f>IF(E106="","",ROUND(E106*0.21,2))</f>
        <v/>
      </c>
      <c r="J106" s="5">
        <f>IF(F106="","",ROUND(F106*0.1,2))</f>
        <v/>
      </c>
      <c r="K106" s="5">
        <f>IF(G106="","",ROUND(G106*0.04,2))</f>
        <v/>
      </c>
      <c r="L106" s="4" t="n"/>
      <c r="M106" s="4" t="n"/>
      <c r="N106" s="5">
        <f>IF(A106="","",SUM(E106:K106)-N(L106))</f>
        <v/>
      </c>
      <c r="O106">
        <f>IF(OR(A106="",M106=""),"",IF(ABS(M106-N106)&lt;=0.02,"OK","REVISAR"))</f>
        <v/>
      </c>
      <c r="P106">
        <f>IF(D106="","",IF(LEN(TRIM(D106))&lt;&gt;9,"REVISAR",IFERROR(IF(OR(ISNUMBER(VALUE(LEFT(UPPER(TRIM(D106)),1))),LEFT(UPPER(TRIM(D106)),1)="X",LEFT(UPPER(TRIM(D106)),1)="Y",LEFT(UPPER(TRIM(D106)),1)="Z"),IF(MID("TRWAGMYFPDXBNJZSQVHLCKE",MOD(VALUE(SUBSTITUTE(SUBSTITUTE(SUBSTITUTE(LEFT(UPPER(TRIM(D106)),8),"X","0"),"Y","1"),"Z","2")),23)+1,1)=RIGHT(UPPER(TRIM(D106)),1),"OK","REVISAR"),IF(OR(RIGHT(UPPER(TRIM(D106)),1)=TEXT(MOD(10-MOD((VALUE(MID(UPPER(TRIM(D106)),3,1))+VALUE(MID(UPPER(TRIM(D106)),5,1))+VALUE(MID(UPPER(TRIM(D106)),7,1)))+(INT(2*VALUE(MID(UPPER(TRIM(D106)),2,1))/10)+MOD(2*VALUE(MID(UPPER(TRIM(D106)),2,1)),10))+(INT(2*VALUE(MID(UPPER(TRIM(D106)),4,1))/10)+MOD(2*VALUE(MID(UPPER(TRIM(D106)),4,1)),10))+(INT(2*VALUE(MID(UPPER(TRIM(D106)),6,1))/10)+MOD(2*VALUE(MID(UPPER(TRIM(D106)),6,1)),10))+(INT(2*VALUE(MID(UPPER(TRIM(D106)),8,1))/10)+MOD(2*VALUE(MID(UPPER(TRIM(D106)),8,1)),10)),10),10),"0"),RIGHT(UPPER(TRIM(D106)),1)=MID("JABCDEFGHI",MOD(10-MOD((VALUE(MID(UPPER(TRIM(D106)),3,1))+VALUE(MID(UPPER(TRIM(D106)),5,1))+VALUE(MID(UPPER(TRIM(D106)),7,1)))+(INT(2*VALUE(MID(UPPER(TRIM(D106)),2,1))/10)+MOD(2*VALUE(MID(UPPER(TRIM(D106)),2,1)),10))+(INT(2*VALUE(MID(UPPER(TRIM(D106)),4,1))/10)+MOD(2*VALUE(MID(UPPER(TRIM(D106)),4,1)),10))+(INT(2*VALUE(MID(UPPER(TRIM(D106)),6,1))/10)+MOD(2*VALUE(MID(UPPER(TRIM(D106)),6,1)),10))+(INT(2*VALUE(MID(UPPER(TRIM(D106)),8,1))/10)+MOD(2*VALUE(MID(UPPER(TRIM(D106)),8,1)),10)),10),10)+1,1)),"OK","REVISAR")),"REVISAR")))</f>
        <v/>
      </c>
      <c r="Q106">
        <f>IF(B106="","",IF(COUNTIFS($B$2:$B$501,B106,$D$2:$D$501,D106)&gt;1,"DUPLICADA",""))</f>
        <v/>
      </c>
      <c r="R106">
        <f>IF(A106="","",ROUNDUP(MONTH(A106)/3,0))</f>
        <v/>
      </c>
      <c r="S106" s="3" t="n"/>
    </row>
    <row r="107">
      <c r="A107" s="2" t="n"/>
      <c r="B107" s="3" t="n"/>
      <c r="C107" s="3" t="n"/>
      <c r="D107" s="3" t="n"/>
      <c r="E107" s="4" t="n"/>
      <c r="F107" s="4" t="n"/>
      <c r="G107" s="4" t="n"/>
      <c r="H107" s="4" t="n"/>
      <c r="I107" s="5">
        <f>IF(E107="","",ROUND(E107*0.21,2))</f>
        <v/>
      </c>
      <c r="J107" s="5">
        <f>IF(F107="","",ROUND(F107*0.1,2))</f>
        <v/>
      </c>
      <c r="K107" s="5">
        <f>IF(G107="","",ROUND(G107*0.04,2))</f>
        <v/>
      </c>
      <c r="L107" s="4" t="n"/>
      <c r="M107" s="4" t="n"/>
      <c r="N107" s="5">
        <f>IF(A107="","",SUM(E107:K107)-N(L107))</f>
        <v/>
      </c>
      <c r="O107">
        <f>IF(OR(A107="",M107=""),"",IF(ABS(M107-N107)&lt;=0.02,"OK","REVISAR"))</f>
        <v/>
      </c>
      <c r="P107">
        <f>IF(D107="","",IF(LEN(TRIM(D107))&lt;&gt;9,"REVISAR",IFERROR(IF(OR(ISNUMBER(VALUE(LEFT(UPPER(TRIM(D107)),1))),LEFT(UPPER(TRIM(D107)),1)="X",LEFT(UPPER(TRIM(D107)),1)="Y",LEFT(UPPER(TRIM(D107)),1)="Z"),IF(MID("TRWAGMYFPDXBNJZSQVHLCKE",MOD(VALUE(SUBSTITUTE(SUBSTITUTE(SUBSTITUTE(LEFT(UPPER(TRIM(D107)),8),"X","0"),"Y","1"),"Z","2")),23)+1,1)=RIGHT(UPPER(TRIM(D107)),1),"OK","REVISAR"),IF(OR(RIGHT(UPPER(TRIM(D107)),1)=TEXT(MOD(10-MOD((VALUE(MID(UPPER(TRIM(D107)),3,1))+VALUE(MID(UPPER(TRIM(D107)),5,1))+VALUE(MID(UPPER(TRIM(D107)),7,1)))+(INT(2*VALUE(MID(UPPER(TRIM(D107)),2,1))/10)+MOD(2*VALUE(MID(UPPER(TRIM(D107)),2,1)),10))+(INT(2*VALUE(MID(UPPER(TRIM(D107)),4,1))/10)+MOD(2*VALUE(MID(UPPER(TRIM(D107)),4,1)),10))+(INT(2*VALUE(MID(UPPER(TRIM(D107)),6,1))/10)+MOD(2*VALUE(MID(UPPER(TRIM(D107)),6,1)),10))+(INT(2*VALUE(MID(UPPER(TRIM(D107)),8,1))/10)+MOD(2*VALUE(MID(UPPER(TRIM(D107)),8,1)),10)),10),10),"0"),RIGHT(UPPER(TRIM(D107)),1)=MID("JABCDEFGHI",MOD(10-MOD((VALUE(MID(UPPER(TRIM(D107)),3,1))+VALUE(MID(UPPER(TRIM(D107)),5,1))+VALUE(MID(UPPER(TRIM(D107)),7,1)))+(INT(2*VALUE(MID(UPPER(TRIM(D107)),2,1))/10)+MOD(2*VALUE(MID(UPPER(TRIM(D107)),2,1)),10))+(INT(2*VALUE(MID(UPPER(TRIM(D107)),4,1))/10)+MOD(2*VALUE(MID(UPPER(TRIM(D107)),4,1)),10))+(INT(2*VALUE(MID(UPPER(TRIM(D107)),6,1))/10)+MOD(2*VALUE(MID(UPPER(TRIM(D107)),6,1)),10))+(INT(2*VALUE(MID(UPPER(TRIM(D107)),8,1))/10)+MOD(2*VALUE(MID(UPPER(TRIM(D107)),8,1)),10)),10),10)+1,1)),"OK","REVISAR")),"REVISAR")))</f>
        <v/>
      </c>
      <c r="Q107">
        <f>IF(B107="","",IF(COUNTIFS($B$2:$B$501,B107,$D$2:$D$501,D107)&gt;1,"DUPLICADA",""))</f>
        <v/>
      </c>
      <c r="R107">
        <f>IF(A107="","",ROUNDUP(MONTH(A107)/3,0))</f>
        <v/>
      </c>
      <c r="S107" s="3" t="n"/>
    </row>
    <row r="108">
      <c r="A108" s="2" t="n"/>
      <c r="B108" s="3" t="n"/>
      <c r="C108" s="3" t="n"/>
      <c r="D108" s="3" t="n"/>
      <c r="E108" s="4" t="n"/>
      <c r="F108" s="4" t="n"/>
      <c r="G108" s="4" t="n"/>
      <c r="H108" s="4" t="n"/>
      <c r="I108" s="5">
        <f>IF(E108="","",ROUND(E108*0.21,2))</f>
        <v/>
      </c>
      <c r="J108" s="5">
        <f>IF(F108="","",ROUND(F108*0.1,2))</f>
        <v/>
      </c>
      <c r="K108" s="5">
        <f>IF(G108="","",ROUND(G108*0.04,2))</f>
        <v/>
      </c>
      <c r="L108" s="4" t="n"/>
      <c r="M108" s="4" t="n"/>
      <c r="N108" s="5">
        <f>IF(A108="","",SUM(E108:K108)-N(L108))</f>
        <v/>
      </c>
      <c r="O108">
        <f>IF(OR(A108="",M108=""),"",IF(ABS(M108-N108)&lt;=0.02,"OK","REVISAR"))</f>
        <v/>
      </c>
      <c r="P108">
        <f>IF(D108="","",IF(LEN(TRIM(D108))&lt;&gt;9,"REVISAR",IFERROR(IF(OR(ISNUMBER(VALUE(LEFT(UPPER(TRIM(D108)),1))),LEFT(UPPER(TRIM(D108)),1)="X",LEFT(UPPER(TRIM(D108)),1)="Y",LEFT(UPPER(TRIM(D108)),1)="Z"),IF(MID("TRWAGMYFPDXBNJZSQVHLCKE",MOD(VALUE(SUBSTITUTE(SUBSTITUTE(SUBSTITUTE(LEFT(UPPER(TRIM(D108)),8),"X","0"),"Y","1"),"Z","2")),23)+1,1)=RIGHT(UPPER(TRIM(D108)),1),"OK","REVISAR"),IF(OR(RIGHT(UPPER(TRIM(D108)),1)=TEXT(MOD(10-MOD((VALUE(MID(UPPER(TRIM(D108)),3,1))+VALUE(MID(UPPER(TRIM(D108)),5,1))+VALUE(MID(UPPER(TRIM(D108)),7,1)))+(INT(2*VALUE(MID(UPPER(TRIM(D108)),2,1))/10)+MOD(2*VALUE(MID(UPPER(TRIM(D108)),2,1)),10))+(INT(2*VALUE(MID(UPPER(TRIM(D108)),4,1))/10)+MOD(2*VALUE(MID(UPPER(TRIM(D108)),4,1)),10))+(INT(2*VALUE(MID(UPPER(TRIM(D108)),6,1))/10)+MOD(2*VALUE(MID(UPPER(TRIM(D108)),6,1)),10))+(INT(2*VALUE(MID(UPPER(TRIM(D108)),8,1))/10)+MOD(2*VALUE(MID(UPPER(TRIM(D108)),8,1)),10)),10),10),"0"),RIGHT(UPPER(TRIM(D108)),1)=MID("JABCDEFGHI",MOD(10-MOD((VALUE(MID(UPPER(TRIM(D108)),3,1))+VALUE(MID(UPPER(TRIM(D108)),5,1))+VALUE(MID(UPPER(TRIM(D108)),7,1)))+(INT(2*VALUE(MID(UPPER(TRIM(D108)),2,1))/10)+MOD(2*VALUE(MID(UPPER(TRIM(D108)),2,1)),10))+(INT(2*VALUE(MID(UPPER(TRIM(D108)),4,1))/10)+MOD(2*VALUE(MID(UPPER(TRIM(D108)),4,1)),10))+(INT(2*VALUE(MID(UPPER(TRIM(D108)),6,1))/10)+MOD(2*VALUE(MID(UPPER(TRIM(D108)),6,1)),10))+(INT(2*VALUE(MID(UPPER(TRIM(D108)),8,1))/10)+MOD(2*VALUE(MID(UPPER(TRIM(D108)),8,1)),10)),10),10)+1,1)),"OK","REVISAR")),"REVISAR")))</f>
        <v/>
      </c>
      <c r="Q108">
        <f>IF(B108="","",IF(COUNTIFS($B$2:$B$501,B108,$D$2:$D$501,D108)&gt;1,"DUPLICADA",""))</f>
        <v/>
      </c>
      <c r="R108">
        <f>IF(A108="","",ROUNDUP(MONTH(A108)/3,0))</f>
        <v/>
      </c>
      <c r="S108" s="3" t="n"/>
    </row>
    <row r="109">
      <c r="A109" s="2" t="n"/>
      <c r="B109" s="3" t="n"/>
      <c r="C109" s="3" t="n"/>
      <c r="D109" s="3" t="n"/>
      <c r="E109" s="4" t="n"/>
      <c r="F109" s="4" t="n"/>
      <c r="G109" s="4" t="n"/>
      <c r="H109" s="4" t="n"/>
      <c r="I109" s="5">
        <f>IF(E109="","",ROUND(E109*0.21,2))</f>
        <v/>
      </c>
      <c r="J109" s="5">
        <f>IF(F109="","",ROUND(F109*0.1,2))</f>
        <v/>
      </c>
      <c r="K109" s="5">
        <f>IF(G109="","",ROUND(G109*0.04,2))</f>
        <v/>
      </c>
      <c r="L109" s="4" t="n"/>
      <c r="M109" s="4" t="n"/>
      <c r="N109" s="5">
        <f>IF(A109="","",SUM(E109:K109)-N(L109))</f>
        <v/>
      </c>
      <c r="O109">
        <f>IF(OR(A109="",M109=""),"",IF(ABS(M109-N109)&lt;=0.02,"OK","REVISAR"))</f>
        <v/>
      </c>
      <c r="P109">
        <f>IF(D109="","",IF(LEN(TRIM(D109))&lt;&gt;9,"REVISAR",IFERROR(IF(OR(ISNUMBER(VALUE(LEFT(UPPER(TRIM(D109)),1))),LEFT(UPPER(TRIM(D109)),1)="X",LEFT(UPPER(TRIM(D109)),1)="Y",LEFT(UPPER(TRIM(D109)),1)="Z"),IF(MID("TRWAGMYFPDXBNJZSQVHLCKE",MOD(VALUE(SUBSTITUTE(SUBSTITUTE(SUBSTITUTE(LEFT(UPPER(TRIM(D109)),8),"X","0"),"Y","1"),"Z","2")),23)+1,1)=RIGHT(UPPER(TRIM(D109)),1),"OK","REVISAR"),IF(OR(RIGHT(UPPER(TRIM(D109)),1)=TEXT(MOD(10-MOD((VALUE(MID(UPPER(TRIM(D109)),3,1))+VALUE(MID(UPPER(TRIM(D109)),5,1))+VALUE(MID(UPPER(TRIM(D109)),7,1)))+(INT(2*VALUE(MID(UPPER(TRIM(D109)),2,1))/10)+MOD(2*VALUE(MID(UPPER(TRIM(D109)),2,1)),10))+(INT(2*VALUE(MID(UPPER(TRIM(D109)),4,1))/10)+MOD(2*VALUE(MID(UPPER(TRIM(D109)),4,1)),10))+(INT(2*VALUE(MID(UPPER(TRIM(D109)),6,1))/10)+MOD(2*VALUE(MID(UPPER(TRIM(D109)),6,1)),10))+(INT(2*VALUE(MID(UPPER(TRIM(D109)),8,1))/10)+MOD(2*VALUE(MID(UPPER(TRIM(D109)),8,1)),10)),10),10),"0"),RIGHT(UPPER(TRIM(D109)),1)=MID("JABCDEFGHI",MOD(10-MOD((VALUE(MID(UPPER(TRIM(D109)),3,1))+VALUE(MID(UPPER(TRIM(D109)),5,1))+VALUE(MID(UPPER(TRIM(D109)),7,1)))+(INT(2*VALUE(MID(UPPER(TRIM(D109)),2,1))/10)+MOD(2*VALUE(MID(UPPER(TRIM(D109)),2,1)),10))+(INT(2*VALUE(MID(UPPER(TRIM(D109)),4,1))/10)+MOD(2*VALUE(MID(UPPER(TRIM(D109)),4,1)),10))+(INT(2*VALUE(MID(UPPER(TRIM(D109)),6,1))/10)+MOD(2*VALUE(MID(UPPER(TRIM(D109)),6,1)),10))+(INT(2*VALUE(MID(UPPER(TRIM(D109)),8,1))/10)+MOD(2*VALUE(MID(UPPER(TRIM(D109)),8,1)),10)),10),10)+1,1)),"OK","REVISAR")),"REVISAR")))</f>
        <v/>
      </c>
      <c r="Q109">
        <f>IF(B109="","",IF(COUNTIFS($B$2:$B$501,B109,$D$2:$D$501,D109)&gt;1,"DUPLICADA",""))</f>
        <v/>
      </c>
      <c r="R109">
        <f>IF(A109="","",ROUNDUP(MONTH(A109)/3,0))</f>
        <v/>
      </c>
      <c r="S109" s="3" t="n"/>
    </row>
    <row r="110">
      <c r="A110" s="2" t="n"/>
      <c r="B110" s="3" t="n"/>
      <c r="C110" s="3" t="n"/>
      <c r="D110" s="3" t="n"/>
      <c r="E110" s="4" t="n"/>
      <c r="F110" s="4" t="n"/>
      <c r="G110" s="4" t="n"/>
      <c r="H110" s="4" t="n"/>
      <c r="I110" s="5">
        <f>IF(E110="","",ROUND(E110*0.21,2))</f>
        <v/>
      </c>
      <c r="J110" s="5">
        <f>IF(F110="","",ROUND(F110*0.1,2))</f>
        <v/>
      </c>
      <c r="K110" s="5">
        <f>IF(G110="","",ROUND(G110*0.04,2))</f>
        <v/>
      </c>
      <c r="L110" s="4" t="n"/>
      <c r="M110" s="4" t="n"/>
      <c r="N110" s="5">
        <f>IF(A110="","",SUM(E110:K110)-N(L110))</f>
        <v/>
      </c>
      <c r="O110">
        <f>IF(OR(A110="",M110=""),"",IF(ABS(M110-N110)&lt;=0.02,"OK","REVISAR"))</f>
        <v/>
      </c>
      <c r="P110">
        <f>IF(D110="","",IF(LEN(TRIM(D110))&lt;&gt;9,"REVISAR",IFERROR(IF(OR(ISNUMBER(VALUE(LEFT(UPPER(TRIM(D110)),1))),LEFT(UPPER(TRIM(D110)),1)="X",LEFT(UPPER(TRIM(D110)),1)="Y",LEFT(UPPER(TRIM(D110)),1)="Z"),IF(MID("TRWAGMYFPDXBNJZSQVHLCKE",MOD(VALUE(SUBSTITUTE(SUBSTITUTE(SUBSTITUTE(LEFT(UPPER(TRIM(D110)),8),"X","0"),"Y","1"),"Z","2")),23)+1,1)=RIGHT(UPPER(TRIM(D110)),1),"OK","REVISAR"),IF(OR(RIGHT(UPPER(TRIM(D110)),1)=TEXT(MOD(10-MOD((VALUE(MID(UPPER(TRIM(D110)),3,1))+VALUE(MID(UPPER(TRIM(D110)),5,1))+VALUE(MID(UPPER(TRIM(D110)),7,1)))+(INT(2*VALUE(MID(UPPER(TRIM(D110)),2,1))/10)+MOD(2*VALUE(MID(UPPER(TRIM(D110)),2,1)),10))+(INT(2*VALUE(MID(UPPER(TRIM(D110)),4,1))/10)+MOD(2*VALUE(MID(UPPER(TRIM(D110)),4,1)),10))+(INT(2*VALUE(MID(UPPER(TRIM(D110)),6,1))/10)+MOD(2*VALUE(MID(UPPER(TRIM(D110)),6,1)),10))+(INT(2*VALUE(MID(UPPER(TRIM(D110)),8,1))/10)+MOD(2*VALUE(MID(UPPER(TRIM(D110)),8,1)),10)),10),10),"0"),RIGHT(UPPER(TRIM(D110)),1)=MID("JABCDEFGHI",MOD(10-MOD((VALUE(MID(UPPER(TRIM(D110)),3,1))+VALUE(MID(UPPER(TRIM(D110)),5,1))+VALUE(MID(UPPER(TRIM(D110)),7,1)))+(INT(2*VALUE(MID(UPPER(TRIM(D110)),2,1))/10)+MOD(2*VALUE(MID(UPPER(TRIM(D110)),2,1)),10))+(INT(2*VALUE(MID(UPPER(TRIM(D110)),4,1))/10)+MOD(2*VALUE(MID(UPPER(TRIM(D110)),4,1)),10))+(INT(2*VALUE(MID(UPPER(TRIM(D110)),6,1))/10)+MOD(2*VALUE(MID(UPPER(TRIM(D110)),6,1)),10))+(INT(2*VALUE(MID(UPPER(TRIM(D110)),8,1))/10)+MOD(2*VALUE(MID(UPPER(TRIM(D110)),8,1)),10)),10),10)+1,1)),"OK","REVISAR")),"REVISAR")))</f>
        <v/>
      </c>
      <c r="Q110">
        <f>IF(B110="","",IF(COUNTIFS($B$2:$B$501,B110,$D$2:$D$501,D110)&gt;1,"DUPLICADA",""))</f>
        <v/>
      </c>
      <c r="R110">
        <f>IF(A110="","",ROUNDUP(MONTH(A110)/3,0))</f>
        <v/>
      </c>
      <c r="S110" s="3" t="n"/>
    </row>
    <row r="111">
      <c r="A111" s="2" t="n"/>
      <c r="B111" s="3" t="n"/>
      <c r="C111" s="3" t="n"/>
      <c r="D111" s="3" t="n"/>
      <c r="E111" s="4" t="n"/>
      <c r="F111" s="4" t="n"/>
      <c r="G111" s="4" t="n"/>
      <c r="H111" s="4" t="n"/>
      <c r="I111" s="5">
        <f>IF(E111="","",ROUND(E111*0.21,2))</f>
        <v/>
      </c>
      <c r="J111" s="5">
        <f>IF(F111="","",ROUND(F111*0.1,2))</f>
        <v/>
      </c>
      <c r="K111" s="5">
        <f>IF(G111="","",ROUND(G111*0.04,2))</f>
        <v/>
      </c>
      <c r="L111" s="4" t="n"/>
      <c r="M111" s="4" t="n"/>
      <c r="N111" s="5">
        <f>IF(A111="","",SUM(E111:K111)-N(L111))</f>
        <v/>
      </c>
      <c r="O111">
        <f>IF(OR(A111="",M111=""),"",IF(ABS(M111-N111)&lt;=0.02,"OK","REVISAR"))</f>
        <v/>
      </c>
      <c r="P111">
        <f>IF(D111="","",IF(LEN(TRIM(D111))&lt;&gt;9,"REVISAR",IFERROR(IF(OR(ISNUMBER(VALUE(LEFT(UPPER(TRIM(D111)),1))),LEFT(UPPER(TRIM(D111)),1)="X",LEFT(UPPER(TRIM(D111)),1)="Y",LEFT(UPPER(TRIM(D111)),1)="Z"),IF(MID("TRWAGMYFPDXBNJZSQVHLCKE",MOD(VALUE(SUBSTITUTE(SUBSTITUTE(SUBSTITUTE(LEFT(UPPER(TRIM(D111)),8),"X","0"),"Y","1"),"Z","2")),23)+1,1)=RIGHT(UPPER(TRIM(D111)),1),"OK","REVISAR"),IF(OR(RIGHT(UPPER(TRIM(D111)),1)=TEXT(MOD(10-MOD((VALUE(MID(UPPER(TRIM(D111)),3,1))+VALUE(MID(UPPER(TRIM(D111)),5,1))+VALUE(MID(UPPER(TRIM(D111)),7,1)))+(INT(2*VALUE(MID(UPPER(TRIM(D111)),2,1))/10)+MOD(2*VALUE(MID(UPPER(TRIM(D111)),2,1)),10))+(INT(2*VALUE(MID(UPPER(TRIM(D111)),4,1))/10)+MOD(2*VALUE(MID(UPPER(TRIM(D111)),4,1)),10))+(INT(2*VALUE(MID(UPPER(TRIM(D111)),6,1))/10)+MOD(2*VALUE(MID(UPPER(TRIM(D111)),6,1)),10))+(INT(2*VALUE(MID(UPPER(TRIM(D111)),8,1))/10)+MOD(2*VALUE(MID(UPPER(TRIM(D111)),8,1)),10)),10),10),"0"),RIGHT(UPPER(TRIM(D111)),1)=MID("JABCDEFGHI",MOD(10-MOD((VALUE(MID(UPPER(TRIM(D111)),3,1))+VALUE(MID(UPPER(TRIM(D111)),5,1))+VALUE(MID(UPPER(TRIM(D111)),7,1)))+(INT(2*VALUE(MID(UPPER(TRIM(D111)),2,1))/10)+MOD(2*VALUE(MID(UPPER(TRIM(D111)),2,1)),10))+(INT(2*VALUE(MID(UPPER(TRIM(D111)),4,1))/10)+MOD(2*VALUE(MID(UPPER(TRIM(D111)),4,1)),10))+(INT(2*VALUE(MID(UPPER(TRIM(D111)),6,1))/10)+MOD(2*VALUE(MID(UPPER(TRIM(D111)),6,1)),10))+(INT(2*VALUE(MID(UPPER(TRIM(D111)),8,1))/10)+MOD(2*VALUE(MID(UPPER(TRIM(D111)),8,1)),10)),10),10)+1,1)),"OK","REVISAR")),"REVISAR")))</f>
        <v/>
      </c>
      <c r="Q111">
        <f>IF(B111="","",IF(COUNTIFS($B$2:$B$501,B111,$D$2:$D$501,D111)&gt;1,"DUPLICADA",""))</f>
        <v/>
      </c>
      <c r="R111">
        <f>IF(A111="","",ROUNDUP(MONTH(A111)/3,0))</f>
        <v/>
      </c>
      <c r="S111" s="3" t="n"/>
    </row>
    <row r="112">
      <c r="A112" s="2" t="n"/>
      <c r="B112" s="3" t="n"/>
      <c r="C112" s="3" t="n"/>
      <c r="D112" s="3" t="n"/>
      <c r="E112" s="4" t="n"/>
      <c r="F112" s="4" t="n"/>
      <c r="G112" s="4" t="n"/>
      <c r="H112" s="4" t="n"/>
      <c r="I112" s="5">
        <f>IF(E112="","",ROUND(E112*0.21,2))</f>
        <v/>
      </c>
      <c r="J112" s="5">
        <f>IF(F112="","",ROUND(F112*0.1,2))</f>
        <v/>
      </c>
      <c r="K112" s="5">
        <f>IF(G112="","",ROUND(G112*0.04,2))</f>
        <v/>
      </c>
      <c r="L112" s="4" t="n"/>
      <c r="M112" s="4" t="n"/>
      <c r="N112" s="5">
        <f>IF(A112="","",SUM(E112:K112)-N(L112))</f>
        <v/>
      </c>
      <c r="O112">
        <f>IF(OR(A112="",M112=""),"",IF(ABS(M112-N112)&lt;=0.02,"OK","REVISAR"))</f>
        <v/>
      </c>
      <c r="P112">
        <f>IF(D112="","",IF(LEN(TRIM(D112))&lt;&gt;9,"REVISAR",IFERROR(IF(OR(ISNUMBER(VALUE(LEFT(UPPER(TRIM(D112)),1))),LEFT(UPPER(TRIM(D112)),1)="X",LEFT(UPPER(TRIM(D112)),1)="Y",LEFT(UPPER(TRIM(D112)),1)="Z"),IF(MID("TRWAGMYFPDXBNJZSQVHLCKE",MOD(VALUE(SUBSTITUTE(SUBSTITUTE(SUBSTITUTE(LEFT(UPPER(TRIM(D112)),8),"X","0"),"Y","1"),"Z","2")),23)+1,1)=RIGHT(UPPER(TRIM(D112)),1),"OK","REVISAR"),IF(OR(RIGHT(UPPER(TRIM(D112)),1)=TEXT(MOD(10-MOD((VALUE(MID(UPPER(TRIM(D112)),3,1))+VALUE(MID(UPPER(TRIM(D112)),5,1))+VALUE(MID(UPPER(TRIM(D112)),7,1)))+(INT(2*VALUE(MID(UPPER(TRIM(D112)),2,1))/10)+MOD(2*VALUE(MID(UPPER(TRIM(D112)),2,1)),10))+(INT(2*VALUE(MID(UPPER(TRIM(D112)),4,1))/10)+MOD(2*VALUE(MID(UPPER(TRIM(D112)),4,1)),10))+(INT(2*VALUE(MID(UPPER(TRIM(D112)),6,1))/10)+MOD(2*VALUE(MID(UPPER(TRIM(D112)),6,1)),10))+(INT(2*VALUE(MID(UPPER(TRIM(D112)),8,1))/10)+MOD(2*VALUE(MID(UPPER(TRIM(D112)),8,1)),10)),10),10),"0"),RIGHT(UPPER(TRIM(D112)),1)=MID("JABCDEFGHI",MOD(10-MOD((VALUE(MID(UPPER(TRIM(D112)),3,1))+VALUE(MID(UPPER(TRIM(D112)),5,1))+VALUE(MID(UPPER(TRIM(D112)),7,1)))+(INT(2*VALUE(MID(UPPER(TRIM(D112)),2,1))/10)+MOD(2*VALUE(MID(UPPER(TRIM(D112)),2,1)),10))+(INT(2*VALUE(MID(UPPER(TRIM(D112)),4,1))/10)+MOD(2*VALUE(MID(UPPER(TRIM(D112)),4,1)),10))+(INT(2*VALUE(MID(UPPER(TRIM(D112)),6,1))/10)+MOD(2*VALUE(MID(UPPER(TRIM(D112)),6,1)),10))+(INT(2*VALUE(MID(UPPER(TRIM(D112)),8,1))/10)+MOD(2*VALUE(MID(UPPER(TRIM(D112)),8,1)),10)),10),10)+1,1)),"OK","REVISAR")),"REVISAR")))</f>
        <v/>
      </c>
      <c r="Q112">
        <f>IF(B112="","",IF(COUNTIFS($B$2:$B$501,B112,$D$2:$D$501,D112)&gt;1,"DUPLICADA",""))</f>
        <v/>
      </c>
      <c r="R112">
        <f>IF(A112="","",ROUNDUP(MONTH(A112)/3,0))</f>
        <v/>
      </c>
      <c r="S112" s="3" t="n"/>
    </row>
    <row r="113">
      <c r="A113" s="2" t="n"/>
      <c r="B113" s="3" t="n"/>
      <c r="C113" s="3" t="n"/>
      <c r="D113" s="3" t="n"/>
      <c r="E113" s="4" t="n"/>
      <c r="F113" s="4" t="n"/>
      <c r="G113" s="4" t="n"/>
      <c r="H113" s="4" t="n"/>
      <c r="I113" s="5">
        <f>IF(E113="","",ROUND(E113*0.21,2))</f>
        <v/>
      </c>
      <c r="J113" s="5">
        <f>IF(F113="","",ROUND(F113*0.1,2))</f>
        <v/>
      </c>
      <c r="K113" s="5">
        <f>IF(G113="","",ROUND(G113*0.04,2))</f>
        <v/>
      </c>
      <c r="L113" s="4" t="n"/>
      <c r="M113" s="4" t="n"/>
      <c r="N113" s="5">
        <f>IF(A113="","",SUM(E113:K113)-N(L113))</f>
        <v/>
      </c>
      <c r="O113">
        <f>IF(OR(A113="",M113=""),"",IF(ABS(M113-N113)&lt;=0.02,"OK","REVISAR"))</f>
        <v/>
      </c>
      <c r="P113">
        <f>IF(D113="","",IF(LEN(TRIM(D113))&lt;&gt;9,"REVISAR",IFERROR(IF(OR(ISNUMBER(VALUE(LEFT(UPPER(TRIM(D113)),1))),LEFT(UPPER(TRIM(D113)),1)="X",LEFT(UPPER(TRIM(D113)),1)="Y",LEFT(UPPER(TRIM(D113)),1)="Z"),IF(MID("TRWAGMYFPDXBNJZSQVHLCKE",MOD(VALUE(SUBSTITUTE(SUBSTITUTE(SUBSTITUTE(LEFT(UPPER(TRIM(D113)),8),"X","0"),"Y","1"),"Z","2")),23)+1,1)=RIGHT(UPPER(TRIM(D113)),1),"OK","REVISAR"),IF(OR(RIGHT(UPPER(TRIM(D113)),1)=TEXT(MOD(10-MOD((VALUE(MID(UPPER(TRIM(D113)),3,1))+VALUE(MID(UPPER(TRIM(D113)),5,1))+VALUE(MID(UPPER(TRIM(D113)),7,1)))+(INT(2*VALUE(MID(UPPER(TRIM(D113)),2,1))/10)+MOD(2*VALUE(MID(UPPER(TRIM(D113)),2,1)),10))+(INT(2*VALUE(MID(UPPER(TRIM(D113)),4,1))/10)+MOD(2*VALUE(MID(UPPER(TRIM(D113)),4,1)),10))+(INT(2*VALUE(MID(UPPER(TRIM(D113)),6,1))/10)+MOD(2*VALUE(MID(UPPER(TRIM(D113)),6,1)),10))+(INT(2*VALUE(MID(UPPER(TRIM(D113)),8,1))/10)+MOD(2*VALUE(MID(UPPER(TRIM(D113)),8,1)),10)),10),10),"0"),RIGHT(UPPER(TRIM(D113)),1)=MID("JABCDEFGHI",MOD(10-MOD((VALUE(MID(UPPER(TRIM(D113)),3,1))+VALUE(MID(UPPER(TRIM(D113)),5,1))+VALUE(MID(UPPER(TRIM(D113)),7,1)))+(INT(2*VALUE(MID(UPPER(TRIM(D113)),2,1))/10)+MOD(2*VALUE(MID(UPPER(TRIM(D113)),2,1)),10))+(INT(2*VALUE(MID(UPPER(TRIM(D113)),4,1))/10)+MOD(2*VALUE(MID(UPPER(TRIM(D113)),4,1)),10))+(INT(2*VALUE(MID(UPPER(TRIM(D113)),6,1))/10)+MOD(2*VALUE(MID(UPPER(TRIM(D113)),6,1)),10))+(INT(2*VALUE(MID(UPPER(TRIM(D113)),8,1))/10)+MOD(2*VALUE(MID(UPPER(TRIM(D113)),8,1)),10)),10),10)+1,1)),"OK","REVISAR")),"REVISAR")))</f>
        <v/>
      </c>
      <c r="Q113">
        <f>IF(B113="","",IF(COUNTIFS($B$2:$B$501,B113,$D$2:$D$501,D113)&gt;1,"DUPLICADA",""))</f>
        <v/>
      </c>
      <c r="R113">
        <f>IF(A113="","",ROUNDUP(MONTH(A113)/3,0))</f>
        <v/>
      </c>
      <c r="S113" s="3" t="n"/>
    </row>
    <row r="114">
      <c r="A114" s="2" t="n"/>
      <c r="B114" s="3" t="n"/>
      <c r="C114" s="3" t="n"/>
      <c r="D114" s="3" t="n"/>
      <c r="E114" s="4" t="n"/>
      <c r="F114" s="4" t="n"/>
      <c r="G114" s="4" t="n"/>
      <c r="H114" s="4" t="n"/>
      <c r="I114" s="5">
        <f>IF(E114="","",ROUND(E114*0.21,2))</f>
        <v/>
      </c>
      <c r="J114" s="5">
        <f>IF(F114="","",ROUND(F114*0.1,2))</f>
        <v/>
      </c>
      <c r="K114" s="5">
        <f>IF(G114="","",ROUND(G114*0.04,2))</f>
        <v/>
      </c>
      <c r="L114" s="4" t="n"/>
      <c r="M114" s="4" t="n"/>
      <c r="N114" s="5">
        <f>IF(A114="","",SUM(E114:K114)-N(L114))</f>
        <v/>
      </c>
      <c r="O114">
        <f>IF(OR(A114="",M114=""),"",IF(ABS(M114-N114)&lt;=0.02,"OK","REVISAR"))</f>
        <v/>
      </c>
      <c r="P114">
        <f>IF(D114="","",IF(LEN(TRIM(D114))&lt;&gt;9,"REVISAR",IFERROR(IF(OR(ISNUMBER(VALUE(LEFT(UPPER(TRIM(D114)),1))),LEFT(UPPER(TRIM(D114)),1)="X",LEFT(UPPER(TRIM(D114)),1)="Y",LEFT(UPPER(TRIM(D114)),1)="Z"),IF(MID("TRWAGMYFPDXBNJZSQVHLCKE",MOD(VALUE(SUBSTITUTE(SUBSTITUTE(SUBSTITUTE(LEFT(UPPER(TRIM(D114)),8),"X","0"),"Y","1"),"Z","2")),23)+1,1)=RIGHT(UPPER(TRIM(D114)),1),"OK","REVISAR"),IF(OR(RIGHT(UPPER(TRIM(D114)),1)=TEXT(MOD(10-MOD((VALUE(MID(UPPER(TRIM(D114)),3,1))+VALUE(MID(UPPER(TRIM(D114)),5,1))+VALUE(MID(UPPER(TRIM(D114)),7,1)))+(INT(2*VALUE(MID(UPPER(TRIM(D114)),2,1))/10)+MOD(2*VALUE(MID(UPPER(TRIM(D114)),2,1)),10))+(INT(2*VALUE(MID(UPPER(TRIM(D114)),4,1))/10)+MOD(2*VALUE(MID(UPPER(TRIM(D114)),4,1)),10))+(INT(2*VALUE(MID(UPPER(TRIM(D114)),6,1))/10)+MOD(2*VALUE(MID(UPPER(TRIM(D114)),6,1)),10))+(INT(2*VALUE(MID(UPPER(TRIM(D114)),8,1))/10)+MOD(2*VALUE(MID(UPPER(TRIM(D114)),8,1)),10)),10),10),"0"),RIGHT(UPPER(TRIM(D114)),1)=MID("JABCDEFGHI",MOD(10-MOD((VALUE(MID(UPPER(TRIM(D114)),3,1))+VALUE(MID(UPPER(TRIM(D114)),5,1))+VALUE(MID(UPPER(TRIM(D114)),7,1)))+(INT(2*VALUE(MID(UPPER(TRIM(D114)),2,1))/10)+MOD(2*VALUE(MID(UPPER(TRIM(D114)),2,1)),10))+(INT(2*VALUE(MID(UPPER(TRIM(D114)),4,1))/10)+MOD(2*VALUE(MID(UPPER(TRIM(D114)),4,1)),10))+(INT(2*VALUE(MID(UPPER(TRIM(D114)),6,1))/10)+MOD(2*VALUE(MID(UPPER(TRIM(D114)),6,1)),10))+(INT(2*VALUE(MID(UPPER(TRIM(D114)),8,1))/10)+MOD(2*VALUE(MID(UPPER(TRIM(D114)),8,1)),10)),10),10)+1,1)),"OK","REVISAR")),"REVISAR")))</f>
        <v/>
      </c>
      <c r="Q114">
        <f>IF(B114="","",IF(COUNTIFS($B$2:$B$501,B114,$D$2:$D$501,D114)&gt;1,"DUPLICADA",""))</f>
        <v/>
      </c>
      <c r="R114">
        <f>IF(A114="","",ROUNDUP(MONTH(A114)/3,0))</f>
        <v/>
      </c>
      <c r="S114" s="3" t="n"/>
    </row>
    <row r="115">
      <c r="A115" s="2" t="n"/>
      <c r="B115" s="3" t="n"/>
      <c r="C115" s="3" t="n"/>
      <c r="D115" s="3" t="n"/>
      <c r="E115" s="4" t="n"/>
      <c r="F115" s="4" t="n"/>
      <c r="G115" s="4" t="n"/>
      <c r="H115" s="4" t="n"/>
      <c r="I115" s="5">
        <f>IF(E115="","",ROUND(E115*0.21,2))</f>
        <v/>
      </c>
      <c r="J115" s="5">
        <f>IF(F115="","",ROUND(F115*0.1,2))</f>
        <v/>
      </c>
      <c r="K115" s="5">
        <f>IF(G115="","",ROUND(G115*0.04,2))</f>
        <v/>
      </c>
      <c r="L115" s="4" t="n"/>
      <c r="M115" s="4" t="n"/>
      <c r="N115" s="5">
        <f>IF(A115="","",SUM(E115:K115)-N(L115))</f>
        <v/>
      </c>
      <c r="O115">
        <f>IF(OR(A115="",M115=""),"",IF(ABS(M115-N115)&lt;=0.02,"OK","REVISAR"))</f>
        <v/>
      </c>
      <c r="P115">
        <f>IF(D115="","",IF(LEN(TRIM(D115))&lt;&gt;9,"REVISAR",IFERROR(IF(OR(ISNUMBER(VALUE(LEFT(UPPER(TRIM(D115)),1))),LEFT(UPPER(TRIM(D115)),1)="X",LEFT(UPPER(TRIM(D115)),1)="Y",LEFT(UPPER(TRIM(D115)),1)="Z"),IF(MID("TRWAGMYFPDXBNJZSQVHLCKE",MOD(VALUE(SUBSTITUTE(SUBSTITUTE(SUBSTITUTE(LEFT(UPPER(TRIM(D115)),8),"X","0"),"Y","1"),"Z","2")),23)+1,1)=RIGHT(UPPER(TRIM(D115)),1),"OK","REVISAR"),IF(OR(RIGHT(UPPER(TRIM(D115)),1)=TEXT(MOD(10-MOD((VALUE(MID(UPPER(TRIM(D115)),3,1))+VALUE(MID(UPPER(TRIM(D115)),5,1))+VALUE(MID(UPPER(TRIM(D115)),7,1)))+(INT(2*VALUE(MID(UPPER(TRIM(D115)),2,1))/10)+MOD(2*VALUE(MID(UPPER(TRIM(D115)),2,1)),10))+(INT(2*VALUE(MID(UPPER(TRIM(D115)),4,1))/10)+MOD(2*VALUE(MID(UPPER(TRIM(D115)),4,1)),10))+(INT(2*VALUE(MID(UPPER(TRIM(D115)),6,1))/10)+MOD(2*VALUE(MID(UPPER(TRIM(D115)),6,1)),10))+(INT(2*VALUE(MID(UPPER(TRIM(D115)),8,1))/10)+MOD(2*VALUE(MID(UPPER(TRIM(D115)),8,1)),10)),10),10),"0"),RIGHT(UPPER(TRIM(D115)),1)=MID("JABCDEFGHI",MOD(10-MOD((VALUE(MID(UPPER(TRIM(D115)),3,1))+VALUE(MID(UPPER(TRIM(D115)),5,1))+VALUE(MID(UPPER(TRIM(D115)),7,1)))+(INT(2*VALUE(MID(UPPER(TRIM(D115)),2,1))/10)+MOD(2*VALUE(MID(UPPER(TRIM(D115)),2,1)),10))+(INT(2*VALUE(MID(UPPER(TRIM(D115)),4,1))/10)+MOD(2*VALUE(MID(UPPER(TRIM(D115)),4,1)),10))+(INT(2*VALUE(MID(UPPER(TRIM(D115)),6,1))/10)+MOD(2*VALUE(MID(UPPER(TRIM(D115)),6,1)),10))+(INT(2*VALUE(MID(UPPER(TRIM(D115)),8,1))/10)+MOD(2*VALUE(MID(UPPER(TRIM(D115)),8,1)),10)),10),10)+1,1)),"OK","REVISAR")),"REVISAR")))</f>
        <v/>
      </c>
      <c r="Q115">
        <f>IF(B115="","",IF(COUNTIFS($B$2:$B$501,B115,$D$2:$D$501,D115)&gt;1,"DUPLICADA",""))</f>
        <v/>
      </c>
      <c r="R115">
        <f>IF(A115="","",ROUNDUP(MONTH(A115)/3,0))</f>
        <v/>
      </c>
      <c r="S115" s="3" t="n"/>
    </row>
    <row r="116">
      <c r="A116" s="2" t="n"/>
      <c r="B116" s="3" t="n"/>
      <c r="C116" s="3" t="n"/>
      <c r="D116" s="3" t="n"/>
      <c r="E116" s="4" t="n"/>
      <c r="F116" s="4" t="n"/>
      <c r="G116" s="4" t="n"/>
      <c r="H116" s="4" t="n"/>
      <c r="I116" s="5">
        <f>IF(E116="","",ROUND(E116*0.21,2))</f>
        <v/>
      </c>
      <c r="J116" s="5">
        <f>IF(F116="","",ROUND(F116*0.1,2))</f>
        <v/>
      </c>
      <c r="K116" s="5">
        <f>IF(G116="","",ROUND(G116*0.04,2))</f>
        <v/>
      </c>
      <c r="L116" s="4" t="n"/>
      <c r="M116" s="4" t="n"/>
      <c r="N116" s="5">
        <f>IF(A116="","",SUM(E116:K116)-N(L116))</f>
        <v/>
      </c>
      <c r="O116">
        <f>IF(OR(A116="",M116=""),"",IF(ABS(M116-N116)&lt;=0.02,"OK","REVISAR"))</f>
        <v/>
      </c>
      <c r="P116">
        <f>IF(D116="","",IF(LEN(TRIM(D116))&lt;&gt;9,"REVISAR",IFERROR(IF(OR(ISNUMBER(VALUE(LEFT(UPPER(TRIM(D116)),1))),LEFT(UPPER(TRIM(D116)),1)="X",LEFT(UPPER(TRIM(D116)),1)="Y",LEFT(UPPER(TRIM(D116)),1)="Z"),IF(MID("TRWAGMYFPDXBNJZSQVHLCKE",MOD(VALUE(SUBSTITUTE(SUBSTITUTE(SUBSTITUTE(LEFT(UPPER(TRIM(D116)),8),"X","0"),"Y","1"),"Z","2")),23)+1,1)=RIGHT(UPPER(TRIM(D116)),1),"OK","REVISAR"),IF(OR(RIGHT(UPPER(TRIM(D116)),1)=TEXT(MOD(10-MOD((VALUE(MID(UPPER(TRIM(D116)),3,1))+VALUE(MID(UPPER(TRIM(D116)),5,1))+VALUE(MID(UPPER(TRIM(D116)),7,1)))+(INT(2*VALUE(MID(UPPER(TRIM(D116)),2,1))/10)+MOD(2*VALUE(MID(UPPER(TRIM(D116)),2,1)),10))+(INT(2*VALUE(MID(UPPER(TRIM(D116)),4,1))/10)+MOD(2*VALUE(MID(UPPER(TRIM(D116)),4,1)),10))+(INT(2*VALUE(MID(UPPER(TRIM(D116)),6,1))/10)+MOD(2*VALUE(MID(UPPER(TRIM(D116)),6,1)),10))+(INT(2*VALUE(MID(UPPER(TRIM(D116)),8,1))/10)+MOD(2*VALUE(MID(UPPER(TRIM(D116)),8,1)),10)),10),10),"0"),RIGHT(UPPER(TRIM(D116)),1)=MID("JABCDEFGHI",MOD(10-MOD((VALUE(MID(UPPER(TRIM(D116)),3,1))+VALUE(MID(UPPER(TRIM(D116)),5,1))+VALUE(MID(UPPER(TRIM(D116)),7,1)))+(INT(2*VALUE(MID(UPPER(TRIM(D116)),2,1))/10)+MOD(2*VALUE(MID(UPPER(TRIM(D116)),2,1)),10))+(INT(2*VALUE(MID(UPPER(TRIM(D116)),4,1))/10)+MOD(2*VALUE(MID(UPPER(TRIM(D116)),4,1)),10))+(INT(2*VALUE(MID(UPPER(TRIM(D116)),6,1))/10)+MOD(2*VALUE(MID(UPPER(TRIM(D116)),6,1)),10))+(INT(2*VALUE(MID(UPPER(TRIM(D116)),8,1))/10)+MOD(2*VALUE(MID(UPPER(TRIM(D116)),8,1)),10)),10),10)+1,1)),"OK","REVISAR")),"REVISAR")))</f>
        <v/>
      </c>
      <c r="Q116">
        <f>IF(B116="","",IF(COUNTIFS($B$2:$B$501,B116,$D$2:$D$501,D116)&gt;1,"DUPLICADA",""))</f>
        <v/>
      </c>
      <c r="R116">
        <f>IF(A116="","",ROUNDUP(MONTH(A116)/3,0))</f>
        <v/>
      </c>
      <c r="S116" s="3" t="n"/>
    </row>
    <row r="117">
      <c r="A117" s="2" t="n"/>
      <c r="B117" s="3" t="n"/>
      <c r="C117" s="3" t="n"/>
      <c r="D117" s="3" t="n"/>
      <c r="E117" s="4" t="n"/>
      <c r="F117" s="4" t="n"/>
      <c r="G117" s="4" t="n"/>
      <c r="H117" s="4" t="n"/>
      <c r="I117" s="5">
        <f>IF(E117="","",ROUND(E117*0.21,2))</f>
        <v/>
      </c>
      <c r="J117" s="5">
        <f>IF(F117="","",ROUND(F117*0.1,2))</f>
        <v/>
      </c>
      <c r="K117" s="5">
        <f>IF(G117="","",ROUND(G117*0.04,2))</f>
        <v/>
      </c>
      <c r="L117" s="4" t="n"/>
      <c r="M117" s="4" t="n"/>
      <c r="N117" s="5">
        <f>IF(A117="","",SUM(E117:K117)-N(L117))</f>
        <v/>
      </c>
      <c r="O117">
        <f>IF(OR(A117="",M117=""),"",IF(ABS(M117-N117)&lt;=0.02,"OK","REVISAR"))</f>
        <v/>
      </c>
      <c r="P117">
        <f>IF(D117="","",IF(LEN(TRIM(D117))&lt;&gt;9,"REVISAR",IFERROR(IF(OR(ISNUMBER(VALUE(LEFT(UPPER(TRIM(D117)),1))),LEFT(UPPER(TRIM(D117)),1)="X",LEFT(UPPER(TRIM(D117)),1)="Y",LEFT(UPPER(TRIM(D117)),1)="Z"),IF(MID("TRWAGMYFPDXBNJZSQVHLCKE",MOD(VALUE(SUBSTITUTE(SUBSTITUTE(SUBSTITUTE(LEFT(UPPER(TRIM(D117)),8),"X","0"),"Y","1"),"Z","2")),23)+1,1)=RIGHT(UPPER(TRIM(D117)),1),"OK","REVISAR"),IF(OR(RIGHT(UPPER(TRIM(D117)),1)=TEXT(MOD(10-MOD((VALUE(MID(UPPER(TRIM(D117)),3,1))+VALUE(MID(UPPER(TRIM(D117)),5,1))+VALUE(MID(UPPER(TRIM(D117)),7,1)))+(INT(2*VALUE(MID(UPPER(TRIM(D117)),2,1))/10)+MOD(2*VALUE(MID(UPPER(TRIM(D117)),2,1)),10))+(INT(2*VALUE(MID(UPPER(TRIM(D117)),4,1))/10)+MOD(2*VALUE(MID(UPPER(TRIM(D117)),4,1)),10))+(INT(2*VALUE(MID(UPPER(TRIM(D117)),6,1))/10)+MOD(2*VALUE(MID(UPPER(TRIM(D117)),6,1)),10))+(INT(2*VALUE(MID(UPPER(TRIM(D117)),8,1))/10)+MOD(2*VALUE(MID(UPPER(TRIM(D117)),8,1)),10)),10),10),"0"),RIGHT(UPPER(TRIM(D117)),1)=MID("JABCDEFGHI",MOD(10-MOD((VALUE(MID(UPPER(TRIM(D117)),3,1))+VALUE(MID(UPPER(TRIM(D117)),5,1))+VALUE(MID(UPPER(TRIM(D117)),7,1)))+(INT(2*VALUE(MID(UPPER(TRIM(D117)),2,1))/10)+MOD(2*VALUE(MID(UPPER(TRIM(D117)),2,1)),10))+(INT(2*VALUE(MID(UPPER(TRIM(D117)),4,1))/10)+MOD(2*VALUE(MID(UPPER(TRIM(D117)),4,1)),10))+(INT(2*VALUE(MID(UPPER(TRIM(D117)),6,1))/10)+MOD(2*VALUE(MID(UPPER(TRIM(D117)),6,1)),10))+(INT(2*VALUE(MID(UPPER(TRIM(D117)),8,1))/10)+MOD(2*VALUE(MID(UPPER(TRIM(D117)),8,1)),10)),10),10)+1,1)),"OK","REVISAR")),"REVISAR")))</f>
        <v/>
      </c>
      <c r="Q117">
        <f>IF(B117="","",IF(COUNTIFS($B$2:$B$501,B117,$D$2:$D$501,D117)&gt;1,"DUPLICADA",""))</f>
        <v/>
      </c>
      <c r="R117">
        <f>IF(A117="","",ROUNDUP(MONTH(A117)/3,0))</f>
        <v/>
      </c>
      <c r="S117" s="3" t="n"/>
    </row>
    <row r="118">
      <c r="A118" s="2" t="n"/>
      <c r="B118" s="3" t="n"/>
      <c r="C118" s="3" t="n"/>
      <c r="D118" s="3" t="n"/>
      <c r="E118" s="4" t="n"/>
      <c r="F118" s="4" t="n"/>
      <c r="G118" s="4" t="n"/>
      <c r="H118" s="4" t="n"/>
      <c r="I118" s="5">
        <f>IF(E118="","",ROUND(E118*0.21,2))</f>
        <v/>
      </c>
      <c r="J118" s="5">
        <f>IF(F118="","",ROUND(F118*0.1,2))</f>
        <v/>
      </c>
      <c r="K118" s="5">
        <f>IF(G118="","",ROUND(G118*0.04,2))</f>
        <v/>
      </c>
      <c r="L118" s="4" t="n"/>
      <c r="M118" s="4" t="n"/>
      <c r="N118" s="5">
        <f>IF(A118="","",SUM(E118:K118)-N(L118))</f>
        <v/>
      </c>
      <c r="O118">
        <f>IF(OR(A118="",M118=""),"",IF(ABS(M118-N118)&lt;=0.02,"OK","REVISAR"))</f>
        <v/>
      </c>
      <c r="P118">
        <f>IF(D118="","",IF(LEN(TRIM(D118))&lt;&gt;9,"REVISAR",IFERROR(IF(OR(ISNUMBER(VALUE(LEFT(UPPER(TRIM(D118)),1))),LEFT(UPPER(TRIM(D118)),1)="X",LEFT(UPPER(TRIM(D118)),1)="Y",LEFT(UPPER(TRIM(D118)),1)="Z"),IF(MID("TRWAGMYFPDXBNJZSQVHLCKE",MOD(VALUE(SUBSTITUTE(SUBSTITUTE(SUBSTITUTE(LEFT(UPPER(TRIM(D118)),8),"X","0"),"Y","1"),"Z","2")),23)+1,1)=RIGHT(UPPER(TRIM(D118)),1),"OK","REVISAR"),IF(OR(RIGHT(UPPER(TRIM(D118)),1)=TEXT(MOD(10-MOD((VALUE(MID(UPPER(TRIM(D118)),3,1))+VALUE(MID(UPPER(TRIM(D118)),5,1))+VALUE(MID(UPPER(TRIM(D118)),7,1)))+(INT(2*VALUE(MID(UPPER(TRIM(D118)),2,1))/10)+MOD(2*VALUE(MID(UPPER(TRIM(D118)),2,1)),10))+(INT(2*VALUE(MID(UPPER(TRIM(D118)),4,1))/10)+MOD(2*VALUE(MID(UPPER(TRIM(D118)),4,1)),10))+(INT(2*VALUE(MID(UPPER(TRIM(D118)),6,1))/10)+MOD(2*VALUE(MID(UPPER(TRIM(D118)),6,1)),10))+(INT(2*VALUE(MID(UPPER(TRIM(D118)),8,1))/10)+MOD(2*VALUE(MID(UPPER(TRIM(D118)),8,1)),10)),10),10),"0"),RIGHT(UPPER(TRIM(D118)),1)=MID("JABCDEFGHI",MOD(10-MOD((VALUE(MID(UPPER(TRIM(D118)),3,1))+VALUE(MID(UPPER(TRIM(D118)),5,1))+VALUE(MID(UPPER(TRIM(D118)),7,1)))+(INT(2*VALUE(MID(UPPER(TRIM(D118)),2,1))/10)+MOD(2*VALUE(MID(UPPER(TRIM(D118)),2,1)),10))+(INT(2*VALUE(MID(UPPER(TRIM(D118)),4,1))/10)+MOD(2*VALUE(MID(UPPER(TRIM(D118)),4,1)),10))+(INT(2*VALUE(MID(UPPER(TRIM(D118)),6,1))/10)+MOD(2*VALUE(MID(UPPER(TRIM(D118)),6,1)),10))+(INT(2*VALUE(MID(UPPER(TRIM(D118)),8,1))/10)+MOD(2*VALUE(MID(UPPER(TRIM(D118)),8,1)),10)),10),10)+1,1)),"OK","REVISAR")),"REVISAR")))</f>
        <v/>
      </c>
      <c r="Q118">
        <f>IF(B118="","",IF(COUNTIFS($B$2:$B$501,B118,$D$2:$D$501,D118)&gt;1,"DUPLICADA",""))</f>
        <v/>
      </c>
      <c r="R118">
        <f>IF(A118="","",ROUNDUP(MONTH(A118)/3,0))</f>
        <v/>
      </c>
      <c r="S118" s="3" t="n"/>
    </row>
    <row r="119">
      <c r="A119" s="2" t="n"/>
      <c r="B119" s="3" t="n"/>
      <c r="C119" s="3" t="n"/>
      <c r="D119" s="3" t="n"/>
      <c r="E119" s="4" t="n"/>
      <c r="F119" s="4" t="n"/>
      <c r="G119" s="4" t="n"/>
      <c r="H119" s="4" t="n"/>
      <c r="I119" s="5">
        <f>IF(E119="","",ROUND(E119*0.21,2))</f>
        <v/>
      </c>
      <c r="J119" s="5">
        <f>IF(F119="","",ROUND(F119*0.1,2))</f>
        <v/>
      </c>
      <c r="K119" s="5">
        <f>IF(G119="","",ROUND(G119*0.04,2))</f>
        <v/>
      </c>
      <c r="L119" s="4" t="n"/>
      <c r="M119" s="4" t="n"/>
      <c r="N119" s="5">
        <f>IF(A119="","",SUM(E119:K119)-N(L119))</f>
        <v/>
      </c>
      <c r="O119">
        <f>IF(OR(A119="",M119=""),"",IF(ABS(M119-N119)&lt;=0.02,"OK","REVISAR"))</f>
        <v/>
      </c>
      <c r="P119">
        <f>IF(D119="","",IF(LEN(TRIM(D119))&lt;&gt;9,"REVISAR",IFERROR(IF(OR(ISNUMBER(VALUE(LEFT(UPPER(TRIM(D119)),1))),LEFT(UPPER(TRIM(D119)),1)="X",LEFT(UPPER(TRIM(D119)),1)="Y",LEFT(UPPER(TRIM(D119)),1)="Z"),IF(MID("TRWAGMYFPDXBNJZSQVHLCKE",MOD(VALUE(SUBSTITUTE(SUBSTITUTE(SUBSTITUTE(LEFT(UPPER(TRIM(D119)),8),"X","0"),"Y","1"),"Z","2")),23)+1,1)=RIGHT(UPPER(TRIM(D119)),1),"OK","REVISAR"),IF(OR(RIGHT(UPPER(TRIM(D119)),1)=TEXT(MOD(10-MOD((VALUE(MID(UPPER(TRIM(D119)),3,1))+VALUE(MID(UPPER(TRIM(D119)),5,1))+VALUE(MID(UPPER(TRIM(D119)),7,1)))+(INT(2*VALUE(MID(UPPER(TRIM(D119)),2,1))/10)+MOD(2*VALUE(MID(UPPER(TRIM(D119)),2,1)),10))+(INT(2*VALUE(MID(UPPER(TRIM(D119)),4,1))/10)+MOD(2*VALUE(MID(UPPER(TRIM(D119)),4,1)),10))+(INT(2*VALUE(MID(UPPER(TRIM(D119)),6,1))/10)+MOD(2*VALUE(MID(UPPER(TRIM(D119)),6,1)),10))+(INT(2*VALUE(MID(UPPER(TRIM(D119)),8,1))/10)+MOD(2*VALUE(MID(UPPER(TRIM(D119)),8,1)),10)),10),10),"0"),RIGHT(UPPER(TRIM(D119)),1)=MID("JABCDEFGHI",MOD(10-MOD((VALUE(MID(UPPER(TRIM(D119)),3,1))+VALUE(MID(UPPER(TRIM(D119)),5,1))+VALUE(MID(UPPER(TRIM(D119)),7,1)))+(INT(2*VALUE(MID(UPPER(TRIM(D119)),2,1))/10)+MOD(2*VALUE(MID(UPPER(TRIM(D119)),2,1)),10))+(INT(2*VALUE(MID(UPPER(TRIM(D119)),4,1))/10)+MOD(2*VALUE(MID(UPPER(TRIM(D119)),4,1)),10))+(INT(2*VALUE(MID(UPPER(TRIM(D119)),6,1))/10)+MOD(2*VALUE(MID(UPPER(TRIM(D119)),6,1)),10))+(INT(2*VALUE(MID(UPPER(TRIM(D119)),8,1))/10)+MOD(2*VALUE(MID(UPPER(TRIM(D119)),8,1)),10)),10),10)+1,1)),"OK","REVISAR")),"REVISAR")))</f>
        <v/>
      </c>
      <c r="Q119">
        <f>IF(B119="","",IF(COUNTIFS($B$2:$B$501,B119,$D$2:$D$501,D119)&gt;1,"DUPLICADA",""))</f>
        <v/>
      </c>
      <c r="R119">
        <f>IF(A119="","",ROUNDUP(MONTH(A119)/3,0))</f>
        <v/>
      </c>
      <c r="S119" s="3" t="n"/>
    </row>
    <row r="120">
      <c r="A120" s="2" t="n"/>
      <c r="B120" s="3" t="n"/>
      <c r="C120" s="3" t="n"/>
      <c r="D120" s="3" t="n"/>
      <c r="E120" s="4" t="n"/>
      <c r="F120" s="4" t="n"/>
      <c r="G120" s="4" t="n"/>
      <c r="H120" s="4" t="n"/>
      <c r="I120" s="5">
        <f>IF(E120="","",ROUND(E120*0.21,2))</f>
        <v/>
      </c>
      <c r="J120" s="5">
        <f>IF(F120="","",ROUND(F120*0.1,2))</f>
        <v/>
      </c>
      <c r="K120" s="5">
        <f>IF(G120="","",ROUND(G120*0.04,2))</f>
        <v/>
      </c>
      <c r="L120" s="4" t="n"/>
      <c r="M120" s="4" t="n"/>
      <c r="N120" s="5">
        <f>IF(A120="","",SUM(E120:K120)-N(L120))</f>
        <v/>
      </c>
      <c r="O120">
        <f>IF(OR(A120="",M120=""),"",IF(ABS(M120-N120)&lt;=0.02,"OK","REVISAR"))</f>
        <v/>
      </c>
      <c r="P120">
        <f>IF(D120="","",IF(LEN(TRIM(D120))&lt;&gt;9,"REVISAR",IFERROR(IF(OR(ISNUMBER(VALUE(LEFT(UPPER(TRIM(D120)),1))),LEFT(UPPER(TRIM(D120)),1)="X",LEFT(UPPER(TRIM(D120)),1)="Y",LEFT(UPPER(TRIM(D120)),1)="Z"),IF(MID("TRWAGMYFPDXBNJZSQVHLCKE",MOD(VALUE(SUBSTITUTE(SUBSTITUTE(SUBSTITUTE(LEFT(UPPER(TRIM(D120)),8),"X","0"),"Y","1"),"Z","2")),23)+1,1)=RIGHT(UPPER(TRIM(D120)),1),"OK","REVISAR"),IF(OR(RIGHT(UPPER(TRIM(D120)),1)=TEXT(MOD(10-MOD((VALUE(MID(UPPER(TRIM(D120)),3,1))+VALUE(MID(UPPER(TRIM(D120)),5,1))+VALUE(MID(UPPER(TRIM(D120)),7,1)))+(INT(2*VALUE(MID(UPPER(TRIM(D120)),2,1))/10)+MOD(2*VALUE(MID(UPPER(TRIM(D120)),2,1)),10))+(INT(2*VALUE(MID(UPPER(TRIM(D120)),4,1))/10)+MOD(2*VALUE(MID(UPPER(TRIM(D120)),4,1)),10))+(INT(2*VALUE(MID(UPPER(TRIM(D120)),6,1))/10)+MOD(2*VALUE(MID(UPPER(TRIM(D120)),6,1)),10))+(INT(2*VALUE(MID(UPPER(TRIM(D120)),8,1))/10)+MOD(2*VALUE(MID(UPPER(TRIM(D120)),8,1)),10)),10),10),"0"),RIGHT(UPPER(TRIM(D120)),1)=MID("JABCDEFGHI",MOD(10-MOD((VALUE(MID(UPPER(TRIM(D120)),3,1))+VALUE(MID(UPPER(TRIM(D120)),5,1))+VALUE(MID(UPPER(TRIM(D120)),7,1)))+(INT(2*VALUE(MID(UPPER(TRIM(D120)),2,1))/10)+MOD(2*VALUE(MID(UPPER(TRIM(D120)),2,1)),10))+(INT(2*VALUE(MID(UPPER(TRIM(D120)),4,1))/10)+MOD(2*VALUE(MID(UPPER(TRIM(D120)),4,1)),10))+(INT(2*VALUE(MID(UPPER(TRIM(D120)),6,1))/10)+MOD(2*VALUE(MID(UPPER(TRIM(D120)),6,1)),10))+(INT(2*VALUE(MID(UPPER(TRIM(D120)),8,1))/10)+MOD(2*VALUE(MID(UPPER(TRIM(D120)),8,1)),10)),10),10)+1,1)),"OK","REVISAR")),"REVISAR")))</f>
        <v/>
      </c>
      <c r="Q120">
        <f>IF(B120="","",IF(COUNTIFS($B$2:$B$501,B120,$D$2:$D$501,D120)&gt;1,"DUPLICADA",""))</f>
        <v/>
      </c>
      <c r="R120">
        <f>IF(A120="","",ROUNDUP(MONTH(A120)/3,0))</f>
        <v/>
      </c>
      <c r="S120" s="3" t="n"/>
    </row>
    <row r="121">
      <c r="A121" s="2" t="n"/>
      <c r="B121" s="3" t="n"/>
      <c r="C121" s="3" t="n"/>
      <c r="D121" s="3" t="n"/>
      <c r="E121" s="4" t="n"/>
      <c r="F121" s="4" t="n"/>
      <c r="G121" s="4" t="n"/>
      <c r="H121" s="4" t="n"/>
      <c r="I121" s="5">
        <f>IF(E121="","",ROUND(E121*0.21,2))</f>
        <v/>
      </c>
      <c r="J121" s="5">
        <f>IF(F121="","",ROUND(F121*0.1,2))</f>
        <v/>
      </c>
      <c r="K121" s="5">
        <f>IF(G121="","",ROUND(G121*0.04,2))</f>
        <v/>
      </c>
      <c r="L121" s="4" t="n"/>
      <c r="M121" s="4" t="n"/>
      <c r="N121" s="5">
        <f>IF(A121="","",SUM(E121:K121)-N(L121))</f>
        <v/>
      </c>
      <c r="O121">
        <f>IF(OR(A121="",M121=""),"",IF(ABS(M121-N121)&lt;=0.02,"OK","REVISAR"))</f>
        <v/>
      </c>
      <c r="P121">
        <f>IF(D121="","",IF(LEN(TRIM(D121))&lt;&gt;9,"REVISAR",IFERROR(IF(OR(ISNUMBER(VALUE(LEFT(UPPER(TRIM(D121)),1))),LEFT(UPPER(TRIM(D121)),1)="X",LEFT(UPPER(TRIM(D121)),1)="Y",LEFT(UPPER(TRIM(D121)),1)="Z"),IF(MID("TRWAGMYFPDXBNJZSQVHLCKE",MOD(VALUE(SUBSTITUTE(SUBSTITUTE(SUBSTITUTE(LEFT(UPPER(TRIM(D121)),8),"X","0"),"Y","1"),"Z","2")),23)+1,1)=RIGHT(UPPER(TRIM(D121)),1),"OK","REVISAR"),IF(OR(RIGHT(UPPER(TRIM(D121)),1)=TEXT(MOD(10-MOD((VALUE(MID(UPPER(TRIM(D121)),3,1))+VALUE(MID(UPPER(TRIM(D121)),5,1))+VALUE(MID(UPPER(TRIM(D121)),7,1)))+(INT(2*VALUE(MID(UPPER(TRIM(D121)),2,1))/10)+MOD(2*VALUE(MID(UPPER(TRIM(D121)),2,1)),10))+(INT(2*VALUE(MID(UPPER(TRIM(D121)),4,1))/10)+MOD(2*VALUE(MID(UPPER(TRIM(D121)),4,1)),10))+(INT(2*VALUE(MID(UPPER(TRIM(D121)),6,1))/10)+MOD(2*VALUE(MID(UPPER(TRIM(D121)),6,1)),10))+(INT(2*VALUE(MID(UPPER(TRIM(D121)),8,1))/10)+MOD(2*VALUE(MID(UPPER(TRIM(D121)),8,1)),10)),10),10),"0"),RIGHT(UPPER(TRIM(D121)),1)=MID("JABCDEFGHI",MOD(10-MOD((VALUE(MID(UPPER(TRIM(D121)),3,1))+VALUE(MID(UPPER(TRIM(D121)),5,1))+VALUE(MID(UPPER(TRIM(D121)),7,1)))+(INT(2*VALUE(MID(UPPER(TRIM(D121)),2,1))/10)+MOD(2*VALUE(MID(UPPER(TRIM(D121)),2,1)),10))+(INT(2*VALUE(MID(UPPER(TRIM(D121)),4,1))/10)+MOD(2*VALUE(MID(UPPER(TRIM(D121)),4,1)),10))+(INT(2*VALUE(MID(UPPER(TRIM(D121)),6,1))/10)+MOD(2*VALUE(MID(UPPER(TRIM(D121)),6,1)),10))+(INT(2*VALUE(MID(UPPER(TRIM(D121)),8,1))/10)+MOD(2*VALUE(MID(UPPER(TRIM(D121)),8,1)),10)),10),10)+1,1)),"OK","REVISAR")),"REVISAR")))</f>
        <v/>
      </c>
      <c r="Q121">
        <f>IF(B121="","",IF(COUNTIFS($B$2:$B$501,B121,$D$2:$D$501,D121)&gt;1,"DUPLICADA",""))</f>
        <v/>
      </c>
      <c r="R121">
        <f>IF(A121="","",ROUNDUP(MONTH(A121)/3,0))</f>
        <v/>
      </c>
      <c r="S121" s="3" t="n"/>
    </row>
    <row r="122">
      <c r="A122" s="2" t="n"/>
      <c r="B122" s="3" t="n"/>
      <c r="C122" s="3" t="n"/>
      <c r="D122" s="3" t="n"/>
      <c r="E122" s="4" t="n"/>
      <c r="F122" s="4" t="n"/>
      <c r="G122" s="4" t="n"/>
      <c r="H122" s="4" t="n"/>
      <c r="I122" s="5">
        <f>IF(E122="","",ROUND(E122*0.21,2))</f>
        <v/>
      </c>
      <c r="J122" s="5">
        <f>IF(F122="","",ROUND(F122*0.1,2))</f>
        <v/>
      </c>
      <c r="K122" s="5">
        <f>IF(G122="","",ROUND(G122*0.04,2))</f>
        <v/>
      </c>
      <c r="L122" s="4" t="n"/>
      <c r="M122" s="4" t="n"/>
      <c r="N122" s="5">
        <f>IF(A122="","",SUM(E122:K122)-N(L122))</f>
        <v/>
      </c>
      <c r="O122">
        <f>IF(OR(A122="",M122=""),"",IF(ABS(M122-N122)&lt;=0.02,"OK","REVISAR"))</f>
        <v/>
      </c>
      <c r="P122">
        <f>IF(D122="","",IF(LEN(TRIM(D122))&lt;&gt;9,"REVISAR",IFERROR(IF(OR(ISNUMBER(VALUE(LEFT(UPPER(TRIM(D122)),1))),LEFT(UPPER(TRIM(D122)),1)="X",LEFT(UPPER(TRIM(D122)),1)="Y",LEFT(UPPER(TRIM(D122)),1)="Z"),IF(MID("TRWAGMYFPDXBNJZSQVHLCKE",MOD(VALUE(SUBSTITUTE(SUBSTITUTE(SUBSTITUTE(LEFT(UPPER(TRIM(D122)),8),"X","0"),"Y","1"),"Z","2")),23)+1,1)=RIGHT(UPPER(TRIM(D122)),1),"OK","REVISAR"),IF(OR(RIGHT(UPPER(TRIM(D122)),1)=TEXT(MOD(10-MOD((VALUE(MID(UPPER(TRIM(D122)),3,1))+VALUE(MID(UPPER(TRIM(D122)),5,1))+VALUE(MID(UPPER(TRIM(D122)),7,1)))+(INT(2*VALUE(MID(UPPER(TRIM(D122)),2,1))/10)+MOD(2*VALUE(MID(UPPER(TRIM(D122)),2,1)),10))+(INT(2*VALUE(MID(UPPER(TRIM(D122)),4,1))/10)+MOD(2*VALUE(MID(UPPER(TRIM(D122)),4,1)),10))+(INT(2*VALUE(MID(UPPER(TRIM(D122)),6,1))/10)+MOD(2*VALUE(MID(UPPER(TRIM(D122)),6,1)),10))+(INT(2*VALUE(MID(UPPER(TRIM(D122)),8,1))/10)+MOD(2*VALUE(MID(UPPER(TRIM(D122)),8,1)),10)),10),10),"0"),RIGHT(UPPER(TRIM(D122)),1)=MID("JABCDEFGHI",MOD(10-MOD((VALUE(MID(UPPER(TRIM(D122)),3,1))+VALUE(MID(UPPER(TRIM(D122)),5,1))+VALUE(MID(UPPER(TRIM(D122)),7,1)))+(INT(2*VALUE(MID(UPPER(TRIM(D122)),2,1))/10)+MOD(2*VALUE(MID(UPPER(TRIM(D122)),2,1)),10))+(INT(2*VALUE(MID(UPPER(TRIM(D122)),4,1))/10)+MOD(2*VALUE(MID(UPPER(TRIM(D122)),4,1)),10))+(INT(2*VALUE(MID(UPPER(TRIM(D122)),6,1))/10)+MOD(2*VALUE(MID(UPPER(TRIM(D122)),6,1)),10))+(INT(2*VALUE(MID(UPPER(TRIM(D122)),8,1))/10)+MOD(2*VALUE(MID(UPPER(TRIM(D122)),8,1)),10)),10),10)+1,1)),"OK","REVISAR")),"REVISAR")))</f>
        <v/>
      </c>
      <c r="Q122">
        <f>IF(B122="","",IF(COUNTIFS($B$2:$B$501,B122,$D$2:$D$501,D122)&gt;1,"DUPLICADA",""))</f>
        <v/>
      </c>
      <c r="R122">
        <f>IF(A122="","",ROUNDUP(MONTH(A122)/3,0))</f>
        <v/>
      </c>
      <c r="S122" s="3" t="n"/>
    </row>
    <row r="123">
      <c r="A123" s="2" t="n"/>
      <c r="B123" s="3" t="n"/>
      <c r="C123" s="3" t="n"/>
      <c r="D123" s="3" t="n"/>
      <c r="E123" s="4" t="n"/>
      <c r="F123" s="4" t="n"/>
      <c r="G123" s="4" t="n"/>
      <c r="H123" s="4" t="n"/>
      <c r="I123" s="5">
        <f>IF(E123="","",ROUND(E123*0.21,2))</f>
        <v/>
      </c>
      <c r="J123" s="5">
        <f>IF(F123="","",ROUND(F123*0.1,2))</f>
        <v/>
      </c>
      <c r="K123" s="5">
        <f>IF(G123="","",ROUND(G123*0.04,2))</f>
        <v/>
      </c>
      <c r="L123" s="4" t="n"/>
      <c r="M123" s="4" t="n"/>
      <c r="N123" s="5">
        <f>IF(A123="","",SUM(E123:K123)-N(L123))</f>
        <v/>
      </c>
      <c r="O123">
        <f>IF(OR(A123="",M123=""),"",IF(ABS(M123-N123)&lt;=0.02,"OK","REVISAR"))</f>
        <v/>
      </c>
      <c r="P123">
        <f>IF(D123="","",IF(LEN(TRIM(D123))&lt;&gt;9,"REVISAR",IFERROR(IF(OR(ISNUMBER(VALUE(LEFT(UPPER(TRIM(D123)),1))),LEFT(UPPER(TRIM(D123)),1)="X",LEFT(UPPER(TRIM(D123)),1)="Y",LEFT(UPPER(TRIM(D123)),1)="Z"),IF(MID("TRWAGMYFPDXBNJZSQVHLCKE",MOD(VALUE(SUBSTITUTE(SUBSTITUTE(SUBSTITUTE(LEFT(UPPER(TRIM(D123)),8),"X","0"),"Y","1"),"Z","2")),23)+1,1)=RIGHT(UPPER(TRIM(D123)),1),"OK","REVISAR"),IF(OR(RIGHT(UPPER(TRIM(D123)),1)=TEXT(MOD(10-MOD((VALUE(MID(UPPER(TRIM(D123)),3,1))+VALUE(MID(UPPER(TRIM(D123)),5,1))+VALUE(MID(UPPER(TRIM(D123)),7,1)))+(INT(2*VALUE(MID(UPPER(TRIM(D123)),2,1))/10)+MOD(2*VALUE(MID(UPPER(TRIM(D123)),2,1)),10))+(INT(2*VALUE(MID(UPPER(TRIM(D123)),4,1))/10)+MOD(2*VALUE(MID(UPPER(TRIM(D123)),4,1)),10))+(INT(2*VALUE(MID(UPPER(TRIM(D123)),6,1))/10)+MOD(2*VALUE(MID(UPPER(TRIM(D123)),6,1)),10))+(INT(2*VALUE(MID(UPPER(TRIM(D123)),8,1))/10)+MOD(2*VALUE(MID(UPPER(TRIM(D123)),8,1)),10)),10),10),"0"),RIGHT(UPPER(TRIM(D123)),1)=MID("JABCDEFGHI",MOD(10-MOD((VALUE(MID(UPPER(TRIM(D123)),3,1))+VALUE(MID(UPPER(TRIM(D123)),5,1))+VALUE(MID(UPPER(TRIM(D123)),7,1)))+(INT(2*VALUE(MID(UPPER(TRIM(D123)),2,1))/10)+MOD(2*VALUE(MID(UPPER(TRIM(D123)),2,1)),10))+(INT(2*VALUE(MID(UPPER(TRIM(D123)),4,1))/10)+MOD(2*VALUE(MID(UPPER(TRIM(D123)),4,1)),10))+(INT(2*VALUE(MID(UPPER(TRIM(D123)),6,1))/10)+MOD(2*VALUE(MID(UPPER(TRIM(D123)),6,1)),10))+(INT(2*VALUE(MID(UPPER(TRIM(D123)),8,1))/10)+MOD(2*VALUE(MID(UPPER(TRIM(D123)),8,1)),10)),10),10)+1,1)),"OK","REVISAR")),"REVISAR")))</f>
        <v/>
      </c>
      <c r="Q123">
        <f>IF(B123="","",IF(COUNTIFS($B$2:$B$501,B123,$D$2:$D$501,D123)&gt;1,"DUPLICADA",""))</f>
        <v/>
      </c>
      <c r="R123">
        <f>IF(A123="","",ROUNDUP(MONTH(A123)/3,0))</f>
        <v/>
      </c>
      <c r="S123" s="3" t="n"/>
    </row>
    <row r="124">
      <c r="A124" s="2" t="n"/>
      <c r="B124" s="3" t="n"/>
      <c r="C124" s="3" t="n"/>
      <c r="D124" s="3" t="n"/>
      <c r="E124" s="4" t="n"/>
      <c r="F124" s="4" t="n"/>
      <c r="G124" s="4" t="n"/>
      <c r="H124" s="4" t="n"/>
      <c r="I124" s="5">
        <f>IF(E124="","",ROUND(E124*0.21,2))</f>
        <v/>
      </c>
      <c r="J124" s="5">
        <f>IF(F124="","",ROUND(F124*0.1,2))</f>
        <v/>
      </c>
      <c r="K124" s="5">
        <f>IF(G124="","",ROUND(G124*0.04,2))</f>
        <v/>
      </c>
      <c r="L124" s="4" t="n"/>
      <c r="M124" s="4" t="n"/>
      <c r="N124" s="5">
        <f>IF(A124="","",SUM(E124:K124)-N(L124))</f>
        <v/>
      </c>
      <c r="O124">
        <f>IF(OR(A124="",M124=""),"",IF(ABS(M124-N124)&lt;=0.02,"OK","REVISAR"))</f>
        <v/>
      </c>
      <c r="P124">
        <f>IF(D124="","",IF(LEN(TRIM(D124))&lt;&gt;9,"REVISAR",IFERROR(IF(OR(ISNUMBER(VALUE(LEFT(UPPER(TRIM(D124)),1))),LEFT(UPPER(TRIM(D124)),1)="X",LEFT(UPPER(TRIM(D124)),1)="Y",LEFT(UPPER(TRIM(D124)),1)="Z"),IF(MID("TRWAGMYFPDXBNJZSQVHLCKE",MOD(VALUE(SUBSTITUTE(SUBSTITUTE(SUBSTITUTE(LEFT(UPPER(TRIM(D124)),8),"X","0"),"Y","1"),"Z","2")),23)+1,1)=RIGHT(UPPER(TRIM(D124)),1),"OK","REVISAR"),IF(OR(RIGHT(UPPER(TRIM(D124)),1)=TEXT(MOD(10-MOD((VALUE(MID(UPPER(TRIM(D124)),3,1))+VALUE(MID(UPPER(TRIM(D124)),5,1))+VALUE(MID(UPPER(TRIM(D124)),7,1)))+(INT(2*VALUE(MID(UPPER(TRIM(D124)),2,1))/10)+MOD(2*VALUE(MID(UPPER(TRIM(D124)),2,1)),10))+(INT(2*VALUE(MID(UPPER(TRIM(D124)),4,1))/10)+MOD(2*VALUE(MID(UPPER(TRIM(D124)),4,1)),10))+(INT(2*VALUE(MID(UPPER(TRIM(D124)),6,1))/10)+MOD(2*VALUE(MID(UPPER(TRIM(D124)),6,1)),10))+(INT(2*VALUE(MID(UPPER(TRIM(D124)),8,1))/10)+MOD(2*VALUE(MID(UPPER(TRIM(D124)),8,1)),10)),10),10),"0"),RIGHT(UPPER(TRIM(D124)),1)=MID("JABCDEFGHI",MOD(10-MOD((VALUE(MID(UPPER(TRIM(D124)),3,1))+VALUE(MID(UPPER(TRIM(D124)),5,1))+VALUE(MID(UPPER(TRIM(D124)),7,1)))+(INT(2*VALUE(MID(UPPER(TRIM(D124)),2,1))/10)+MOD(2*VALUE(MID(UPPER(TRIM(D124)),2,1)),10))+(INT(2*VALUE(MID(UPPER(TRIM(D124)),4,1))/10)+MOD(2*VALUE(MID(UPPER(TRIM(D124)),4,1)),10))+(INT(2*VALUE(MID(UPPER(TRIM(D124)),6,1))/10)+MOD(2*VALUE(MID(UPPER(TRIM(D124)),6,1)),10))+(INT(2*VALUE(MID(UPPER(TRIM(D124)),8,1))/10)+MOD(2*VALUE(MID(UPPER(TRIM(D124)),8,1)),10)),10),10)+1,1)),"OK","REVISAR")),"REVISAR")))</f>
        <v/>
      </c>
      <c r="Q124">
        <f>IF(B124="","",IF(COUNTIFS($B$2:$B$501,B124,$D$2:$D$501,D124)&gt;1,"DUPLICADA",""))</f>
        <v/>
      </c>
      <c r="R124">
        <f>IF(A124="","",ROUNDUP(MONTH(A124)/3,0))</f>
        <v/>
      </c>
      <c r="S124" s="3" t="n"/>
    </row>
    <row r="125">
      <c r="A125" s="2" t="n"/>
      <c r="B125" s="3" t="n"/>
      <c r="C125" s="3" t="n"/>
      <c r="D125" s="3" t="n"/>
      <c r="E125" s="4" t="n"/>
      <c r="F125" s="4" t="n"/>
      <c r="G125" s="4" t="n"/>
      <c r="H125" s="4" t="n"/>
      <c r="I125" s="5">
        <f>IF(E125="","",ROUND(E125*0.21,2))</f>
        <v/>
      </c>
      <c r="J125" s="5">
        <f>IF(F125="","",ROUND(F125*0.1,2))</f>
        <v/>
      </c>
      <c r="K125" s="5">
        <f>IF(G125="","",ROUND(G125*0.04,2))</f>
        <v/>
      </c>
      <c r="L125" s="4" t="n"/>
      <c r="M125" s="4" t="n"/>
      <c r="N125" s="5">
        <f>IF(A125="","",SUM(E125:K125)-N(L125))</f>
        <v/>
      </c>
      <c r="O125">
        <f>IF(OR(A125="",M125=""),"",IF(ABS(M125-N125)&lt;=0.02,"OK","REVISAR"))</f>
        <v/>
      </c>
      <c r="P125">
        <f>IF(D125="","",IF(LEN(TRIM(D125))&lt;&gt;9,"REVISAR",IFERROR(IF(OR(ISNUMBER(VALUE(LEFT(UPPER(TRIM(D125)),1))),LEFT(UPPER(TRIM(D125)),1)="X",LEFT(UPPER(TRIM(D125)),1)="Y",LEFT(UPPER(TRIM(D125)),1)="Z"),IF(MID("TRWAGMYFPDXBNJZSQVHLCKE",MOD(VALUE(SUBSTITUTE(SUBSTITUTE(SUBSTITUTE(LEFT(UPPER(TRIM(D125)),8),"X","0"),"Y","1"),"Z","2")),23)+1,1)=RIGHT(UPPER(TRIM(D125)),1),"OK","REVISAR"),IF(OR(RIGHT(UPPER(TRIM(D125)),1)=TEXT(MOD(10-MOD((VALUE(MID(UPPER(TRIM(D125)),3,1))+VALUE(MID(UPPER(TRIM(D125)),5,1))+VALUE(MID(UPPER(TRIM(D125)),7,1)))+(INT(2*VALUE(MID(UPPER(TRIM(D125)),2,1))/10)+MOD(2*VALUE(MID(UPPER(TRIM(D125)),2,1)),10))+(INT(2*VALUE(MID(UPPER(TRIM(D125)),4,1))/10)+MOD(2*VALUE(MID(UPPER(TRIM(D125)),4,1)),10))+(INT(2*VALUE(MID(UPPER(TRIM(D125)),6,1))/10)+MOD(2*VALUE(MID(UPPER(TRIM(D125)),6,1)),10))+(INT(2*VALUE(MID(UPPER(TRIM(D125)),8,1))/10)+MOD(2*VALUE(MID(UPPER(TRIM(D125)),8,1)),10)),10),10),"0"),RIGHT(UPPER(TRIM(D125)),1)=MID("JABCDEFGHI",MOD(10-MOD((VALUE(MID(UPPER(TRIM(D125)),3,1))+VALUE(MID(UPPER(TRIM(D125)),5,1))+VALUE(MID(UPPER(TRIM(D125)),7,1)))+(INT(2*VALUE(MID(UPPER(TRIM(D125)),2,1))/10)+MOD(2*VALUE(MID(UPPER(TRIM(D125)),2,1)),10))+(INT(2*VALUE(MID(UPPER(TRIM(D125)),4,1))/10)+MOD(2*VALUE(MID(UPPER(TRIM(D125)),4,1)),10))+(INT(2*VALUE(MID(UPPER(TRIM(D125)),6,1))/10)+MOD(2*VALUE(MID(UPPER(TRIM(D125)),6,1)),10))+(INT(2*VALUE(MID(UPPER(TRIM(D125)),8,1))/10)+MOD(2*VALUE(MID(UPPER(TRIM(D125)),8,1)),10)),10),10)+1,1)),"OK","REVISAR")),"REVISAR")))</f>
        <v/>
      </c>
      <c r="Q125">
        <f>IF(B125="","",IF(COUNTIFS($B$2:$B$501,B125,$D$2:$D$501,D125)&gt;1,"DUPLICADA",""))</f>
        <v/>
      </c>
      <c r="R125">
        <f>IF(A125="","",ROUNDUP(MONTH(A125)/3,0))</f>
        <v/>
      </c>
      <c r="S125" s="3" t="n"/>
    </row>
    <row r="126">
      <c r="A126" s="2" t="n"/>
      <c r="B126" s="3" t="n"/>
      <c r="C126" s="3" t="n"/>
      <c r="D126" s="3" t="n"/>
      <c r="E126" s="4" t="n"/>
      <c r="F126" s="4" t="n"/>
      <c r="G126" s="4" t="n"/>
      <c r="H126" s="4" t="n"/>
      <c r="I126" s="5">
        <f>IF(E126="","",ROUND(E126*0.21,2))</f>
        <v/>
      </c>
      <c r="J126" s="5">
        <f>IF(F126="","",ROUND(F126*0.1,2))</f>
        <v/>
      </c>
      <c r="K126" s="5">
        <f>IF(G126="","",ROUND(G126*0.04,2))</f>
        <v/>
      </c>
      <c r="L126" s="4" t="n"/>
      <c r="M126" s="4" t="n"/>
      <c r="N126" s="5">
        <f>IF(A126="","",SUM(E126:K126)-N(L126))</f>
        <v/>
      </c>
      <c r="O126">
        <f>IF(OR(A126="",M126=""),"",IF(ABS(M126-N126)&lt;=0.02,"OK","REVISAR"))</f>
        <v/>
      </c>
      <c r="P126">
        <f>IF(D126="","",IF(LEN(TRIM(D126))&lt;&gt;9,"REVISAR",IFERROR(IF(OR(ISNUMBER(VALUE(LEFT(UPPER(TRIM(D126)),1))),LEFT(UPPER(TRIM(D126)),1)="X",LEFT(UPPER(TRIM(D126)),1)="Y",LEFT(UPPER(TRIM(D126)),1)="Z"),IF(MID("TRWAGMYFPDXBNJZSQVHLCKE",MOD(VALUE(SUBSTITUTE(SUBSTITUTE(SUBSTITUTE(LEFT(UPPER(TRIM(D126)),8),"X","0"),"Y","1"),"Z","2")),23)+1,1)=RIGHT(UPPER(TRIM(D126)),1),"OK","REVISAR"),IF(OR(RIGHT(UPPER(TRIM(D126)),1)=TEXT(MOD(10-MOD((VALUE(MID(UPPER(TRIM(D126)),3,1))+VALUE(MID(UPPER(TRIM(D126)),5,1))+VALUE(MID(UPPER(TRIM(D126)),7,1)))+(INT(2*VALUE(MID(UPPER(TRIM(D126)),2,1))/10)+MOD(2*VALUE(MID(UPPER(TRIM(D126)),2,1)),10))+(INT(2*VALUE(MID(UPPER(TRIM(D126)),4,1))/10)+MOD(2*VALUE(MID(UPPER(TRIM(D126)),4,1)),10))+(INT(2*VALUE(MID(UPPER(TRIM(D126)),6,1))/10)+MOD(2*VALUE(MID(UPPER(TRIM(D126)),6,1)),10))+(INT(2*VALUE(MID(UPPER(TRIM(D126)),8,1))/10)+MOD(2*VALUE(MID(UPPER(TRIM(D126)),8,1)),10)),10),10),"0"),RIGHT(UPPER(TRIM(D126)),1)=MID("JABCDEFGHI",MOD(10-MOD((VALUE(MID(UPPER(TRIM(D126)),3,1))+VALUE(MID(UPPER(TRIM(D126)),5,1))+VALUE(MID(UPPER(TRIM(D126)),7,1)))+(INT(2*VALUE(MID(UPPER(TRIM(D126)),2,1))/10)+MOD(2*VALUE(MID(UPPER(TRIM(D126)),2,1)),10))+(INT(2*VALUE(MID(UPPER(TRIM(D126)),4,1))/10)+MOD(2*VALUE(MID(UPPER(TRIM(D126)),4,1)),10))+(INT(2*VALUE(MID(UPPER(TRIM(D126)),6,1))/10)+MOD(2*VALUE(MID(UPPER(TRIM(D126)),6,1)),10))+(INT(2*VALUE(MID(UPPER(TRIM(D126)),8,1))/10)+MOD(2*VALUE(MID(UPPER(TRIM(D126)),8,1)),10)),10),10)+1,1)),"OK","REVISAR")),"REVISAR")))</f>
        <v/>
      </c>
      <c r="Q126">
        <f>IF(B126="","",IF(COUNTIFS($B$2:$B$501,B126,$D$2:$D$501,D126)&gt;1,"DUPLICADA",""))</f>
        <v/>
      </c>
      <c r="R126">
        <f>IF(A126="","",ROUNDUP(MONTH(A126)/3,0))</f>
        <v/>
      </c>
      <c r="S126" s="3" t="n"/>
    </row>
    <row r="127">
      <c r="A127" s="2" t="n"/>
      <c r="B127" s="3" t="n"/>
      <c r="C127" s="3" t="n"/>
      <c r="D127" s="3" t="n"/>
      <c r="E127" s="4" t="n"/>
      <c r="F127" s="4" t="n"/>
      <c r="G127" s="4" t="n"/>
      <c r="H127" s="4" t="n"/>
      <c r="I127" s="5">
        <f>IF(E127="","",ROUND(E127*0.21,2))</f>
        <v/>
      </c>
      <c r="J127" s="5">
        <f>IF(F127="","",ROUND(F127*0.1,2))</f>
        <v/>
      </c>
      <c r="K127" s="5">
        <f>IF(G127="","",ROUND(G127*0.04,2))</f>
        <v/>
      </c>
      <c r="L127" s="4" t="n"/>
      <c r="M127" s="4" t="n"/>
      <c r="N127" s="5">
        <f>IF(A127="","",SUM(E127:K127)-N(L127))</f>
        <v/>
      </c>
      <c r="O127">
        <f>IF(OR(A127="",M127=""),"",IF(ABS(M127-N127)&lt;=0.02,"OK","REVISAR"))</f>
        <v/>
      </c>
      <c r="P127">
        <f>IF(D127="","",IF(LEN(TRIM(D127))&lt;&gt;9,"REVISAR",IFERROR(IF(OR(ISNUMBER(VALUE(LEFT(UPPER(TRIM(D127)),1))),LEFT(UPPER(TRIM(D127)),1)="X",LEFT(UPPER(TRIM(D127)),1)="Y",LEFT(UPPER(TRIM(D127)),1)="Z"),IF(MID("TRWAGMYFPDXBNJZSQVHLCKE",MOD(VALUE(SUBSTITUTE(SUBSTITUTE(SUBSTITUTE(LEFT(UPPER(TRIM(D127)),8),"X","0"),"Y","1"),"Z","2")),23)+1,1)=RIGHT(UPPER(TRIM(D127)),1),"OK","REVISAR"),IF(OR(RIGHT(UPPER(TRIM(D127)),1)=TEXT(MOD(10-MOD((VALUE(MID(UPPER(TRIM(D127)),3,1))+VALUE(MID(UPPER(TRIM(D127)),5,1))+VALUE(MID(UPPER(TRIM(D127)),7,1)))+(INT(2*VALUE(MID(UPPER(TRIM(D127)),2,1))/10)+MOD(2*VALUE(MID(UPPER(TRIM(D127)),2,1)),10))+(INT(2*VALUE(MID(UPPER(TRIM(D127)),4,1))/10)+MOD(2*VALUE(MID(UPPER(TRIM(D127)),4,1)),10))+(INT(2*VALUE(MID(UPPER(TRIM(D127)),6,1))/10)+MOD(2*VALUE(MID(UPPER(TRIM(D127)),6,1)),10))+(INT(2*VALUE(MID(UPPER(TRIM(D127)),8,1))/10)+MOD(2*VALUE(MID(UPPER(TRIM(D127)),8,1)),10)),10),10),"0"),RIGHT(UPPER(TRIM(D127)),1)=MID("JABCDEFGHI",MOD(10-MOD((VALUE(MID(UPPER(TRIM(D127)),3,1))+VALUE(MID(UPPER(TRIM(D127)),5,1))+VALUE(MID(UPPER(TRIM(D127)),7,1)))+(INT(2*VALUE(MID(UPPER(TRIM(D127)),2,1))/10)+MOD(2*VALUE(MID(UPPER(TRIM(D127)),2,1)),10))+(INT(2*VALUE(MID(UPPER(TRIM(D127)),4,1))/10)+MOD(2*VALUE(MID(UPPER(TRIM(D127)),4,1)),10))+(INT(2*VALUE(MID(UPPER(TRIM(D127)),6,1))/10)+MOD(2*VALUE(MID(UPPER(TRIM(D127)),6,1)),10))+(INT(2*VALUE(MID(UPPER(TRIM(D127)),8,1))/10)+MOD(2*VALUE(MID(UPPER(TRIM(D127)),8,1)),10)),10),10)+1,1)),"OK","REVISAR")),"REVISAR")))</f>
        <v/>
      </c>
      <c r="Q127">
        <f>IF(B127="","",IF(COUNTIFS($B$2:$B$501,B127,$D$2:$D$501,D127)&gt;1,"DUPLICADA",""))</f>
        <v/>
      </c>
      <c r="R127">
        <f>IF(A127="","",ROUNDUP(MONTH(A127)/3,0))</f>
        <v/>
      </c>
      <c r="S127" s="3" t="n"/>
    </row>
    <row r="128">
      <c r="A128" s="2" t="n"/>
      <c r="B128" s="3" t="n"/>
      <c r="C128" s="3" t="n"/>
      <c r="D128" s="3" t="n"/>
      <c r="E128" s="4" t="n"/>
      <c r="F128" s="4" t="n"/>
      <c r="G128" s="4" t="n"/>
      <c r="H128" s="4" t="n"/>
      <c r="I128" s="5">
        <f>IF(E128="","",ROUND(E128*0.21,2))</f>
        <v/>
      </c>
      <c r="J128" s="5">
        <f>IF(F128="","",ROUND(F128*0.1,2))</f>
        <v/>
      </c>
      <c r="K128" s="5">
        <f>IF(G128="","",ROUND(G128*0.04,2))</f>
        <v/>
      </c>
      <c r="L128" s="4" t="n"/>
      <c r="M128" s="4" t="n"/>
      <c r="N128" s="5">
        <f>IF(A128="","",SUM(E128:K128)-N(L128))</f>
        <v/>
      </c>
      <c r="O128">
        <f>IF(OR(A128="",M128=""),"",IF(ABS(M128-N128)&lt;=0.02,"OK","REVISAR"))</f>
        <v/>
      </c>
      <c r="P128">
        <f>IF(D128="","",IF(LEN(TRIM(D128))&lt;&gt;9,"REVISAR",IFERROR(IF(OR(ISNUMBER(VALUE(LEFT(UPPER(TRIM(D128)),1))),LEFT(UPPER(TRIM(D128)),1)="X",LEFT(UPPER(TRIM(D128)),1)="Y",LEFT(UPPER(TRIM(D128)),1)="Z"),IF(MID("TRWAGMYFPDXBNJZSQVHLCKE",MOD(VALUE(SUBSTITUTE(SUBSTITUTE(SUBSTITUTE(LEFT(UPPER(TRIM(D128)),8),"X","0"),"Y","1"),"Z","2")),23)+1,1)=RIGHT(UPPER(TRIM(D128)),1),"OK","REVISAR"),IF(OR(RIGHT(UPPER(TRIM(D128)),1)=TEXT(MOD(10-MOD((VALUE(MID(UPPER(TRIM(D128)),3,1))+VALUE(MID(UPPER(TRIM(D128)),5,1))+VALUE(MID(UPPER(TRIM(D128)),7,1)))+(INT(2*VALUE(MID(UPPER(TRIM(D128)),2,1))/10)+MOD(2*VALUE(MID(UPPER(TRIM(D128)),2,1)),10))+(INT(2*VALUE(MID(UPPER(TRIM(D128)),4,1))/10)+MOD(2*VALUE(MID(UPPER(TRIM(D128)),4,1)),10))+(INT(2*VALUE(MID(UPPER(TRIM(D128)),6,1))/10)+MOD(2*VALUE(MID(UPPER(TRIM(D128)),6,1)),10))+(INT(2*VALUE(MID(UPPER(TRIM(D128)),8,1))/10)+MOD(2*VALUE(MID(UPPER(TRIM(D128)),8,1)),10)),10),10),"0"),RIGHT(UPPER(TRIM(D128)),1)=MID("JABCDEFGHI",MOD(10-MOD((VALUE(MID(UPPER(TRIM(D128)),3,1))+VALUE(MID(UPPER(TRIM(D128)),5,1))+VALUE(MID(UPPER(TRIM(D128)),7,1)))+(INT(2*VALUE(MID(UPPER(TRIM(D128)),2,1))/10)+MOD(2*VALUE(MID(UPPER(TRIM(D128)),2,1)),10))+(INT(2*VALUE(MID(UPPER(TRIM(D128)),4,1))/10)+MOD(2*VALUE(MID(UPPER(TRIM(D128)),4,1)),10))+(INT(2*VALUE(MID(UPPER(TRIM(D128)),6,1))/10)+MOD(2*VALUE(MID(UPPER(TRIM(D128)),6,1)),10))+(INT(2*VALUE(MID(UPPER(TRIM(D128)),8,1))/10)+MOD(2*VALUE(MID(UPPER(TRIM(D128)),8,1)),10)),10),10)+1,1)),"OK","REVISAR")),"REVISAR")))</f>
        <v/>
      </c>
      <c r="Q128">
        <f>IF(B128="","",IF(COUNTIFS($B$2:$B$501,B128,$D$2:$D$501,D128)&gt;1,"DUPLICADA",""))</f>
        <v/>
      </c>
      <c r="R128">
        <f>IF(A128="","",ROUNDUP(MONTH(A128)/3,0))</f>
        <v/>
      </c>
      <c r="S128" s="3" t="n"/>
    </row>
    <row r="129">
      <c r="A129" s="2" t="n"/>
      <c r="B129" s="3" t="n"/>
      <c r="C129" s="3" t="n"/>
      <c r="D129" s="3" t="n"/>
      <c r="E129" s="4" t="n"/>
      <c r="F129" s="4" t="n"/>
      <c r="G129" s="4" t="n"/>
      <c r="H129" s="4" t="n"/>
      <c r="I129" s="5">
        <f>IF(E129="","",ROUND(E129*0.21,2))</f>
        <v/>
      </c>
      <c r="J129" s="5">
        <f>IF(F129="","",ROUND(F129*0.1,2))</f>
        <v/>
      </c>
      <c r="K129" s="5">
        <f>IF(G129="","",ROUND(G129*0.04,2))</f>
        <v/>
      </c>
      <c r="L129" s="4" t="n"/>
      <c r="M129" s="4" t="n"/>
      <c r="N129" s="5">
        <f>IF(A129="","",SUM(E129:K129)-N(L129))</f>
        <v/>
      </c>
      <c r="O129">
        <f>IF(OR(A129="",M129=""),"",IF(ABS(M129-N129)&lt;=0.02,"OK","REVISAR"))</f>
        <v/>
      </c>
      <c r="P129">
        <f>IF(D129="","",IF(LEN(TRIM(D129))&lt;&gt;9,"REVISAR",IFERROR(IF(OR(ISNUMBER(VALUE(LEFT(UPPER(TRIM(D129)),1))),LEFT(UPPER(TRIM(D129)),1)="X",LEFT(UPPER(TRIM(D129)),1)="Y",LEFT(UPPER(TRIM(D129)),1)="Z"),IF(MID("TRWAGMYFPDXBNJZSQVHLCKE",MOD(VALUE(SUBSTITUTE(SUBSTITUTE(SUBSTITUTE(LEFT(UPPER(TRIM(D129)),8),"X","0"),"Y","1"),"Z","2")),23)+1,1)=RIGHT(UPPER(TRIM(D129)),1),"OK","REVISAR"),IF(OR(RIGHT(UPPER(TRIM(D129)),1)=TEXT(MOD(10-MOD((VALUE(MID(UPPER(TRIM(D129)),3,1))+VALUE(MID(UPPER(TRIM(D129)),5,1))+VALUE(MID(UPPER(TRIM(D129)),7,1)))+(INT(2*VALUE(MID(UPPER(TRIM(D129)),2,1))/10)+MOD(2*VALUE(MID(UPPER(TRIM(D129)),2,1)),10))+(INT(2*VALUE(MID(UPPER(TRIM(D129)),4,1))/10)+MOD(2*VALUE(MID(UPPER(TRIM(D129)),4,1)),10))+(INT(2*VALUE(MID(UPPER(TRIM(D129)),6,1))/10)+MOD(2*VALUE(MID(UPPER(TRIM(D129)),6,1)),10))+(INT(2*VALUE(MID(UPPER(TRIM(D129)),8,1))/10)+MOD(2*VALUE(MID(UPPER(TRIM(D129)),8,1)),10)),10),10),"0"),RIGHT(UPPER(TRIM(D129)),1)=MID("JABCDEFGHI",MOD(10-MOD((VALUE(MID(UPPER(TRIM(D129)),3,1))+VALUE(MID(UPPER(TRIM(D129)),5,1))+VALUE(MID(UPPER(TRIM(D129)),7,1)))+(INT(2*VALUE(MID(UPPER(TRIM(D129)),2,1))/10)+MOD(2*VALUE(MID(UPPER(TRIM(D129)),2,1)),10))+(INT(2*VALUE(MID(UPPER(TRIM(D129)),4,1))/10)+MOD(2*VALUE(MID(UPPER(TRIM(D129)),4,1)),10))+(INT(2*VALUE(MID(UPPER(TRIM(D129)),6,1))/10)+MOD(2*VALUE(MID(UPPER(TRIM(D129)),6,1)),10))+(INT(2*VALUE(MID(UPPER(TRIM(D129)),8,1))/10)+MOD(2*VALUE(MID(UPPER(TRIM(D129)),8,1)),10)),10),10)+1,1)),"OK","REVISAR")),"REVISAR")))</f>
        <v/>
      </c>
      <c r="Q129">
        <f>IF(B129="","",IF(COUNTIFS($B$2:$B$501,B129,$D$2:$D$501,D129)&gt;1,"DUPLICADA",""))</f>
        <v/>
      </c>
      <c r="R129">
        <f>IF(A129="","",ROUNDUP(MONTH(A129)/3,0))</f>
        <v/>
      </c>
      <c r="S129" s="3" t="n"/>
    </row>
    <row r="130">
      <c r="A130" s="2" t="n"/>
      <c r="B130" s="3" t="n"/>
      <c r="C130" s="3" t="n"/>
      <c r="D130" s="3" t="n"/>
      <c r="E130" s="4" t="n"/>
      <c r="F130" s="4" t="n"/>
      <c r="G130" s="4" t="n"/>
      <c r="H130" s="4" t="n"/>
      <c r="I130" s="5">
        <f>IF(E130="","",ROUND(E130*0.21,2))</f>
        <v/>
      </c>
      <c r="J130" s="5">
        <f>IF(F130="","",ROUND(F130*0.1,2))</f>
        <v/>
      </c>
      <c r="K130" s="5">
        <f>IF(G130="","",ROUND(G130*0.04,2))</f>
        <v/>
      </c>
      <c r="L130" s="4" t="n"/>
      <c r="M130" s="4" t="n"/>
      <c r="N130" s="5">
        <f>IF(A130="","",SUM(E130:K130)-N(L130))</f>
        <v/>
      </c>
      <c r="O130">
        <f>IF(OR(A130="",M130=""),"",IF(ABS(M130-N130)&lt;=0.02,"OK","REVISAR"))</f>
        <v/>
      </c>
      <c r="P130">
        <f>IF(D130="","",IF(LEN(TRIM(D130))&lt;&gt;9,"REVISAR",IFERROR(IF(OR(ISNUMBER(VALUE(LEFT(UPPER(TRIM(D130)),1))),LEFT(UPPER(TRIM(D130)),1)="X",LEFT(UPPER(TRIM(D130)),1)="Y",LEFT(UPPER(TRIM(D130)),1)="Z"),IF(MID("TRWAGMYFPDXBNJZSQVHLCKE",MOD(VALUE(SUBSTITUTE(SUBSTITUTE(SUBSTITUTE(LEFT(UPPER(TRIM(D130)),8),"X","0"),"Y","1"),"Z","2")),23)+1,1)=RIGHT(UPPER(TRIM(D130)),1),"OK","REVISAR"),IF(OR(RIGHT(UPPER(TRIM(D130)),1)=TEXT(MOD(10-MOD((VALUE(MID(UPPER(TRIM(D130)),3,1))+VALUE(MID(UPPER(TRIM(D130)),5,1))+VALUE(MID(UPPER(TRIM(D130)),7,1)))+(INT(2*VALUE(MID(UPPER(TRIM(D130)),2,1))/10)+MOD(2*VALUE(MID(UPPER(TRIM(D130)),2,1)),10))+(INT(2*VALUE(MID(UPPER(TRIM(D130)),4,1))/10)+MOD(2*VALUE(MID(UPPER(TRIM(D130)),4,1)),10))+(INT(2*VALUE(MID(UPPER(TRIM(D130)),6,1))/10)+MOD(2*VALUE(MID(UPPER(TRIM(D130)),6,1)),10))+(INT(2*VALUE(MID(UPPER(TRIM(D130)),8,1))/10)+MOD(2*VALUE(MID(UPPER(TRIM(D130)),8,1)),10)),10),10),"0"),RIGHT(UPPER(TRIM(D130)),1)=MID("JABCDEFGHI",MOD(10-MOD((VALUE(MID(UPPER(TRIM(D130)),3,1))+VALUE(MID(UPPER(TRIM(D130)),5,1))+VALUE(MID(UPPER(TRIM(D130)),7,1)))+(INT(2*VALUE(MID(UPPER(TRIM(D130)),2,1))/10)+MOD(2*VALUE(MID(UPPER(TRIM(D130)),2,1)),10))+(INT(2*VALUE(MID(UPPER(TRIM(D130)),4,1))/10)+MOD(2*VALUE(MID(UPPER(TRIM(D130)),4,1)),10))+(INT(2*VALUE(MID(UPPER(TRIM(D130)),6,1))/10)+MOD(2*VALUE(MID(UPPER(TRIM(D130)),6,1)),10))+(INT(2*VALUE(MID(UPPER(TRIM(D130)),8,1))/10)+MOD(2*VALUE(MID(UPPER(TRIM(D130)),8,1)),10)),10),10)+1,1)),"OK","REVISAR")),"REVISAR")))</f>
        <v/>
      </c>
      <c r="Q130">
        <f>IF(B130="","",IF(COUNTIFS($B$2:$B$501,B130,$D$2:$D$501,D130)&gt;1,"DUPLICADA",""))</f>
        <v/>
      </c>
      <c r="R130">
        <f>IF(A130="","",ROUNDUP(MONTH(A130)/3,0))</f>
        <v/>
      </c>
      <c r="S130" s="3" t="n"/>
    </row>
    <row r="131">
      <c r="A131" s="2" t="n"/>
      <c r="B131" s="3" t="n"/>
      <c r="C131" s="3" t="n"/>
      <c r="D131" s="3" t="n"/>
      <c r="E131" s="4" t="n"/>
      <c r="F131" s="4" t="n"/>
      <c r="G131" s="4" t="n"/>
      <c r="H131" s="4" t="n"/>
      <c r="I131" s="5">
        <f>IF(E131="","",ROUND(E131*0.21,2))</f>
        <v/>
      </c>
      <c r="J131" s="5">
        <f>IF(F131="","",ROUND(F131*0.1,2))</f>
        <v/>
      </c>
      <c r="K131" s="5">
        <f>IF(G131="","",ROUND(G131*0.04,2))</f>
        <v/>
      </c>
      <c r="L131" s="4" t="n"/>
      <c r="M131" s="4" t="n"/>
      <c r="N131" s="5">
        <f>IF(A131="","",SUM(E131:K131)-N(L131))</f>
        <v/>
      </c>
      <c r="O131">
        <f>IF(OR(A131="",M131=""),"",IF(ABS(M131-N131)&lt;=0.02,"OK","REVISAR"))</f>
        <v/>
      </c>
      <c r="P131">
        <f>IF(D131="","",IF(LEN(TRIM(D131))&lt;&gt;9,"REVISAR",IFERROR(IF(OR(ISNUMBER(VALUE(LEFT(UPPER(TRIM(D131)),1))),LEFT(UPPER(TRIM(D131)),1)="X",LEFT(UPPER(TRIM(D131)),1)="Y",LEFT(UPPER(TRIM(D131)),1)="Z"),IF(MID("TRWAGMYFPDXBNJZSQVHLCKE",MOD(VALUE(SUBSTITUTE(SUBSTITUTE(SUBSTITUTE(LEFT(UPPER(TRIM(D131)),8),"X","0"),"Y","1"),"Z","2")),23)+1,1)=RIGHT(UPPER(TRIM(D131)),1),"OK","REVISAR"),IF(OR(RIGHT(UPPER(TRIM(D131)),1)=TEXT(MOD(10-MOD((VALUE(MID(UPPER(TRIM(D131)),3,1))+VALUE(MID(UPPER(TRIM(D131)),5,1))+VALUE(MID(UPPER(TRIM(D131)),7,1)))+(INT(2*VALUE(MID(UPPER(TRIM(D131)),2,1))/10)+MOD(2*VALUE(MID(UPPER(TRIM(D131)),2,1)),10))+(INT(2*VALUE(MID(UPPER(TRIM(D131)),4,1))/10)+MOD(2*VALUE(MID(UPPER(TRIM(D131)),4,1)),10))+(INT(2*VALUE(MID(UPPER(TRIM(D131)),6,1))/10)+MOD(2*VALUE(MID(UPPER(TRIM(D131)),6,1)),10))+(INT(2*VALUE(MID(UPPER(TRIM(D131)),8,1))/10)+MOD(2*VALUE(MID(UPPER(TRIM(D131)),8,1)),10)),10),10),"0"),RIGHT(UPPER(TRIM(D131)),1)=MID("JABCDEFGHI",MOD(10-MOD((VALUE(MID(UPPER(TRIM(D131)),3,1))+VALUE(MID(UPPER(TRIM(D131)),5,1))+VALUE(MID(UPPER(TRIM(D131)),7,1)))+(INT(2*VALUE(MID(UPPER(TRIM(D131)),2,1))/10)+MOD(2*VALUE(MID(UPPER(TRIM(D131)),2,1)),10))+(INT(2*VALUE(MID(UPPER(TRIM(D131)),4,1))/10)+MOD(2*VALUE(MID(UPPER(TRIM(D131)),4,1)),10))+(INT(2*VALUE(MID(UPPER(TRIM(D131)),6,1))/10)+MOD(2*VALUE(MID(UPPER(TRIM(D131)),6,1)),10))+(INT(2*VALUE(MID(UPPER(TRIM(D131)),8,1))/10)+MOD(2*VALUE(MID(UPPER(TRIM(D131)),8,1)),10)),10),10)+1,1)),"OK","REVISAR")),"REVISAR")))</f>
        <v/>
      </c>
      <c r="Q131">
        <f>IF(B131="","",IF(COUNTIFS($B$2:$B$501,B131,$D$2:$D$501,D131)&gt;1,"DUPLICADA",""))</f>
        <v/>
      </c>
      <c r="R131">
        <f>IF(A131="","",ROUNDUP(MONTH(A131)/3,0))</f>
        <v/>
      </c>
      <c r="S131" s="3" t="n"/>
    </row>
    <row r="132">
      <c r="A132" s="2" t="n"/>
      <c r="B132" s="3" t="n"/>
      <c r="C132" s="3" t="n"/>
      <c r="D132" s="3" t="n"/>
      <c r="E132" s="4" t="n"/>
      <c r="F132" s="4" t="n"/>
      <c r="G132" s="4" t="n"/>
      <c r="H132" s="4" t="n"/>
      <c r="I132" s="5">
        <f>IF(E132="","",ROUND(E132*0.21,2))</f>
        <v/>
      </c>
      <c r="J132" s="5">
        <f>IF(F132="","",ROUND(F132*0.1,2))</f>
        <v/>
      </c>
      <c r="K132" s="5">
        <f>IF(G132="","",ROUND(G132*0.04,2))</f>
        <v/>
      </c>
      <c r="L132" s="4" t="n"/>
      <c r="M132" s="4" t="n"/>
      <c r="N132" s="5">
        <f>IF(A132="","",SUM(E132:K132)-N(L132))</f>
        <v/>
      </c>
      <c r="O132">
        <f>IF(OR(A132="",M132=""),"",IF(ABS(M132-N132)&lt;=0.02,"OK","REVISAR"))</f>
        <v/>
      </c>
      <c r="P132">
        <f>IF(D132="","",IF(LEN(TRIM(D132))&lt;&gt;9,"REVISAR",IFERROR(IF(OR(ISNUMBER(VALUE(LEFT(UPPER(TRIM(D132)),1))),LEFT(UPPER(TRIM(D132)),1)="X",LEFT(UPPER(TRIM(D132)),1)="Y",LEFT(UPPER(TRIM(D132)),1)="Z"),IF(MID("TRWAGMYFPDXBNJZSQVHLCKE",MOD(VALUE(SUBSTITUTE(SUBSTITUTE(SUBSTITUTE(LEFT(UPPER(TRIM(D132)),8),"X","0"),"Y","1"),"Z","2")),23)+1,1)=RIGHT(UPPER(TRIM(D132)),1),"OK","REVISAR"),IF(OR(RIGHT(UPPER(TRIM(D132)),1)=TEXT(MOD(10-MOD((VALUE(MID(UPPER(TRIM(D132)),3,1))+VALUE(MID(UPPER(TRIM(D132)),5,1))+VALUE(MID(UPPER(TRIM(D132)),7,1)))+(INT(2*VALUE(MID(UPPER(TRIM(D132)),2,1))/10)+MOD(2*VALUE(MID(UPPER(TRIM(D132)),2,1)),10))+(INT(2*VALUE(MID(UPPER(TRIM(D132)),4,1))/10)+MOD(2*VALUE(MID(UPPER(TRIM(D132)),4,1)),10))+(INT(2*VALUE(MID(UPPER(TRIM(D132)),6,1))/10)+MOD(2*VALUE(MID(UPPER(TRIM(D132)),6,1)),10))+(INT(2*VALUE(MID(UPPER(TRIM(D132)),8,1))/10)+MOD(2*VALUE(MID(UPPER(TRIM(D132)),8,1)),10)),10),10),"0"),RIGHT(UPPER(TRIM(D132)),1)=MID("JABCDEFGHI",MOD(10-MOD((VALUE(MID(UPPER(TRIM(D132)),3,1))+VALUE(MID(UPPER(TRIM(D132)),5,1))+VALUE(MID(UPPER(TRIM(D132)),7,1)))+(INT(2*VALUE(MID(UPPER(TRIM(D132)),2,1))/10)+MOD(2*VALUE(MID(UPPER(TRIM(D132)),2,1)),10))+(INT(2*VALUE(MID(UPPER(TRIM(D132)),4,1))/10)+MOD(2*VALUE(MID(UPPER(TRIM(D132)),4,1)),10))+(INT(2*VALUE(MID(UPPER(TRIM(D132)),6,1))/10)+MOD(2*VALUE(MID(UPPER(TRIM(D132)),6,1)),10))+(INT(2*VALUE(MID(UPPER(TRIM(D132)),8,1))/10)+MOD(2*VALUE(MID(UPPER(TRIM(D132)),8,1)),10)),10),10)+1,1)),"OK","REVISAR")),"REVISAR")))</f>
        <v/>
      </c>
      <c r="Q132">
        <f>IF(B132="","",IF(COUNTIFS($B$2:$B$501,B132,$D$2:$D$501,D132)&gt;1,"DUPLICADA",""))</f>
        <v/>
      </c>
      <c r="R132">
        <f>IF(A132="","",ROUNDUP(MONTH(A132)/3,0))</f>
        <v/>
      </c>
      <c r="S132" s="3" t="n"/>
    </row>
    <row r="133">
      <c r="A133" s="2" t="n"/>
      <c r="B133" s="3" t="n"/>
      <c r="C133" s="3" t="n"/>
      <c r="D133" s="3" t="n"/>
      <c r="E133" s="4" t="n"/>
      <c r="F133" s="4" t="n"/>
      <c r="G133" s="4" t="n"/>
      <c r="H133" s="4" t="n"/>
      <c r="I133" s="5">
        <f>IF(E133="","",ROUND(E133*0.21,2))</f>
        <v/>
      </c>
      <c r="J133" s="5">
        <f>IF(F133="","",ROUND(F133*0.1,2))</f>
        <v/>
      </c>
      <c r="K133" s="5">
        <f>IF(G133="","",ROUND(G133*0.04,2))</f>
        <v/>
      </c>
      <c r="L133" s="4" t="n"/>
      <c r="M133" s="4" t="n"/>
      <c r="N133" s="5">
        <f>IF(A133="","",SUM(E133:K133)-N(L133))</f>
        <v/>
      </c>
      <c r="O133">
        <f>IF(OR(A133="",M133=""),"",IF(ABS(M133-N133)&lt;=0.02,"OK","REVISAR"))</f>
        <v/>
      </c>
      <c r="P133">
        <f>IF(D133="","",IF(LEN(TRIM(D133))&lt;&gt;9,"REVISAR",IFERROR(IF(OR(ISNUMBER(VALUE(LEFT(UPPER(TRIM(D133)),1))),LEFT(UPPER(TRIM(D133)),1)="X",LEFT(UPPER(TRIM(D133)),1)="Y",LEFT(UPPER(TRIM(D133)),1)="Z"),IF(MID("TRWAGMYFPDXBNJZSQVHLCKE",MOD(VALUE(SUBSTITUTE(SUBSTITUTE(SUBSTITUTE(LEFT(UPPER(TRIM(D133)),8),"X","0"),"Y","1"),"Z","2")),23)+1,1)=RIGHT(UPPER(TRIM(D133)),1),"OK","REVISAR"),IF(OR(RIGHT(UPPER(TRIM(D133)),1)=TEXT(MOD(10-MOD((VALUE(MID(UPPER(TRIM(D133)),3,1))+VALUE(MID(UPPER(TRIM(D133)),5,1))+VALUE(MID(UPPER(TRIM(D133)),7,1)))+(INT(2*VALUE(MID(UPPER(TRIM(D133)),2,1))/10)+MOD(2*VALUE(MID(UPPER(TRIM(D133)),2,1)),10))+(INT(2*VALUE(MID(UPPER(TRIM(D133)),4,1))/10)+MOD(2*VALUE(MID(UPPER(TRIM(D133)),4,1)),10))+(INT(2*VALUE(MID(UPPER(TRIM(D133)),6,1))/10)+MOD(2*VALUE(MID(UPPER(TRIM(D133)),6,1)),10))+(INT(2*VALUE(MID(UPPER(TRIM(D133)),8,1))/10)+MOD(2*VALUE(MID(UPPER(TRIM(D133)),8,1)),10)),10),10),"0"),RIGHT(UPPER(TRIM(D133)),1)=MID("JABCDEFGHI",MOD(10-MOD((VALUE(MID(UPPER(TRIM(D133)),3,1))+VALUE(MID(UPPER(TRIM(D133)),5,1))+VALUE(MID(UPPER(TRIM(D133)),7,1)))+(INT(2*VALUE(MID(UPPER(TRIM(D133)),2,1))/10)+MOD(2*VALUE(MID(UPPER(TRIM(D133)),2,1)),10))+(INT(2*VALUE(MID(UPPER(TRIM(D133)),4,1))/10)+MOD(2*VALUE(MID(UPPER(TRIM(D133)),4,1)),10))+(INT(2*VALUE(MID(UPPER(TRIM(D133)),6,1))/10)+MOD(2*VALUE(MID(UPPER(TRIM(D133)),6,1)),10))+(INT(2*VALUE(MID(UPPER(TRIM(D133)),8,1))/10)+MOD(2*VALUE(MID(UPPER(TRIM(D133)),8,1)),10)),10),10)+1,1)),"OK","REVISAR")),"REVISAR")))</f>
        <v/>
      </c>
      <c r="Q133">
        <f>IF(B133="","",IF(COUNTIFS($B$2:$B$501,B133,$D$2:$D$501,D133)&gt;1,"DUPLICADA",""))</f>
        <v/>
      </c>
      <c r="R133">
        <f>IF(A133="","",ROUNDUP(MONTH(A133)/3,0))</f>
        <v/>
      </c>
      <c r="S133" s="3" t="n"/>
    </row>
    <row r="134">
      <c r="A134" s="2" t="n"/>
      <c r="B134" s="3" t="n"/>
      <c r="C134" s="3" t="n"/>
      <c r="D134" s="3" t="n"/>
      <c r="E134" s="4" t="n"/>
      <c r="F134" s="4" t="n"/>
      <c r="G134" s="4" t="n"/>
      <c r="H134" s="4" t="n"/>
      <c r="I134" s="5">
        <f>IF(E134="","",ROUND(E134*0.21,2))</f>
        <v/>
      </c>
      <c r="J134" s="5">
        <f>IF(F134="","",ROUND(F134*0.1,2))</f>
        <v/>
      </c>
      <c r="K134" s="5">
        <f>IF(G134="","",ROUND(G134*0.04,2))</f>
        <v/>
      </c>
      <c r="L134" s="4" t="n"/>
      <c r="M134" s="4" t="n"/>
      <c r="N134" s="5">
        <f>IF(A134="","",SUM(E134:K134)-N(L134))</f>
        <v/>
      </c>
      <c r="O134">
        <f>IF(OR(A134="",M134=""),"",IF(ABS(M134-N134)&lt;=0.02,"OK","REVISAR"))</f>
        <v/>
      </c>
      <c r="P134">
        <f>IF(D134="","",IF(LEN(TRIM(D134))&lt;&gt;9,"REVISAR",IFERROR(IF(OR(ISNUMBER(VALUE(LEFT(UPPER(TRIM(D134)),1))),LEFT(UPPER(TRIM(D134)),1)="X",LEFT(UPPER(TRIM(D134)),1)="Y",LEFT(UPPER(TRIM(D134)),1)="Z"),IF(MID("TRWAGMYFPDXBNJZSQVHLCKE",MOD(VALUE(SUBSTITUTE(SUBSTITUTE(SUBSTITUTE(LEFT(UPPER(TRIM(D134)),8),"X","0"),"Y","1"),"Z","2")),23)+1,1)=RIGHT(UPPER(TRIM(D134)),1),"OK","REVISAR"),IF(OR(RIGHT(UPPER(TRIM(D134)),1)=TEXT(MOD(10-MOD((VALUE(MID(UPPER(TRIM(D134)),3,1))+VALUE(MID(UPPER(TRIM(D134)),5,1))+VALUE(MID(UPPER(TRIM(D134)),7,1)))+(INT(2*VALUE(MID(UPPER(TRIM(D134)),2,1))/10)+MOD(2*VALUE(MID(UPPER(TRIM(D134)),2,1)),10))+(INT(2*VALUE(MID(UPPER(TRIM(D134)),4,1))/10)+MOD(2*VALUE(MID(UPPER(TRIM(D134)),4,1)),10))+(INT(2*VALUE(MID(UPPER(TRIM(D134)),6,1))/10)+MOD(2*VALUE(MID(UPPER(TRIM(D134)),6,1)),10))+(INT(2*VALUE(MID(UPPER(TRIM(D134)),8,1))/10)+MOD(2*VALUE(MID(UPPER(TRIM(D134)),8,1)),10)),10),10),"0"),RIGHT(UPPER(TRIM(D134)),1)=MID("JABCDEFGHI",MOD(10-MOD((VALUE(MID(UPPER(TRIM(D134)),3,1))+VALUE(MID(UPPER(TRIM(D134)),5,1))+VALUE(MID(UPPER(TRIM(D134)),7,1)))+(INT(2*VALUE(MID(UPPER(TRIM(D134)),2,1))/10)+MOD(2*VALUE(MID(UPPER(TRIM(D134)),2,1)),10))+(INT(2*VALUE(MID(UPPER(TRIM(D134)),4,1))/10)+MOD(2*VALUE(MID(UPPER(TRIM(D134)),4,1)),10))+(INT(2*VALUE(MID(UPPER(TRIM(D134)),6,1))/10)+MOD(2*VALUE(MID(UPPER(TRIM(D134)),6,1)),10))+(INT(2*VALUE(MID(UPPER(TRIM(D134)),8,1))/10)+MOD(2*VALUE(MID(UPPER(TRIM(D134)),8,1)),10)),10),10)+1,1)),"OK","REVISAR")),"REVISAR")))</f>
        <v/>
      </c>
      <c r="Q134">
        <f>IF(B134="","",IF(COUNTIFS($B$2:$B$501,B134,$D$2:$D$501,D134)&gt;1,"DUPLICADA",""))</f>
        <v/>
      </c>
      <c r="R134">
        <f>IF(A134="","",ROUNDUP(MONTH(A134)/3,0))</f>
        <v/>
      </c>
      <c r="S134" s="3" t="n"/>
    </row>
    <row r="135">
      <c r="A135" s="2" t="n"/>
      <c r="B135" s="3" t="n"/>
      <c r="C135" s="3" t="n"/>
      <c r="D135" s="3" t="n"/>
      <c r="E135" s="4" t="n"/>
      <c r="F135" s="4" t="n"/>
      <c r="G135" s="4" t="n"/>
      <c r="H135" s="4" t="n"/>
      <c r="I135" s="5">
        <f>IF(E135="","",ROUND(E135*0.21,2))</f>
        <v/>
      </c>
      <c r="J135" s="5">
        <f>IF(F135="","",ROUND(F135*0.1,2))</f>
        <v/>
      </c>
      <c r="K135" s="5">
        <f>IF(G135="","",ROUND(G135*0.04,2))</f>
        <v/>
      </c>
      <c r="L135" s="4" t="n"/>
      <c r="M135" s="4" t="n"/>
      <c r="N135" s="5">
        <f>IF(A135="","",SUM(E135:K135)-N(L135))</f>
        <v/>
      </c>
      <c r="O135">
        <f>IF(OR(A135="",M135=""),"",IF(ABS(M135-N135)&lt;=0.02,"OK","REVISAR"))</f>
        <v/>
      </c>
      <c r="P135">
        <f>IF(D135="","",IF(LEN(TRIM(D135))&lt;&gt;9,"REVISAR",IFERROR(IF(OR(ISNUMBER(VALUE(LEFT(UPPER(TRIM(D135)),1))),LEFT(UPPER(TRIM(D135)),1)="X",LEFT(UPPER(TRIM(D135)),1)="Y",LEFT(UPPER(TRIM(D135)),1)="Z"),IF(MID("TRWAGMYFPDXBNJZSQVHLCKE",MOD(VALUE(SUBSTITUTE(SUBSTITUTE(SUBSTITUTE(LEFT(UPPER(TRIM(D135)),8),"X","0"),"Y","1"),"Z","2")),23)+1,1)=RIGHT(UPPER(TRIM(D135)),1),"OK","REVISAR"),IF(OR(RIGHT(UPPER(TRIM(D135)),1)=TEXT(MOD(10-MOD((VALUE(MID(UPPER(TRIM(D135)),3,1))+VALUE(MID(UPPER(TRIM(D135)),5,1))+VALUE(MID(UPPER(TRIM(D135)),7,1)))+(INT(2*VALUE(MID(UPPER(TRIM(D135)),2,1))/10)+MOD(2*VALUE(MID(UPPER(TRIM(D135)),2,1)),10))+(INT(2*VALUE(MID(UPPER(TRIM(D135)),4,1))/10)+MOD(2*VALUE(MID(UPPER(TRIM(D135)),4,1)),10))+(INT(2*VALUE(MID(UPPER(TRIM(D135)),6,1))/10)+MOD(2*VALUE(MID(UPPER(TRIM(D135)),6,1)),10))+(INT(2*VALUE(MID(UPPER(TRIM(D135)),8,1))/10)+MOD(2*VALUE(MID(UPPER(TRIM(D135)),8,1)),10)),10),10),"0"),RIGHT(UPPER(TRIM(D135)),1)=MID("JABCDEFGHI",MOD(10-MOD((VALUE(MID(UPPER(TRIM(D135)),3,1))+VALUE(MID(UPPER(TRIM(D135)),5,1))+VALUE(MID(UPPER(TRIM(D135)),7,1)))+(INT(2*VALUE(MID(UPPER(TRIM(D135)),2,1))/10)+MOD(2*VALUE(MID(UPPER(TRIM(D135)),2,1)),10))+(INT(2*VALUE(MID(UPPER(TRIM(D135)),4,1))/10)+MOD(2*VALUE(MID(UPPER(TRIM(D135)),4,1)),10))+(INT(2*VALUE(MID(UPPER(TRIM(D135)),6,1))/10)+MOD(2*VALUE(MID(UPPER(TRIM(D135)),6,1)),10))+(INT(2*VALUE(MID(UPPER(TRIM(D135)),8,1))/10)+MOD(2*VALUE(MID(UPPER(TRIM(D135)),8,1)),10)),10),10)+1,1)),"OK","REVISAR")),"REVISAR")))</f>
        <v/>
      </c>
      <c r="Q135">
        <f>IF(B135="","",IF(COUNTIFS($B$2:$B$501,B135,$D$2:$D$501,D135)&gt;1,"DUPLICADA",""))</f>
        <v/>
      </c>
      <c r="R135">
        <f>IF(A135="","",ROUNDUP(MONTH(A135)/3,0))</f>
        <v/>
      </c>
      <c r="S135" s="3" t="n"/>
    </row>
    <row r="136">
      <c r="A136" s="2" t="n"/>
      <c r="B136" s="3" t="n"/>
      <c r="C136" s="3" t="n"/>
      <c r="D136" s="3" t="n"/>
      <c r="E136" s="4" t="n"/>
      <c r="F136" s="4" t="n"/>
      <c r="G136" s="4" t="n"/>
      <c r="H136" s="4" t="n"/>
      <c r="I136" s="5">
        <f>IF(E136="","",ROUND(E136*0.21,2))</f>
        <v/>
      </c>
      <c r="J136" s="5">
        <f>IF(F136="","",ROUND(F136*0.1,2))</f>
        <v/>
      </c>
      <c r="K136" s="5">
        <f>IF(G136="","",ROUND(G136*0.04,2))</f>
        <v/>
      </c>
      <c r="L136" s="4" t="n"/>
      <c r="M136" s="4" t="n"/>
      <c r="N136" s="5">
        <f>IF(A136="","",SUM(E136:K136)-N(L136))</f>
        <v/>
      </c>
      <c r="O136">
        <f>IF(OR(A136="",M136=""),"",IF(ABS(M136-N136)&lt;=0.02,"OK","REVISAR"))</f>
        <v/>
      </c>
      <c r="P136">
        <f>IF(D136="","",IF(LEN(TRIM(D136))&lt;&gt;9,"REVISAR",IFERROR(IF(OR(ISNUMBER(VALUE(LEFT(UPPER(TRIM(D136)),1))),LEFT(UPPER(TRIM(D136)),1)="X",LEFT(UPPER(TRIM(D136)),1)="Y",LEFT(UPPER(TRIM(D136)),1)="Z"),IF(MID("TRWAGMYFPDXBNJZSQVHLCKE",MOD(VALUE(SUBSTITUTE(SUBSTITUTE(SUBSTITUTE(LEFT(UPPER(TRIM(D136)),8),"X","0"),"Y","1"),"Z","2")),23)+1,1)=RIGHT(UPPER(TRIM(D136)),1),"OK","REVISAR"),IF(OR(RIGHT(UPPER(TRIM(D136)),1)=TEXT(MOD(10-MOD((VALUE(MID(UPPER(TRIM(D136)),3,1))+VALUE(MID(UPPER(TRIM(D136)),5,1))+VALUE(MID(UPPER(TRIM(D136)),7,1)))+(INT(2*VALUE(MID(UPPER(TRIM(D136)),2,1))/10)+MOD(2*VALUE(MID(UPPER(TRIM(D136)),2,1)),10))+(INT(2*VALUE(MID(UPPER(TRIM(D136)),4,1))/10)+MOD(2*VALUE(MID(UPPER(TRIM(D136)),4,1)),10))+(INT(2*VALUE(MID(UPPER(TRIM(D136)),6,1))/10)+MOD(2*VALUE(MID(UPPER(TRIM(D136)),6,1)),10))+(INT(2*VALUE(MID(UPPER(TRIM(D136)),8,1))/10)+MOD(2*VALUE(MID(UPPER(TRIM(D136)),8,1)),10)),10),10),"0"),RIGHT(UPPER(TRIM(D136)),1)=MID("JABCDEFGHI",MOD(10-MOD((VALUE(MID(UPPER(TRIM(D136)),3,1))+VALUE(MID(UPPER(TRIM(D136)),5,1))+VALUE(MID(UPPER(TRIM(D136)),7,1)))+(INT(2*VALUE(MID(UPPER(TRIM(D136)),2,1))/10)+MOD(2*VALUE(MID(UPPER(TRIM(D136)),2,1)),10))+(INT(2*VALUE(MID(UPPER(TRIM(D136)),4,1))/10)+MOD(2*VALUE(MID(UPPER(TRIM(D136)),4,1)),10))+(INT(2*VALUE(MID(UPPER(TRIM(D136)),6,1))/10)+MOD(2*VALUE(MID(UPPER(TRIM(D136)),6,1)),10))+(INT(2*VALUE(MID(UPPER(TRIM(D136)),8,1))/10)+MOD(2*VALUE(MID(UPPER(TRIM(D136)),8,1)),10)),10),10)+1,1)),"OK","REVISAR")),"REVISAR")))</f>
        <v/>
      </c>
      <c r="Q136">
        <f>IF(B136="","",IF(COUNTIFS($B$2:$B$501,B136,$D$2:$D$501,D136)&gt;1,"DUPLICADA",""))</f>
        <v/>
      </c>
      <c r="R136">
        <f>IF(A136="","",ROUNDUP(MONTH(A136)/3,0))</f>
        <v/>
      </c>
      <c r="S136" s="3" t="n"/>
    </row>
    <row r="137">
      <c r="A137" s="2" t="n"/>
      <c r="B137" s="3" t="n"/>
      <c r="C137" s="3" t="n"/>
      <c r="D137" s="3" t="n"/>
      <c r="E137" s="4" t="n"/>
      <c r="F137" s="4" t="n"/>
      <c r="G137" s="4" t="n"/>
      <c r="H137" s="4" t="n"/>
      <c r="I137" s="5">
        <f>IF(E137="","",ROUND(E137*0.21,2))</f>
        <v/>
      </c>
      <c r="J137" s="5">
        <f>IF(F137="","",ROUND(F137*0.1,2))</f>
        <v/>
      </c>
      <c r="K137" s="5">
        <f>IF(G137="","",ROUND(G137*0.04,2))</f>
        <v/>
      </c>
      <c r="L137" s="4" t="n"/>
      <c r="M137" s="4" t="n"/>
      <c r="N137" s="5">
        <f>IF(A137="","",SUM(E137:K137)-N(L137))</f>
        <v/>
      </c>
      <c r="O137">
        <f>IF(OR(A137="",M137=""),"",IF(ABS(M137-N137)&lt;=0.02,"OK","REVISAR"))</f>
        <v/>
      </c>
      <c r="P137">
        <f>IF(D137="","",IF(LEN(TRIM(D137))&lt;&gt;9,"REVISAR",IFERROR(IF(OR(ISNUMBER(VALUE(LEFT(UPPER(TRIM(D137)),1))),LEFT(UPPER(TRIM(D137)),1)="X",LEFT(UPPER(TRIM(D137)),1)="Y",LEFT(UPPER(TRIM(D137)),1)="Z"),IF(MID("TRWAGMYFPDXBNJZSQVHLCKE",MOD(VALUE(SUBSTITUTE(SUBSTITUTE(SUBSTITUTE(LEFT(UPPER(TRIM(D137)),8),"X","0"),"Y","1"),"Z","2")),23)+1,1)=RIGHT(UPPER(TRIM(D137)),1),"OK","REVISAR"),IF(OR(RIGHT(UPPER(TRIM(D137)),1)=TEXT(MOD(10-MOD((VALUE(MID(UPPER(TRIM(D137)),3,1))+VALUE(MID(UPPER(TRIM(D137)),5,1))+VALUE(MID(UPPER(TRIM(D137)),7,1)))+(INT(2*VALUE(MID(UPPER(TRIM(D137)),2,1))/10)+MOD(2*VALUE(MID(UPPER(TRIM(D137)),2,1)),10))+(INT(2*VALUE(MID(UPPER(TRIM(D137)),4,1))/10)+MOD(2*VALUE(MID(UPPER(TRIM(D137)),4,1)),10))+(INT(2*VALUE(MID(UPPER(TRIM(D137)),6,1))/10)+MOD(2*VALUE(MID(UPPER(TRIM(D137)),6,1)),10))+(INT(2*VALUE(MID(UPPER(TRIM(D137)),8,1))/10)+MOD(2*VALUE(MID(UPPER(TRIM(D137)),8,1)),10)),10),10),"0"),RIGHT(UPPER(TRIM(D137)),1)=MID("JABCDEFGHI",MOD(10-MOD((VALUE(MID(UPPER(TRIM(D137)),3,1))+VALUE(MID(UPPER(TRIM(D137)),5,1))+VALUE(MID(UPPER(TRIM(D137)),7,1)))+(INT(2*VALUE(MID(UPPER(TRIM(D137)),2,1))/10)+MOD(2*VALUE(MID(UPPER(TRIM(D137)),2,1)),10))+(INT(2*VALUE(MID(UPPER(TRIM(D137)),4,1))/10)+MOD(2*VALUE(MID(UPPER(TRIM(D137)),4,1)),10))+(INT(2*VALUE(MID(UPPER(TRIM(D137)),6,1))/10)+MOD(2*VALUE(MID(UPPER(TRIM(D137)),6,1)),10))+(INT(2*VALUE(MID(UPPER(TRIM(D137)),8,1))/10)+MOD(2*VALUE(MID(UPPER(TRIM(D137)),8,1)),10)),10),10)+1,1)),"OK","REVISAR")),"REVISAR")))</f>
        <v/>
      </c>
      <c r="Q137">
        <f>IF(B137="","",IF(COUNTIFS($B$2:$B$501,B137,$D$2:$D$501,D137)&gt;1,"DUPLICADA",""))</f>
        <v/>
      </c>
      <c r="R137">
        <f>IF(A137="","",ROUNDUP(MONTH(A137)/3,0))</f>
        <v/>
      </c>
      <c r="S137" s="3" t="n"/>
    </row>
    <row r="138">
      <c r="A138" s="2" t="n"/>
      <c r="B138" s="3" t="n"/>
      <c r="C138" s="3" t="n"/>
      <c r="D138" s="3" t="n"/>
      <c r="E138" s="4" t="n"/>
      <c r="F138" s="4" t="n"/>
      <c r="G138" s="4" t="n"/>
      <c r="H138" s="4" t="n"/>
      <c r="I138" s="5">
        <f>IF(E138="","",ROUND(E138*0.21,2))</f>
        <v/>
      </c>
      <c r="J138" s="5">
        <f>IF(F138="","",ROUND(F138*0.1,2))</f>
        <v/>
      </c>
      <c r="K138" s="5">
        <f>IF(G138="","",ROUND(G138*0.04,2))</f>
        <v/>
      </c>
      <c r="L138" s="4" t="n"/>
      <c r="M138" s="4" t="n"/>
      <c r="N138" s="5">
        <f>IF(A138="","",SUM(E138:K138)-N(L138))</f>
        <v/>
      </c>
      <c r="O138">
        <f>IF(OR(A138="",M138=""),"",IF(ABS(M138-N138)&lt;=0.02,"OK","REVISAR"))</f>
        <v/>
      </c>
      <c r="P138">
        <f>IF(D138="","",IF(LEN(TRIM(D138))&lt;&gt;9,"REVISAR",IFERROR(IF(OR(ISNUMBER(VALUE(LEFT(UPPER(TRIM(D138)),1))),LEFT(UPPER(TRIM(D138)),1)="X",LEFT(UPPER(TRIM(D138)),1)="Y",LEFT(UPPER(TRIM(D138)),1)="Z"),IF(MID("TRWAGMYFPDXBNJZSQVHLCKE",MOD(VALUE(SUBSTITUTE(SUBSTITUTE(SUBSTITUTE(LEFT(UPPER(TRIM(D138)),8),"X","0"),"Y","1"),"Z","2")),23)+1,1)=RIGHT(UPPER(TRIM(D138)),1),"OK","REVISAR"),IF(OR(RIGHT(UPPER(TRIM(D138)),1)=TEXT(MOD(10-MOD((VALUE(MID(UPPER(TRIM(D138)),3,1))+VALUE(MID(UPPER(TRIM(D138)),5,1))+VALUE(MID(UPPER(TRIM(D138)),7,1)))+(INT(2*VALUE(MID(UPPER(TRIM(D138)),2,1))/10)+MOD(2*VALUE(MID(UPPER(TRIM(D138)),2,1)),10))+(INT(2*VALUE(MID(UPPER(TRIM(D138)),4,1))/10)+MOD(2*VALUE(MID(UPPER(TRIM(D138)),4,1)),10))+(INT(2*VALUE(MID(UPPER(TRIM(D138)),6,1))/10)+MOD(2*VALUE(MID(UPPER(TRIM(D138)),6,1)),10))+(INT(2*VALUE(MID(UPPER(TRIM(D138)),8,1))/10)+MOD(2*VALUE(MID(UPPER(TRIM(D138)),8,1)),10)),10),10),"0"),RIGHT(UPPER(TRIM(D138)),1)=MID("JABCDEFGHI",MOD(10-MOD((VALUE(MID(UPPER(TRIM(D138)),3,1))+VALUE(MID(UPPER(TRIM(D138)),5,1))+VALUE(MID(UPPER(TRIM(D138)),7,1)))+(INT(2*VALUE(MID(UPPER(TRIM(D138)),2,1))/10)+MOD(2*VALUE(MID(UPPER(TRIM(D138)),2,1)),10))+(INT(2*VALUE(MID(UPPER(TRIM(D138)),4,1))/10)+MOD(2*VALUE(MID(UPPER(TRIM(D138)),4,1)),10))+(INT(2*VALUE(MID(UPPER(TRIM(D138)),6,1))/10)+MOD(2*VALUE(MID(UPPER(TRIM(D138)),6,1)),10))+(INT(2*VALUE(MID(UPPER(TRIM(D138)),8,1))/10)+MOD(2*VALUE(MID(UPPER(TRIM(D138)),8,1)),10)),10),10)+1,1)),"OK","REVISAR")),"REVISAR")))</f>
        <v/>
      </c>
      <c r="Q138">
        <f>IF(B138="","",IF(COUNTIFS($B$2:$B$501,B138,$D$2:$D$501,D138)&gt;1,"DUPLICADA",""))</f>
        <v/>
      </c>
      <c r="R138">
        <f>IF(A138="","",ROUNDUP(MONTH(A138)/3,0))</f>
        <v/>
      </c>
      <c r="S138" s="3" t="n"/>
    </row>
    <row r="139">
      <c r="A139" s="2" t="n"/>
      <c r="B139" s="3" t="n"/>
      <c r="C139" s="3" t="n"/>
      <c r="D139" s="3" t="n"/>
      <c r="E139" s="4" t="n"/>
      <c r="F139" s="4" t="n"/>
      <c r="G139" s="4" t="n"/>
      <c r="H139" s="4" t="n"/>
      <c r="I139" s="5">
        <f>IF(E139="","",ROUND(E139*0.21,2))</f>
        <v/>
      </c>
      <c r="J139" s="5">
        <f>IF(F139="","",ROUND(F139*0.1,2))</f>
        <v/>
      </c>
      <c r="K139" s="5">
        <f>IF(G139="","",ROUND(G139*0.04,2))</f>
        <v/>
      </c>
      <c r="L139" s="4" t="n"/>
      <c r="M139" s="4" t="n"/>
      <c r="N139" s="5">
        <f>IF(A139="","",SUM(E139:K139)-N(L139))</f>
        <v/>
      </c>
      <c r="O139">
        <f>IF(OR(A139="",M139=""),"",IF(ABS(M139-N139)&lt;=0.02,"OK","REVISAR"))</f>
        <v/>
      </c>
      <c r="P139">
        <f>IF(D139="","",IF(LEN(TRIM(D139))&lt;&gt;9,"REVISAR",IFERROR(IF(OR(ISNUMBER(VALUE(LEFT(UPPER(TRIM(D139)),1))),LEFT(UPPER(TRIM(D139)),1)="X",LEFT(UPPER(TRIM(D139)),1)="Y",LEFT(UPPER(TRIM(D139)),1)="Z"),IF(MID("TRWAGMYFPDXBNJZSQVHLCKE",MOD(VALUE(SUBSTITUTE(SUBSTITUTE(SUBSTITUTE(LEFT(UPPER(TRIM(D139)),8),"X","0"),"Y","1"),"Z","2")),23)+1,1)=RIGHT(UPPER(TRIM(D139)),1),"OK","REVISAR"),IF(OR(RIGHT(UPPER(TRIM(D139)),1)=TEXT(MOD(10-MOD((VALUE(MID(UPPER(TRIM(D139)),3,1))+VALUE(MID(UPPER(TRIM(D139)),5,1))+VALUE(MID(UPPER(TRIM(D139)),7,1)))+(INT(2*VALUE(MID(UPPER(TRIM(D139)),2,1))/10)+MOD(2*VALUE(MID(UPPER(TRIM(D139)),2,1)),10))+(INT(2*VALUE(MID(UPPER(TRIM(D139)),4,1))/10)+MOD(2*VALUE(MID(UPPER(TRIM(D139)),4,1)),10))+(INT(2*VALUE(MID(UPPER(TRIM(D139)),6,1))/10)+MOD(2*VALUE(MID(UPPER(TRIM(D139)),6,1)),10))+(INT(2*VALUE(MID(UPPER(TRIM(D139)),8,1))/10)+MOD(2*VALUE(MID(UPPER(TRIM(D139)),8,1)),10)),10),10),"0"),RIGHT(UPPER(TRIM(D139)),1)=MID("JABCDEFGHI",MOD(10-MOD((VALUE(MID(UPPER(TRIM(D139)),3,1))+VALUE(MID(UPPER(TRIM(D139)),5,1))+VALUE(MID(UPPER(TRIM(D139)),7,1)))+(INT(2*VALUE(MID(UPPER(TRIM(D139)),2,1))/10)+MOD(2*VALUE(MID(UPPER(TRIM(D139)),2,1)),10))+(INT(2*VALUE(MID(UPPER(TRIM(D139)),4,1))/10)+MOD(2*VALUE(MID(UPPER(TRIM(D139)),4,1)),10))+(INT(2*VALUE(MID(UPPER(TRIM(D139)),6,1))/10)+MOD(2*VALUE(MID(UPPER(TRIM(D139)),6,1)),10))+(INT(2*VALUE(MID(UPPER(TRIM(D139)),8,1))/10)+MOD(2*VALUE(MID(UPPER(TRIM(D139)),8,1)),10)),10),10)+1,1)),"OK","REVISAR")),"REVISAR")))</f>
        <v/>
      </c>
      <c r="Q139">
        <f>IF(B139="","",IF(COUNTIFS($B$2:$B$501,B139,$D$2:$D$501,D139)&gt;1,"DUPLICADA",""))</f>
        <v/>
      </c>
      <c r="R139">
        <f>IF(A139="","",ROUNDUP(MONTH(A139)/3,0))</f>
        <v/>
      </c>
      <c r="S139" s="3" t="n"/>
    </row>
    <row r="140">
      <c r="A140" s="2" t="n"/>
      <c r="B140" s="3" t="n"/>
      <c r="C140" s="3" t="n"/>
      <c r="D140" s="3" t="n"/>
      <c r="E140" s="4" t="n"/>
      <c r="F140" s="4" t="n"/>
      <c r="G140" s="4" t="n"/>
      <c r="H140" s="4" t="n"/>
      <c r="I140" s="5">
        <f>IF(E140="","",ROUND(E140*0.21,2))</f>
        <v/>
      </c>
      <c r="J140" s="5">
        <f>IF(F140="","",ROUND(F140*0.1,2))</f>
        <v/>
      </c>
      <c r="K140" s="5">
        <f>IF(G140="","",ROUND(G140*0.04,2))</f>
        <v/>
      </c>
      <c r="L140" s="4" t="n"/>
      <c r="M140" s="4" t="n"/>
      <c r="N140" s="5">
        <f>IF(A140="","",SUM(E140:K140)-N(L140))</f>
        <v/>
      </c>
      <c r="O140">
        <f>IF(OR(A140="",M140=""),"",IF(ABS(M140-N140)&lt;=0.02,"OK","REVISAR"))</f>
        <v/>
      </c>
      <c r="P140">
        <f>IF(D140="","",IF(LEN(TRIM(D140))&lt;&gt;9,"REVISAR",IFERROR(IF(OR(ISNUMBER(VALUE(LEFT(UPPER(TRIM(D140)),1))),LEFT(UPPER(TRIM(D140)),1)="X",LEFT(UPPER(TRIM(D140)),1)="Y",LEFT(UPPER(TRIM(D140)),1)="Z"),IF(MID("TRWAGMYFPDXBNJZSQVHLCKE",MOD(VALUE(SUBSTITUTE(SUBSTITUTE(SUBSTITUTE(LEFT(UPPER(TRIM(D140)),8),"X","0"),"Y","1"),"Z","2")),23)+1,1)=RIGHT(UPPER(TRIM(D140)),1),"OK","REVISAR"),IF(OR(RIGHT(UPPER(TRIM(D140)),1)=TEXT(MOD(10-MOD((VALUE(MID(UPPER(TRIM(D140)),3,1))+VALUE(MID(UPPER(TRIM(D140)),5,1))+VALUE(MID(UPPER(TRIM(D140)),7,1)))+(INT(2*VALUE(MID(UPPER(TRIM(D140)),2,1))/10)+MOD(2*VALUE(MID(UPPER(TRIM(D140)),2,1)),10))+(INT(2*VALUE(MID(UPPER(TRIM(D140)),4,1))/10)+MOD(2*VALUE(MID(UPPER(TRIM(D140)),4,1)),10))+(INT(2*VALUE(MID(UPPER(TRIM(D140)),6,1))/10)+MOD(2*VALUE(MID(UPPER(TRIM(D140)),6,1)),10))+(INT(2*VALUE(MID(UPPER(TRIM(D140)),8,1))/10)+MOD(2*VALUE(MID(UPPER(TRIM(D140)),8,1)),10)),10),10),"0"),RIGHT(UPPER(TRIM(D140)),1)=MID("JABCDEFGHI",MOD(10-MOD((VALUE(MID(UPPER(TRIM(D140)),3,1))+VALUE(MID(UPPER(TRIM(D140)),5,1))+VALUE(MID(UPPER(TRIM(D140)),7,1)))+(INT(2*VALUE(MID(UPPER(TRIM(D140)),2,1))/10)+MOD(2*VALUE(MID(UPPER(TRIM(D140)),2,1)),10))+(INT(2*VALUE(MID(UPPER(TRIM(D140)),4,1))/10)+MOD(2*VALUE(MID(UPPER(TRIM(D140)),4,1)),10))+(INT(2*VALUE(MID(UPPER(TRIM(D140)),6,1))/10)+MOD(2*VALUE(MID(UPPER(TRIM(D140)),6,1)),10))+(INT(2*VALUE(MID(UPPER(TRIM(D140)),8,1))/10)+MOD(2*VALUE(MID(UPPER(TRIM(D140)),8,1)),10)),10),10)+1,1)),"OK","REVISAR")),"REVISAR")))</f>
        <v/>
      </c>
      <c r="Q140">
        <f>IF(B140="","",IF(COUNTIFS($B$2:$B$501,B140,$D$2:$D$501,D140)&gt;1,"DUPLICADA",""))</f>
        <v/>
      </c>
      <c r="R140">
        <f>IF(A140="","",ROUNDUP(MONTH(A140)/3,0))</f>
        <v/>
      </c>
      <c r="S140" s="3" t="n"/>
    </row>
    <row r="141">
      <c r="A141" s="2" t="n"/>
      <c r="B141" s="3" t="n"/>
      <c r="C141" s="3" t="n"/>
      <c r="D141" s="3" t="n"/>
      <c r="E141" s="4" t="n"/>
      <c r="F141" s="4" t="n"/>
      <c r="G141" s="4" t="n"/>
      <c r="H141" s="4" t="n"/>
      <c r="I141" s="5">
        <f>IF(E141="","",ROUND(E141*0.21,2))</f>
        <v/>
      </c>
      <c r="J141" s="5">
        <f>IF(F141="","",ROUND(F141*0.1,2))</f>
        <v/>
      </c>
      <c r="K141" s="5">
        <f>IF(G141="","",ROUND(G141*0.04,2))</f>
        <v/>
      </c>
      <c r="L141" s="4" t="n"/>
      <c r="M141" s="4" t="n"/>
      <c r="N141" s="5">
        <f>IF(A141="","",SUM(E141:K141)-N(L141))</f>
        <v/>
      </c>
      <c r="O141">
        <f>IF(OR(A141="",M141=""),"",IF(ABS(M141-N141)&lt;=0.02,"OK","REVISAR"))</f>
        <v/>
      </c>
      <c r="P141">
        <f>IF(D141="","",IF(LEN(TRIM(D141))&lt;&gt;9,"REVISAR",IFERROR(IF(OR(ISNUMBER(VALUE(LEFT(UPPER(TRIM(D141)),1))),LEFT(UPPER(TRIM(D141)),1)="X",LEFT(UPPER(TRIM(D141)),1)="Y",LEFT(UPPER(TRIM(D141)),1)="Z"),IF(MID("TRWAGMYFPDXBNJZSQVHLCKE",MOD(VALUE(SUBSTITUTE(SUBSTITUTE(SUBSTITUTE(LEFT(UPPER(TRIM(D141)),8),"X","0"),"Y","1"),"Z","2")),23)+1,1)=RIGHT(UPPER(TRIM(D141)),1),"OK","REVISAR"),IF(OR(RIGHT(UPPER(TRIM(D141)),1)=TEXT(MOD(10-MOD((VALUE(MID(UPPER(TRIM(D141)),3,1))+VALUE(MID(UPPER(TRIM(D141)),5,1))+VALUE(MID(UPPER(TRIM(D141)),7,1)))+(INT(2*VALUE(MID(UPPER(TRIM(D141)),2,1))/10)+MOD(2*VALUE(MID(UPPER(TRIM(D141)),2,1)),10))+(INT(2*VALUE(MID(UPPER(TRIM(D141)),4,1))/10)+MOD(2*VALUE(MID(UPPER(TRIM(D141)),4,1)),10))+(INT(2*VALUE(MID(UPPER(TRIM(D141)),6,1))/10)+MOD(2*VALUE(MID(UPPER(TRIM(D141)),6,1)),10))+(INT(2*VALUE(MID(UPPER(TRIM(D141)),8,1))/10)+MOD(2*VALUE(MID(UPPER(TRIM(D141)),8,1)),10)),10),10),"0"),RIGHT(UPPER(TRIM(D141)),1)=MID("JABCDEFGHI",MOD(10-MOD((VALUE(MID(UPPER(TRIM(D141)),3,1))+VALUE(MID(UPPER(TRIM(D141)),5,1))+VALUE(MID(UPPER(TRIM(D141)),7,1)))+(INT(2*VALUE(MID(UPPER(TRIM(D141)),2,1))/10)+MOD(2*VALUE(MID(UPPER(TRIM(D141)),2,1)),10))+(INT(2*VALUE(MID(UPPER(TRIM(D141)),4,1))/10)+MOD(2*VALUE(MID(UPPER(TRIM(D141)),4,1)),10))+(INT(2*VALUE(MID(UPPER(TRIM(D141)),6,1))/10)+MOD(2*VALUE(MID(UPPER(TRIM(D141)),6,1)),10))+(INT(2*VALUE(MID(UPPER(TRIM(D141)),8,1))/10)+MOD(2*VALUE(MID(UPPER(TRIM(D141)),8,1)),10)),10),10)+1,1)),"OK","REVISAR")),"REVISAR")))</f>
        <v/>
      </c>
      <c r="Q141">
        <f>IF(B141="","",IF(COUNTIFS($B$2:$B$501,B141,$D$2:$D$501,D141)&gt;1,"DUPLICADA",""))</f>
        <v/>
      </c>
      <c r="R141">
        <f>IF(A141="","",ROUNDUP(MONTH(A141)/3,0))</f>
        <v/>
      </c>
      <c r="S141" s="3" t="n"/>
    </row>
    <row r="142">
      <c r="A142" s="2" t="n"/>
      <c r="B142" s="3" t="n"/>
      <c r="C142" s="3" t="n"/>
      <c r="D142" s="3" t="n"/>
      <c r="E142" s="4" t="n"/>
      <c r="F142" s="4" t="n"/>
      <c r="G142" s="4" t="n"/>
      <c r="H142" s="4" t="n"/>
      <c r="I142" s="5">
        <f>IF(E142="","",ROUND(E142*0.21,2))</f>
        <v/>
      </c>
      <c r="J142" s="5">
        <f>IF(F142="","",ROUND(F142*0.1,2))</f>
        <v/>
      </c>
      <c r="K142" s="5">
        <f>IF(G142="","",ROUND(G142*0.04,2))</f>
        <v/>
      </c>
      <c r="L142" s="4" t="n"/>
      <c r="M142" s="4" t="n"/>
      <c r="N142" s="5">
        <f>IF(A142="","",SUM(E142:K142)-N(L142))</f>
        <v/>
      </c>
      <c r="O142">
        <f>IF(OR(A142="",M142=""),"",IF(ABS(M142-N142)&lt;=0.02,"OK","REVISAR"))</f>
        <v/>
      </c>
      <c r="P142">
        <f>IF(D142="","",IF(LEN(TRIM(D142))&lt;&gt;9,"REVISAR",IFERROR(IF(OR(ISNUMBER(VALUE(LEFT(UPPER(TRIM(D142)),1))),LEFT(UPPER(TRIM(D142)),1)="X",LEFT(UPPER(TRIM(D142)),1)="Y",LEFT(UPPER(TRIM(D142)),1)="Z"),IF(MID("TRWAGMYFPDXBNJZSQVHLCKE",MOD(VALUE(SUBSTITUTE(SUBSTITUTE(SUBSTITUTE(LEFT(UPPER(TRIM(D142)),8),"X","0"),"Y","1"),"Z","2")),23)+1,1)=RIGHT(UPPER(TRIM(D142)),1),"OK","REVISAR"),IF(OR(RIGHT(UPPER(TRIM(D142)),1)=TEXT(MOD(10-MOD((VALUE(MID(UPPER(TRIM(D142)),3,1))+VALUE(MID(UPPER(TRIM(D142)),5,1))+VALUE(MID(UPPER(TRIM(D142)),7,1)))+(INT(2*VALUE(MID(UPPER(TRIM(D142)),2,1))/10)+MOD(2*VALUE(MID(UPPER(TRIM(D142)),2,1)),10))+(INT(2*VALUE(MID(UPPER(TRIM(D142)),4,1))/10)+MOD(2*VALUE(MID(UPPER(TRIM(D142)),4,1)),10))+(INT(2*VALUE(MID(UPPER(TRIM(D142)),6,1))/10)+MOD(2*VALUE(MID(UPPER(TRIM(D142)),6,1)),10))+(INT(2*VALUE(MID(UPPER(TRIM(D142)),8,1))/10)+MOD(2*VALUE(MID(UPPER(TRIM(D142)),8,1)),10)),10),10),"0"),RIGHT(UPPER(TRIM(D142)),1)=MID("JABCDEFGHI",MOD(10-MOD((VALUE(MID(UPPER(TRIM(D142)),3,1))+VALUE(MID(UPPER(TRIM(D142)),5,1))+VALUE(MID(UPPER(TRIM(D142)),7,1)))+(INT(2*VALUE(MID(UPPER(TRIM(D142)),2,1))/10)+MOD(2*VALUE(MID(UPPER(TRIM(D142)),2,1)),10))+(INT(2*VALUE(MID(UPPER(TRIM(D142)),4,1))/10)+MOD(2*VALUE(MID(UPPER(TRIM(D142)),4,1)),10))+(INT(2*VALUE(MID(UPPER(TRIM(D142)),6,1))/10)+MOD(2*VALUE(MID(UPPER(TRIM(D142)),6,1)),10))+(INT(2*VALUE(MID(UPPER(TRIM(D142)),8,1))/10)+MOD(2*VALUE(MID(UPPER(TRIM(D142)),8,1)),10)),10),10)+1,1)),"OK","REVISAR")),"REVISAR")))</f>
        <v/>
      </c>
      <c r="Q142">
        <f>IF(B142="","",IF(COUNTIFS($B$2:$B$501,B142,$D$2:$D$501,D142)&gt;1,"DUPLICADA",""))</f>
        <v/>
      </c>
      <c r="R142">
        <f>IF(A142="","",ROUNDUP(MONTH(A142)/3,0))</f>
        <v/>
      </c>
      <c r="S142" s="3" t="n"/>
    </row>
    <row r="143">
      <c r="A143" s="2" t="n"/>
      <c r="B143" s="3" t="n"/>
      <c r="C143" s="3" t="n"/>
      <c r="D143" s="3" t="n"/>
      <c r="E143" s="4" t="n"/>
      <c r="F143" s="4" t="n"/>
      <c r="G143" s="4" t="n"/>
      <c r="H143" s="4" t="n"/>
      <c r="I143" s="5">
        <f>IF(E143="","",ROUND(E143*0.21,2))</f>
        <v/>
      </c>
      <c r="J143" s="5">
        <f>IF(F143="","",ROUND(F143*0.1,2))</f>
        <v/>
      </c>
      <c r="K143" s="5">
        <f>IF(G143="","",ROUND(G143*0.04,2))</f>
        <v/>
      </c>
      <c r="L143" s="4" t="n"/>
      <c r="M143" s="4" t="n"/>
      <c r="N143" s="5">
        <f>IF(A143="","",SUM(E143:K143)-N(L143))</f>
        <v/>
      </c>
      <c r="O143">
        <f>IF(OR(A143="",M143=""),"",IF(ABS(M143-N143)&lt;=0.02,"OK","REVISAR"))</f>
        <v/>
      </c>
      <c r="P143">
        <f>IF(D143="","",IF(LEN(TRIM(D143))&lt;&gt;9,"REVISAR",IFERROR(IF(OR(ISNUMBER(VALUE(LEFT(UPPER(TRIM(D143)),1))),LEFT(UPPER(TRIM(D143)),1)="X",LEFT(UPPER(TRIM(D143)),1)="Y",LEFT(UPPER(TRIM(D143)),1)="Z"),IF(MID("TRWAGMYFPDXBNJZSQVHLCKE",MOD(VALUE(SUBSTITUTE(SUBSTITUTE(SUBSTITUTE(LEFT(UPPER(TRIM(D143)),8),"X","0"),"Y","1"),"Z","2")),23)+1,1)=RIGHT(UPPER(TRIM(D143)),1),"OK","REVISAR"),IF(OR(RIGHT(UPPER(TRIM(D143)),1)=TEXT(MOD(10-MOD((VALUE(MID(UPPER(TRIM(D143)),3,1))+VALUE(MID(UPPER(TRIM(D143)),5,1))+VALUE(MID(UPPER(TRIM(D143)),7,1)))+(INT(2*VALUE(MID(UPPER(TRIM(D143)),2,1))/10)+MOD(2*VALUE(MID(UPPER(TRIM(D143)),2,1)),10))+(INT(2*VALUE(MID(UPPER(TRIM(D143)),4,1))/10)+MOD(2*VALUE(MID(UPPER(TRIM(D143)),4,1)),10))+(INT(2*VALUE(MID(UPPER(TRIM(D143)),6,1))/10)+MOD(2*VALUE(MID(UPPER(TRIM(D143)),6,1)),10))+(INT(2*VALUE(MID(UPPER(TRIM(D143)),8,1))/10)+MOD(2*VALUE(MID(UPPER(TRIM(D143)),8,1)),10)),10),10),"0"),RIGHT(UPPER(TRIM(D143)),1)=MID("JABCDEFGHI",MOD(10-MOD((VALUE(MID(UPPER(TRIM(D143)),3,1))+VALUE(MID(UPPER(TRIM(D143)),5,1))+VALUE(MID(UPPER(TRIM(D143)),7,1)))+(INT(2*VALUE(MID(UPPER(TRIM(D143)),2,1))/10)+MOD(2*VALUE(MID(UPPER(TRIM(D143)),2,1)),10))+(INT(2*VALUE(MID(UPPER(TRIM(D143)),4,1))/10)+MOD(2*VALUE(MID(UPPER(TRIM(D143)),4,1)),10))+(INT(2*VALUE(MID(UPPER(TRIM(D143)),6,1))/10)+MOD(2*VALUE(MID(UPPER(TRIM(D143)),6,1)),10))+(INT(2*VALUE(MID(UPPER(TRIM(D143)),8,1))/10)+MOD(2*VALUE(MID(UPPER(TRIM(D143)),8,1)),10)),10),10)+1,1)),"OK","REVISAR")),"REVISAR")))</f>
        <v/>
      </c>
      <c r="Q143">
        <f>IF(B143="","",IF(COUNTIFS($B$2:$B$501,B143,$D$2:$D$501,D143)&gt;1,"DUPLICADA",""))</f>
        <v/>
      </c>
      <c r="R143">
        <f>IF(A143="","",ROUNDUP(MONTH(A143)/3,0))</f>
        <v/>
      </c>
      <c r="S143" s="3" t="n"/>
    </row>
    <row r="144">
      <c r="A144" s="2" t="n"/>
      <c r="B144" s="3" t="n"/>
      <c r="C144" s="3" t="n"/>
      <c r="D144" s="3" t="n"/>
      <c r="E144" s="4" t="n"/>
      <c r="F144" s="4" t="n"/>
      <c r="G144" s="4" t="n"/>
      <c r="H144" s="4" t="n"/>
      <c r="I144" s="5">
        <f>IF(E144="","",ROUND(E144*0.21,2))</f>
        <v/>
      </c>
      <c r="J144" s="5">
        <f>IF(F144="","",ROUND(F144*0.1,2))</f>
        <v/>
      </c>
      <c r="K144" s="5">
        <f>IF(G144="","",ROUND(G144*0.04,2))</f>
        <v/>
      </c>
      <c r="L144" s="4" t="n"/>
      <c r="M144" s="4" t="n"/>
      <c r="N144" s="5">
        <f>IF(A144="","",SUM(E144:K144)-N(L144))</f>
        <v/>
      </c>
      <c r="O144">
        <f>IF(OR(A144="",M144=""),"",IF(ABS(M144-N144)&lt;=0.02,"OK","REVISAR"))</f>
        <v/>
      </c>
      <c r="P144">
        <f>IF(D144="","",IF(LEN(TRIM(D144))&lt;&gt;9,"REVISAR",IFERROR(IF(OR(ISNUMBER(VALUE(LEFT(UPPER(TRIM(D144)),1))),LEFT(UPPER(TRIM(D144)),1)="X",LEFT(UPPER(TRIM(D144)),1)="Y",LEFT(UPPER(TRIM(D144)),1)="Z"),IF(MID("TRWAGMYFPDXBNJZSQVHLCKE",MOD(VALUE(SUBSTITUTE(SUBSTITUTE(SUBSTITUTE(LEFT(UPPER(TRIM(D144)),8),"X","0"),"Y","1"),"Z","2")),23)+1,1)=RIGHT(UPPER(TRIM(D144)),1),"OK","REVISAR"),IF(OR(RIGHT(UPPER(TRIM(D144)),1)=TEXT(MOD(10-MOD((VALUE(MID(UPPER(TRIM(D144)),3,1))+VALUE(MID(UPPER(TRIM(D144)),5,1))+VALUE(MID(UPPER(TRIM(D144)),7,1)))+(INT(2*VALUE(MID(UPPER(TRIM(D144)),2,1))/10)+MOD(2*VALUE(MID(UPPER(TRIM(D144)),2,1)),10))+(INT(2*VALUE(MID(UPPER(TRIM(D144)),4,1))/10)+MOD(2*VALUE(MID(UPPER(TRIM(D144)),4,1)),10))+(INT(2*VALUE(MID(UPPER(TRIM(D144)),6,1))/10)+MOD(2*VALUE(MID(UPPER(TRIM(D144)),6,1)),10))+(INT(2*VALUE(MID(UPPER(TRIM(D144)),8,1))/10)+MOD(2*VALUE(MID(UPPER(TRIM(D144)),8,1)),10)),10),10),"0"),RIGHT(UPPER(TRIM(D144)),1)=MID("JABCDEFGHI",MOD(10-MOD((VALUE(MID(UPPER(TRIM(D144)),3,1))+VALUE(MID(UPPER(TRIM(D144)),5,1))+VALUE(MID(UPPER(TRIM(D144)),7,1)))+(INT(2*VALUE(MID(UPPER(TRIM(D144)),2,1))/10)+MOD(2*VALUE(MID(UPPER(TRIM(D144)),2,1)),10))+(INT(2*VALUE(MID(UPPER(TRIM(D144)),4,1))/10)+MOD(2*VALUE(MID(UPPER(TRIM(D144)),4,1)),10))+(INT(2*VALUE(MID(UPPER(TRIM(D144)),6,1))/10)+MOD(2*VALUE(MID(UPPER(TRIM(D144)),6,1)),10))+(INT(2*VALUE(MID(UPPER(TRIM(D144)),8,1))/10)+MOD(2*VALUE(MID(UPPER(TRIM(D144)),8,1)),10)),10),10)+1,1)),"OK","REVISAR")),"REVISAR")))</f>
        <v/>
      </c>
      <c r="Q144">
        <f>IF(B144="","",IF(COUNTIFS($B$2:$B$501,B144,$D$2:$D$501,D144)&gt;1,"DUPLICADA",""))</f>
        <v/>
      </c>
      <c r="R144">
        <f>IF(A144="","",ROUNDUP(MONTH(A144)/3,0))</f>
        <v/>
      </c>
      <c r="S144" s="3" t="n"/>
    </row>
    <row r="145">
      <c r="A145" s="2" t="n"/>
      <c r="B145" s="3" t="n"/>
      <c r="C145" s="3" t="n"/>
      <c r="D145" s="3" t="n"/>
      <c r="E145" s="4" t="n"/>
      <c r="F145" s="4" t="n"/>
      <c r="G145" s="4" t="n"/>
      <c r="H145" s="4" t="n"/>
      <c r="I145" s="5">
        <f>IF(E145="","",ROUND(E145*0.21,2))</f>
        <v/>
      </c>
      <c r="J145" s="5">
        <f>IF(F145="","",ROUND(F145*0.1,2))</f>
        <v/>
      </c>
      <c r="K145" s="5">
        <f>IF(G145="","",ROUND(G145*0.04,2))</f>
        <v/>
      </c>
      <c r="L145" s="4" t="n"/>
      <c r="M145" s="4" t="n"/>
      <c r="N145" s="5">
        <f>IF(A145="","",SUM(E145:K145)-N(L145))</f>
        <v/>
      </c>
      <c r="O145">
        <f>IF(OR(A145="",M145=""),"",IF(ABS(M145-N145)&lt;=0.02,"OK","REVISAR"))</f>
        <v/>
      </c>
      <c r="P145">
        <f>IF(D145="","",IF(LEN(TRIM(D145))&lt;&gt;9,"REVISAR",IFERROR(IF(OR(ISNUMBER(VALUE(LEFT(UPPER(TRIM(D145)),1))),LEFT(UPPER(TRIM(D145)),1)="X",LEFT(UPPER(TRIM(D145)),1)="Y",LEFT(UPPER(TRIM(D145)),1)="Z"),IF(MID("TRWAGMYFPDXBNJZSQVHLCKE",MOD(VALUE(SUBSTITUTE(SUBSTITUTE(SUBSTITUTE(LEFT(UPPER(TRIM(D145)),8),"X","0"),"Y","1"),"Z","2")),23)+1,1)=RIGHT(UPPER(TRIM(D145)),1),"OK","REVISAR"),IF(OR(RIGHT(UPPER(TRIM(D145)),1)=TEXT(MOD(10-MOD((VALUE(MID(UPPER(TRIM(D145)),3,1))+VALUE(MID(UPPER(TRIM(D145)),5,1))+VALUE(MID(UPPER(TRIM(D145)),7,1)))+(INT(2*VALUE(MID(UPPER(TRIM(D145)),2,1))/10)+MOD(2*VALUE(MID(UPPER(TRIM(D145)),2,1)),10))+(INT(2*VALUE(MID(UPPER(TRIM(D145)),4,1))/10)+MOD(2*VALUE(MID(UPPER(TRIM(D145)),4,1)),10))+(INT(2*VALUE(MID(UPPER(TRIM(D145)),6,1))/10)+MOD(2*VALUE(MID(UPPER(TRIM(D145)),6,1)),10))+(INT(2*VALUE(MID(UPPER(TRIM(D145)),8,1))/10)+MOD(2*VALUE(MID(UPPER(TRIM(D145)),8,1)),10)),10),10),"0"),RIGHT(UPPER(TRIM(D145)),1)=MID("JABCDEFGHI",MOD(10-MOD((VALUE(MID(UPPER(TRIM(D145)),3,1))+VALUE(MID(UPPER(TRIM(D145)),5,1))+VALUE(MID(UPPER(TRIM(D145)),7,1)))+(INT(2*VALUE(MID(UPPER(TRIM(D145)),2,1))/10)+MOD(2*VALUE(MID(UPPER(TRIM(D145)),2,1)),10))+(INT(2*VALUE(MID(UPPER(TRIM(D145)),4,1))/10)+MOD(2*VALUE(MID(UPPER(TRIM(D145)),4,1)),10))+(INT(2*VALUE(MID(UPPER(TRIM(D145)),6,1))/10)+MOD(2*VALUE(MID(UPPER(TRIM(D145)),6,1)),10))+(INT(2*VALUE(MID(UPPER(TRIM(D145)),8,1))/10)+MOD(2*VALUE(MID(UPPER(TRIM(D145)),8,1)),10)),10),10)+1,1)),"OK","REVISAR")),"REVISAR")))</f>
        <v/>
      </c>
      <c r="Q145">
        <f>IF(B145="","",IF(COUNTIFS($B$2:$B$501,B145,$D$2:$D$501,D145)&gt;1,"DUPLICADA",""))</f>
        <v/>
      </c>
      <c r="R145">
        <f>IF(A145="","",ROUNDUP(MONTH(A145)/3,0))</f>
        <v/>
      </c>
      <c r="S145" s="3" t="n"/>
    </row>
    <row r="146">
      <c r="A146" s="2" t="n"/>
      <c r="B146" s="3" t="n"/>
      <c r="C146" s="3" t="n"/>
      <c r="D146" s="3" t="n"/>
      <c r="E146" s="4" t="n"/>
      <c r="F146" s="4" t="n"/>
      <c r="G146" s="4" t="n"/>
      <c r="H146" s="4" t="n"/>
      <c r="I146" s="5">
        <f>IF(E146="","",ROUND(E146*0.21,2))</f>
        <v/>
      </c>
      <c r="J146" s="5">
        <f>IF(F146="","",ROUND(F146*0.1,2))</f>
        <v/>
      </c>
      <c r="K146" s="5">
        <f>IF(G146="","",ROUND(G146*0.04,2))</f>
        <v/>
      </c>
      <c r="L146" s="4" t="n"/>
      <c r="M146" s="4" t="n"/>
      <c r="N146" s="5">
        <f>IF(A146="","",SUM(E146:K146)-N(L146))</f>
        <v/>
      </c>
      <c r="O146">
        <f>IF(OR(A146="",M146=""),"",IF(ABS(M146-N146)&lt;=0.02,"OK","REVISAR"))</f>
        <v/>
      </c>
      <c r="P146">
        <f>IF(D146="","",IF(LEN(TRIM(D146))&lt;&gt;9,"REVISAR",IFERROR(IF(OR(ISNUMBER(VALUE(LEFT(UPPER(TRIM(D146)),1))),LEFT(UPPER(TRIM(D146)),1)="X",LEFT(UPPER(TRIM(D146)),1)="Y",LEFT(UPPER(TRIM(D146)),1)="Z"),IF(MID("TRWAGMYFPDXBNJZSQVHLCKE",MOD(VALUE(SUBSTITUTE(SUBSTITUTE(SUBSTITUTE(LEFT(UPPER(TRIM(D146)),8),"X","0"),"Y","1"),"Z","2")),23)+1,1)=RIGHT(UPPER(TRIM(D146)),1),"OK","REVISAR"),IF(OR(RIGHT(UPPER(TRIM(D146)),1)=TEXT(MOD(10-MOD((VALUE(MID(UPPER(TRIM(D146)),3,1))+VALUE(MID(UPPER(TRIM(D146)),5,1))+VALUE(MID(UPPER(TRIM(D146)),7,1)))+(INT(2*VALUE(MID(UPPER(TRIM(D146)),2,1))/10)+MOD(2*VALUE(MID(UPPER(TRIM(D146)),2,1)),10))+(INT(2*VALUE(MID(UPPER(TRIM(D146)),4,1))/10)+MOD(2*VALUE(MID(UPPER(TRIM(D146)),4,1)),10))+(INT(2*VALUE(MID(UPPER(TRIM(D146)),6,1))/10)+MOD(2*VALUE(MID(UPPER(TRIM(D146)),6,1)),10))+(INT(2*VALUE(MID(UPPER(TRIM(D146)),8,1))/10)+MOD(2*VALUE(MID(UPPER(TRIM(D146)),8,1)),10)),10),10),"0"),RIGHT(UPPER(TRIM(D146)),1)=MID("JABCDEFGHI",MOD(10-MOD((VALUE(MID(UPPER(TRIM(D146)),3,1))+VALUE(MID(UPPER(TRIM(D146)),5,1))+VALUE(MID(UPPER(TRIM(D146)),7,1)))+(INT(2*VALUE(MID(UPPER(TRIM(D146)),2,1))/10)+MOD(2*VALUE(MID(UPPER(TRIM(D146)),2,1)),10))+(INT(2*VALUE(MID(UPPER(TRIM(D146)),4,1))/10)+MOD(2*VALUE(MID(UPPER(TRIM(D146)),4,1)),10))+(INT(2*VALUE(MID(UPPER(TRIM(D146)),6,1))/10)+MOD(2*VALUE(MID(UPPER(TRIM(D146)),6,1)),10))+(INT(2*VALUE(MID(UPPER(TRIM(D146)),8,1))/10)+MOD(2*VALUE(MID(UPPER(TRIM(D146)),8,1)),10)),10),10)+1,1)),"OK","REVISAR")),"REVISAR")))</f>
        <v/>
      </c>
      <c r="Q146">
        <f>IF(B146="","",IF(COUNTIFS($B$2:$B$501,B146,$D$2:$D$501,D146)&gt;1,"DUPLICADA",""))</f>
        <v/>
      </c>
      <c r="R146">
        <f>IF(A146="","",ROUNDUP(MONTH(A146)/3,0))</f>
        <v/>
      </c>
      <c r="S146" s="3" t="n"/>
    </row>
    <row r="147">
      <c r="A147" s="2" t="n"/>
      <c r="B147" s="3" t="n"/>
      <c r="C147" s="3" t="n"/>
      <c r="D147" s="3" t="n"/>
      <c r="E147" s="4" t="n"/>
      <c r="F147" s="4" t="n"/>
      <c r="G147" s="4" t="n"/>
      <c r="H147" s="4" t="n"/>
      <c r="I147" s="5">
        <f>IF(E147="","",ROUND(E147*0.21,2))</f>
        <v/>
      </c>
      <c r="J147" s="5">
        <f>IF(F147="","",ROUND(F147*0.1,2))</f>
        <v/>
      </c>
      <c r="K147" s="5">
        <f>IF(G147="","",ROUND(G147*0.04,2))</f>
        <v/>
      </c>
      <c r="L147" s="4" t="n"/>
      <c r="M147" s="4" t="n"/>
      <c r="N147" s="5">
        <f>IF(A147="","",SUM(E147:K147)-N(L147))</f>
        <v/>
      </c>
      <c r="O147">
        <f>IF(OR(A147="",M147=""),"",IF(ABS(M147-N147)&lt;=0.02,"OK","REVISAR"))</f>
        <v/>
      </c>
      <c r="P147">
        <f>IF(D147="","",IF(LEN(TRIM(D147))&lt;&gt;9,"REVISAR",IFERROR(IF(OR(ISNUMBER(VALUE(LEFT(UPPER(TRIM(D147)),1))),LEFT(UPPER(TRIM(D147)),1)="X",LEFT(UPPER(TRIM(D147)),1)="Y",LEFT(UPPER(TRIM(D147)),1)="Z"),IF(MID("TRWAGMYFPDXBNJZSQVHLCKE",MOD(VALUE(SUBSTITUTE(SUBSTITUTE(SUBSTITUTE(LEFT(UPPER(TRIM(D147)),8),"X","0"),"Y","1"),"Z","2")),23)+1,1)=RIGHT(UPPER(TRIM(D147)),1),"OK","REVISAR"),IF(OR(RIGHT(UPPER(TRIM(D147)),1)=TEXT(MOD(10-MOD((VALUE(MID(UPPER(TRIM(D147)),3,1))+VALUE(MID(UPPER(TRIM(D147)),5,1))+VALUE(MID(UPPER(TRIM(D147)),7,1)))+(INT(2*VALUE(MID(UPPER(TRIM(D147)),2,1))/10)+MOD(2*VALUE(MID(UPPER(TRIM(D147)),2,1)),10))+(INT(2*VALUE(MID(UPPER(TRIM(D147)),4,1))/10)+MOD(2*VALUE(MID(UPPER(TRIM(D147)),4,1)),10))+(INT(2*VALUE(MID(UPPER(TRIM(D147)),6,1))/10)+MOD(2*VALUE(MID(UPPER(TRIM(D147)),6,1)),10))+(INT(2*VALUE(MID(UPPER(TRIM(D147)),8,1))/10)+MOD(2*VALUE(MID(UPPER(TRIM(D147)),8,1)),10)),10),10),"0"),RIGHT(UPPER(TRIM(D147)),1)=MID("JABCDEFGHI",MOD(10-MOD((VALUE(MID(UPPER(TRIM(D147)),3,1))+VALUE(MID(UPPER(TRIM(D147)),5,1))+VALUE(MID(UPPER(TRIM(D147)),7,1)))+(INT(2*VALUE(MID(UPPER(TRIM(D147)),2,1))/10)+MOD(2*VALUE(MID(UPPER(TRIM(D147)),2,1)),10))+(INT(2*VALUE(MID(UPPER(TRIM(D147)),4,1))/10)+MOD(2*VALUE(MID(UPPER(TRIM(D147)),4,1)),10))+(INT(2*VALUE(MID(UPPER(TRIM(D147)),6,1))/10)+MOD(2*VALUE(MID(UPPER(TRIM(D147)),6,1)),10))+(INT(2*VALUE(MID(UPPER(TRIM(D147)),8,1))/10)+MOD(2*VALUE(MID(UPPER(TRIM(D147)),8,1)),10)),10),10)+1,1)),"OK","REVISAR")),"REVISAR")))</f>
        <v/>
      </c>
      <c r="Q147">
        <f>IF(B147="","",IF(COUNTIFS($B$2:$B$501,B147,$D$2:$D$501,D147)&gt;1,"DUPLICADA",""))</f>
        <v/>
      </c>
      <c r="R147">
        <f>IF(A147="","",ROUNDUP(MONTH(A147)/3,0))</f>
        <v/>
      </c>
      <c r="S147" s="3" t="n"/>
    </row>
    <row r="148">
      <c r="A148" s="2" t="n"/>
      <c r="B148" s="3" t="n"/>
      <c r="C148" s="3" t="n"/>
      <c r="D148" s="3" t="n"/>
      <c r="E148" s="4" t="n"/>
      <c r="F148" s="4" t="n"/>
      <c r="G148" s="4" t="n"/>
      <c r="H148" s="4" t="n"/>
      <c r="I148" s="5">
        <f>IF(E148="","",ROUND(E148*0.21,2))</f>
        <v/>
      </c>
      <c r="J148" s="5">
        <f>IF(F148="","",ROUND(F148*0.1,2))</f>
        <v/>
      </c>
      <c r="K148" s="5">
        <f>IF(G148="","",ROUND(G148*0.04,2))</f>
        <v/>
      </c>
      <c r="L148" s="4" t="n"/>
      <c r="M148" s="4" t="n"/>
      <c r="N148" s="5">
        <f>IF(A148="","",SUM(E148:K148)-N(L148))</f>
        <v/>
      </c>
      <c r="O148">
        <f>IF(OR(A148="",M148=""),"",IF(ABS(M148-N148)&lt;=0.02,"OK","REVISAR"))</f>
        <v/>
      </c>
      <c r="P148">
        <f>IF(D148="","",IF(LEN(TRIM(D148))&lt;&gt;9,"REVISAR",IFERROR(IF(OR(ISNUMBER(VALUE(LEFT(UPPER(TRIM(D148)),1))),LEFT(UPPER(TRIM(D148)),1)="X",LEFT(UPPER(TRIM(D148)),1)="Y",LEFT(UPPER(TRIM(D148)),1)="Z"),IF(MID("TRWAGMYFPDXBNJZSQVHLCKE",MOD(VALUE(SUBSTITUTE(SUBSTITUTE(SUBSTITUTE(LEFT(UPPER(TRIM(D148)),8),"X","0"),"Y","1"),"Z","2")),23)+1,1)=RIGHT(UPPER(TRIM(D148)),1),"OK","REVISAR"),IF(OR(RIGHT(UPPER(TRIM(D148)),1)=TEXT(MOD(10-MOD((VALUE(MID(UPPER(TRIM(D148)),3,1))+VALUE(MID(UPPER(TRIM(D148)),5,1))+VALUE(MID(UPPER(TRIM(D148)),7,1)))+(INT(2*VALUE(MID(UPPER(TRIM(D148)),2,1))/10)+MOD(2*VALUE(MID(UPPER(TRIM(D148)),2,1)),10))+(INT(2*VALUE(MID(UPPER(TRIM(D148)),4,1))/10)+MOD(2*VALUE(MID(UPPER(TRIM(D148)),4,1)),10))+(INT(2*VALUE(MID(UPPER(TRIM(D148)),6,1))/10)+MOD(2*VALUE(MID(UPPER(TRIM(D148)),6,1)),10))+(INT(2*VALUE(MID(UPPER(TRIM(D148)),8,1))/10)+MOD(2*VALUE(MID(UPPER(TRIM(D148)),8,1)),10)),10),10),"0"),RIGHT(UPPER(TRIM(D148)),1)=MID("JABCDEFGHI",MOD(10-MOD((VALUE(MID(UPPER(TRIM(D148)),3,1))+VALUE(MID(UPPER(TRIM(D148)),5,1))+VALUE(MID(UPPER(TRIM(D148)),7,1)))+(INT(2*VALUE(MID(UPPER(TRIM(D148)),2,1))/10)+MOD(2*VALUE(MID(UPPER(TRIM(D148)),2,1)),10))+(INT(2*VALUE(MID(UPPER(TRIM(D148)),4,1))/10)+MOD(2*VALUE(MID(UPPER(TRIM(D148)),4,1)),10))+(INT(2*VALUE(MID(UPPER(TRIM(D148)),6,1))/10)+MOD(2*VALUE(MID(UPPER(TRIM(D148)),6,1)),10))+(INT(2*VALUE(MID(UPPER(TRIM(D148)),8,1))/10)+MOD(2*VALUE(MID(UPPER(TRIM(D148)),8,1)),10)),10),10)+1,1)),"OK","REVISAR")),"REVISAR")))</f>
        <v/>
      </c>
      <c r="Q148">
        <f>IF(B148="","",IF(COUNTIFS($B$2:$B$501,B148,$D$2:$D$501,D148)&gt;1,"DUPLICADA",""))</f>
        <v/>
      </c>
      <c r="R148">
        <f>IF(A148="","",ROUNDUP(MONTH(A148)/3,0))</f>
        <v/>
      </c>
      <c r="S148" s="3" t="n"/>
    </row>
    <row r="149">
      <c r="A149" s="2" t="n"/>
      <c r="B149" s="3" t="n"/>
      <c r="C149" s="3" t="n"/>
      <c r="D149" s="3" t="n"/>
      <c r="E149" s="4" t="n"/>
      <c r="F149" s="4" t="n"/>
      <c r="G149" s="4" t="n"/>
      <c r="H149" s="4" t="n"/>
      <c r="I149" s="5">
        <f>IF(E149="","",ROUND(E149*0.21,2))</f>
        <v/>
      </c>
      <c r="J149" s="5">
        <f>IF(F149="","",ROUND(F149*0.1,2))</f>
        <v/>
      </c>
      <c r="K149" s="5">
        <f>IF(G149="","",ROUND(G149*0.04,2))</f>
        <v/>
      </c>
      <c r="L149" s="4" t="n"/>
      <c r="M149" s="4" t="n"/>
      <c r="N149" s="5">
        <f>IF(A149="","",SUM(E149:K149)-N(L149))</f>
        <v/>
      </c>
      <c r="O149">
        <f>IF(OR(A149="",M149=""),"",IF(ABS(M149-N149)&lt;=0.02,"OK","REVISAR"))</f>
        <v/>
      </c>
      <c r="P149">
        <f>IF(D149="","",IF(LEN(TRIM(D149))&lt;&gt;9,"REVISAR",IFERROR(IF(OR(ISNUMBER(VALUE(LEFT(UPPER(TRIM(D149)),1))),LEFT(UPPER(TRIM(D149)),1)="X",LEFT(UPPER(TRIM(D149)),1)="Y",LEFT(UPPER(TRIM(D149)),1)="Z"),IF(MID("TRWAGMYFPDXBNJZSQVHLCKE",MOD(VALUE(SUBSTITUTE(SUBSTITUTE(SUBSTITUTE(LEFT(UPPER(TRIM(D149)),8),"X","0"),"Y","1"),"Z","2")),23)+1,1)=RIGHT(UPPER(TRIM(D149)),1),"OK","REVISAR"),IF(OR(RIGHT(UPPER(TRIM(D149)),1)=TEXT(MOD(10-MOD((VALUE(MID(UPPER(TRIM(D149)),3,1))+VALUE(MID(UPPER(TRIM(D149)),5,1))+VALUE(MID(UPPER(TRIM(D149)),7,1)))+(INT(2*VALUE(MID(UPPER(TRIM(D149)),2,1))/10)+MOD(2*VALUE(MID(UPPER(TRIM(D149)),2,1)),10))+(INT(2*VALUE(MID(UPPER(TRIM(D149)),4,1))/10)+MOD(2*VALUE(MID(UPPER(TRIM(D149)),4,1)),10))+(INT(2*VALUE(MID(UPPER(TRIM(D149)),6,1))/10)+MOD(2*VALUE(MID(UPPER(TRIM(D149)),6,1)),10))+(INT(2*VALUE(MID(UPPER(TRIM(D149)),8,1))/10)+MOD(2*VALUE(MID(UPPER(TRIM(D149)),8,1)),10)),10),10),"0"),RIGHT(UPPER(TRIM(D149)),1)=MID("JABCDEFGHI",MOD(10-MOD((VALUE(MID(UPPER(TRIM(D149)),3,1))+VALUE(MID(UPPER(TRIM(D149)),5,1))+VALUE(MID(UPPER(TRIM(D149)),7,1)))+(INT(2*VALUE(MID(UPPER(TRIM(D149)),2,1))/10)+MOD(2*VALUE(MID(UPPER(TRIM(D149)),2,1)),10))+(INT(2*VALUE(MID(UPPER(TRIM(D149)),4,1))/10)+MOD(2*VALUE(MID(UPPER(TRIM(D149)),4,1)),10))+(INT(2*VALUE(MID(UPPER(TRIM(D149)),6,1))/10)+MOD(2*VALUE(MID(UPPER(TRIM(D149)),6,1)),10))+(INT(2*VALUE(MID(UPPER(TRIM(D149)),8,1))/10)+MOD(2*VALUE(MID(UPPER(TRIM(D149)),8,1)),10)),10),10)+1,1)),"OK","REVISAR")),"REVISAR")))</f>
        <v/>
      </c>
      <c r="Q149">
        <f>IF(B149="","",IF(COUNTIFS($B$2:$B$501,B149,$D$2:$D$501,D149)&gt;1,"DUPLICADA",""))</f>
        <v/>
      </c>
      <c r="R149">
        <f>IF(A149="","",ROUNDUP(MONTH(A149)/3,0))</f>
        <v/>
      </c>
      <c r="S149" s="3" t="n"/>
    </row>
    <row r="150">
      <c r="A150" s="2" t="n"/>
      <c r="B150" s="3" t="n"/>
      <c r="C150" s="3" t="n"/>
      <c r="D150" s="3" t="n"/>
      <c r="E150" s="4" t="n"/>
      <c r="F150" s="4" t="n"/>
      <c r="G150" s="4" t="n"/>
      <c r="H150" s="4" t="n"/>
      <c r="I150" s="5">
        <f>IF(E150="","",ROUND(E150*0.21,2))</f>
        <v/>
      </c>
      <c r="J150" s="5">
        <f>IF(F150="","",ROUND(F150*0.1,2))</f>
        <v/>
      </c>
      <c r="K150" s="5">
        <f>IF(G150="","",ROUND(G150*0.04,2))</f>
        <v/>
      </c>
      <c r="L150" s="4" t="n"/>
      <c r="M150" s="4" t="n"/>
      <c r="N150" s="5">
        <f>IF(A150="","",SUM(E150:K150)-N(L150))</f>
        <v/>
      </c>
      <c r="O150">
        <f>IF(OR(A150="",M150=""),"",IF(ABS(M150-N150)&lt;=0.02,"OK","REVISAR"))</f>
        <v/>
      </c>
      <c r="P150">
        <f>IF(D150="","",IF(LEN(TRIM(D150))&lt;&gt;9,"REVISAR",IFERROR(IF(OR(ISNUMBER(VALUE(LEFT(UPPER(TRIM(D150)),1))),LEFT(UPPER(TRIM(D150)),1)="X",LEFT(UPPER(TRIM(D150)),1)="Y",LEFT(UPPER(TRIM(D150)),1)="Z"),IF(MID("TRWAGMYFPDXBNJZSQVHLCKE",MOD(VALUE(SUBSTITUTE(SUBSTITUTE(SUBSTITUTE(LEFT(UPPER(TRIM(D150)),8),"X","0"),"Y","1"),"Z","2")),23)+1,1)=RIGHT(UPPER(TRIM(D150)),1),"OK","REVISAR"),IF(OR(RIGHT(UPPER(TRIM(D150)),1)=TEXT(MOD(10-MOD((VALUE(MID(UPPER(TRIM(D150)),3,1))+VALUE(MID(UPPER(TRIM(D150)),5,1))+VALUE(MID(UPPER(TRIM(D150)),7,1)))+(INT(2*VALUE(MID(UPPER(TRIM(D150)),2,1))/10)+MOD(2*VALUE(MID(UPPER(TRIM(D150)),2,1)),10))+(INT(2*VALUE(MID(UPPER(TRIM(D150)),4,1))/10)+MOD(2*VALUE(MID(UPPER(TRIM(D150)),4,1)),10))+(INT(2*VALUE(MID(UPPER(TRIM(D150)),6,1))/10)+MOD(2*VALUE(MID(UPPER(TRIM(D150)),6,1)),10))+(INT(2*VALUE(MID(UPPER(TRIM(D150)),8,1))/10)+MOD(2*VALUE(MID(UPPER(TRIM(D150)),8,1)),10)),10),10),"0"),RIGHT(UPPER(TRIM(D150)),1)=MID("JABCDEFGHI",MOD(10-MOD((VALUE(MID(UPPER(TRIM(D150)),3,1))+VALUE(MID(UPPER(TRIM(D150)),5,1))+VALUE(MID(UPPER(TRIM(D150)),7,1)))+(INT(2*VALUE(MID(UPPER(TRIM(D150)),2,1))/10)+MOD(2*VALUE(MID(UPPER(TRIM(D150)),2,1)),10))+(INT(2*VALUE(MID(UPPER(TRIM(D150)),4,1))/10)+MOD(2*VALUE(MID(UPPER(TRIM(D150)),4,1)),10))+(INT(2*VALUE(MID(UPPER(TRIM(D150)),6,1))/10)+MOD(2*VALUE(MID(UPPER(TRIM(D150)),6,1)),10))+(INT(2*VALUE(MID(UPPER(TRIM(D150)),8,1))/10)+MOD(2*VALUE(MID(UPPER(TRIM(D150)),8,1)),10)),10),10)+1,1)),"OK","REVISAR")),"REVISAR")))</f>
        <v/>
      </c>
      <c r="Q150">
        <f>IF(B150="","",IF(COUNTIFS($B$2:$B$501,B150,$D$2:$D$501,D150)&gt;1,"DUPLICADA",""))</f>
        <v/>
      </c>
      <c r="R150">
        <f>IF(A150="","",ROUNDUP(MONTH(A150)/3,0))</f>
        <v/>
      </c>
      <c r="S150" s="3" t="n"/>
    </row>
    <row r="151">
      <c r="A151" s="2" t="n"/>
      <c r="B151" s="3" t="n"/>
      <c r="C151" s="3" t="n"/>
      <c r="D151" s="3" t="n"/>
      <c r="E151" s="4" t="n"/>
      <c r="F151" s="4" t="n"/>
      <c r="G151" s="4" t="n"/>
      <c r="H151" s="4" t="n"/>
      <c r="I151" s="5">
        <f>IF(E151="","",ROUND(E151*0.21,2))</f>
        <v/>
      </c>
      <c r="J151" s="5">
        <f>IF(F151="","",ROUND(F151*0.1,2))</f>
        <v/>
      </c>
      <c r="K151" s="5">
        <f>IF(G151="","",ROUND(G151*0.04,2))</f>
        <v/>
      </c>
      <c r="L151" s="4" t="n"/>
      <c r="M151" s="4" t="n"/>
      <c r="N151" s="5">
        <f>IF(A151="","",SUM(E151:K151)-N(L151))</f>
        <v/>
      </c>
      <c r="O151">
        <f>IF(OR(A151="",M151=""),"",IF(ABS(M151-N151)&lt;=0.02,"OK","REVISAR"))</f>
        <v/>
      </c>
      <c r="P151">
        <f>IF(D151="","",IF(LEN(TRIM(D151))&lt;&gt;9,"REVISAR",IFERROR(IF(OR(ISNUMBER(VALUE(LEFT(UPPER(TRIM(D151)),1))),LEFT(UPPER(TRIM(D151)),1)="X",LEFT(UPPER(TRIM(D151)),1)="Y",LEFT(UPPER(TRIM(D151)),1)="Z"),IF(MID("TRWAGMYFPDXBNJZSQVHLCKE",MOD(VALUE(SUBSTITUTE(SUBSTITUTE(SUBSTITUTE(LEFT(UPPER(TRIM(D151)),8),"X","0"),"Y","1"),"Z","2")),23)+1,1)=RIGHT(UPPER(TRIM(D151)),1),"OK","REVISAR"),IF(OR(RIGHT(UPPER(TRIM(D151)),1)=TEXT(MOD(10-MOD((VALUE(MID(UPPER(TRIM(D151)),3,1))+VALUE(MID(UPPER(TRIM(D151)),5,1))+VALUE(MID(UPPER(TRIM(D151)),7,1)))+(INT(2*VALUE(MID(UPPER(TRIM(D151)),2,1))/10)+MOD(2*VALUE(MID(UPPER(TRIM(D151)),2,1)),10))+(INT(2*VALUE(MID(UPPER(TRIM(D151)),4,1))/10)+MOD(2*VALUE(MID(UPPER(TRIM(D151)),4,1)),10))+(INT(2*VALUE(MID(UPPER(TRIM(D151)),6,1))/10)+MOD(2*VALUE(MID(UPPER(TRIM(D151)),6,1)),10))+(INT(2*VALUE(MID(UPPER(TRIM(D151)),8,1))/10)+MOD(2*VALUE(MID(UPPER(TRIM(D151)),8,1)),10)),10),10),"0"),RIGHT(UPPER(TRIM(D151)),1)=MID("JABCDEFGHI",MOD(10-MOD((VALUE(MID(UPPER(TRIM(D151)),3,1))+VALUE(MID(UPPER(TRIM(D151)),5,1))+VALUE(MID(UPPER(TRIM(D151)),7,1)))+(INT(2*VALUE(MID(UPPER(TRIM(D151)),2,1))/10)+MOD(2*VALUE(MID(UPPER(TRIM(D151)),2,1)),10))+(INT(2*VALUE(MID(UPPER(TRIM(D151)),4,1))/10)+MOD(2*VALUE(MID(UPPER(TRIM(D151)),4,1)),10))+(INT(2*VALUE(MID(UPPER(TRIM(D151)),6,1))/10)+MOD(2*VALUE(MID(UPPER(TRIM(D151)),6,1)),10))+(INT(2*VALUE(MID(UPPER(TRIM(D151)),8,1))/10)+MOD(2*VALUE(MID(UPPER(TRIM(D151)),8,1)),10)),10),10)+1,1)),"OK","REVISAR")),"REVISAR")))</f>
        <v/>
      </c>
      <c r="Q151">
        <f>IF(B151="","",IF(COUNTIFS($B$2:$B$501,B151,$D$2:$D$501,D151)&gt;1,"DUPLICADA",""))</f>
        <v/>
      </c>
      <c r="R151">
        <f>IF(A151="","",ROUNDUP(MONTH(A151)/3,0))</f>
        <v/>
      </c>
      <c r="S151" s="3" t="n"/>
    </row>
    <row r="152">
      <c r="A152" s="2" t="n"/>
      <c r="B152" s="3" t="n"/>
      <c r="C152" s="3" t="n"/>
      <c r="D152" s="3" t="n"/>
      <c r="E152" s="4" t="n"/>
      <c r="F152" s="4" t="n"/>
      <c r="G152" s="4" t="n"/>
      <c r="H152" s="4" t="n"/>
      <c r="I152" s="5">
        <f>IF(E152="","",ROUND(E152*0.21,2))</f>
        <v/>
      </c>
      <c r="J152" s="5">
        <f>IF(F152="","",ROUND(F152*0.1,2))</f>
        <v/>
      </c>
      <c r="K152" s="5">
        <f>IF(G152="","",ROUND(G152*0.04,2))</f>
        <v/>
      </c>
      <c r="L152" s="4" t="n"/>
      <c r="M152" s="4" t="n"/>
      <c r="N152" s="5">
        <f>IF(A152="","",SUM(E152:K152)-N(L152))</f>
        <v/>
      </c>
      <c r="O152">
        <f>IF(OR(A152="",M152=""),"",IF(ABS(M152-N152)&lt;=0.02,"OK","REVISAR"))</f>
        <v/>
      </c>
      <c r="P152">
        <f>IF(D152="","",IF(LEN(TRIM(D152))&lt;&gt;9,"REVISAR",IFERROR(IF(OR(ISNUMBER(VALUE(LEFT(UPPER(TRIM(D152)),1))),LEFT(UPPER(TRIM(D152)),1)="X",LEFT(UPPER(TRIM(D152)),1)="Y",LEFT(UPPER(TRIM(D152)),1)="Z"),IF(MID("TRWAGMYFPDXBNJZSQVHLCKE",MOD(VALUE(SUBSTITUTE(SUBSTITUTE(SUBSTITUTE(LEFT(UPPER(TRIM(D152)),8),"X","0"),"Y","1"),"Z","2")),23)+1,1)=RIGHT(UPPER(TRIM(D152)),1),"OK","REVISAR"),IF(OR(RIGHT(UPPER(TRIM(D152)),1)=TEXT(MOD(10-MOD((VALUE(MID(UPPER(TRIM(D152)),3,1))+VALUE(MID(UPPER(TRIM(D152)),5,1))+VALUE(MID(UPPER(TRIM(D152)),7,1)))+(INT(2*VALUE(MID(UPPER(TRIM(D152)),2,1))/10)+MOD(2*VALUE(MID(UPPER(TRIM(D152)),2,1)),10))+(INT(2*VALUE(MID(UPPER(TRIM(D152)),4,1))/10)+MOD(2*VALUE(MID(UPPER(TRIM(D152)),4,1)),10))+(INT(2*VALUE(MID(UPPER(TRIM(D152)),6,1))/10)+MOD(2*VALUE(MID(UPPER(TRIM(D152)),6,1)),10))+(INT(2*VALUE(MID(UPPER(TRIM(D152)),8,1))/10)+MOD(2*VALUE(MID(UPPER(TRIM(D152)),8,1)),10)),10),10),"0"),RIGHT(UPPER(TRIM(D152)),1)=MID("JABCDEFGHI",MOD(10-MOD((VALUE(MID(UPPER(TRIM(D152)),3,1))+VALUE(MID(UPPER(TRIM(D152)),5,1))+VALUE(MID(UPPER(TRIM(D152)),7,1)))+(INT(2*VALUE(MID(UPPER(TRIM(D152)),2,1))/10)+MOD(2*VALUE(MID(UPPER(TRIM(D152)),2,1)),10))+(INT(2*VALUE(MID(UPPER(TRIM(D152)),4,1))/10)+MOD(2*VALUE(MID(UPPER(TRIM(D152)),4,1)),10))+(INT(2*VALUE(MID(UPPER(TRIM(D152)),6,1))/10)+MOD(2*VALUE(MID(UPPER(TRIM(D152)),6,1)),10))+(INT(2*VALUE(MID(UPPER(TRIM(D152)),8,1))/10)+MOD(2*VALUE(MID(UPPER(TRIM(D152)),8,1)),10)),10),10)+1,1)),"OK","REVISAR")),"REVISAR")))</f>
        <v/>
      </c>
      <c r="Q152">
        <f>IF(B152="","",IF(COUNTIFS($B$2:$B$501,B152,$D$2:$D$501,D152)&gt;1,"DUPLICADA",""))</f>
        <v/>
      </c>
      <c r="R152">
        <f>IF(A152="","",ROUNDUP(MONTH(A152)/3,0))</f>
        <v/>
      </c>
      <c r="S152" s="3" t="n"/>
    </row>
    <row r="153">
      <c r="A153" s="2" t="n"/>
      <c r="B153" s="3" t="n"/>
      <c r="C153" s="3" t="n"/>
      <c r="D153" s="3" t="n"/>
      <c r="E153" s="4" t="n"/>
      <c r="F153" s="4" t="n"/>
      <c r="G153" s="4" t="n"/>
      <c r="H153" s="4" t="n"/>
      <c r="I153" s="5">
        <f>IF(E153="","",ROUND(E153*0.21,2))</f>
        <v/>
      </c>
      <c r="J153" s="5">
        <f>IF(F153="","",ROUND(F153*0.1,2))</f>
        <v/>
      </c>
      <c r="K153" s="5">
        <f>IF(G153="","",ROUND(G153*0.04,2))</f>
        <v/>
      </c>
      <c r="L153" s="4" t="n"/>
      <c r="M153" s="4" t="n"/>
      <c r="N153" s="5">
        <f>IF(A153="","",SUM(E153:K153)-N(L153))</f>
        <v/>
      </c>
      <c r="O153">
        <f>IF(OR(A153="",M153=""),"",IF(ABS(M153-N153)&lt;=0.02,"OK","REVISAR"))</f>
        <v/>
      </c>
      <c r="P153">
        <f>IF(D153="","",IF(LEN(TRIM(D153))&lt;&gt;9,"REVISAR",IFERROR(IF(OR(ISNUMBER(VALUE(LEFT(UPPER(TRIM(D153)),1))),LEFT(UPPER(TRIM(D153)),1)="X",LEFT(UPPER(TRIM(D153)),1)="Y",LEFT(UPPER(TRIM(D153)),1)="Z"),IF(MID("TRWAGMYFPDXBNJZSQVHLCKE",MOD(VALUE(SUBSTITUTE(SUBSTITUTE(SUBSTITUTE(LEFT(UPPER(TRIM(D153)),8),"X","0"),"Y","1"),"Z","2")),23)+1,1)=RIGHT(UPPER(TRIM(D153)),1),"OK","REVISAR"),IF(OR(RIGHT(UPPER(TRIM(D153)),1)=TEXT(MOD(10-MOD((VALUE(MID(UPPER(TRIM(D153)),3,1))+VALUE(MID(UPPER(TRIM(D153)),5,1))+VALUE(MID(UPPER(TRIM(D153)),7,1)))+(INT(2*VALUE(MID(UPPER(TRIM(D153)),2,1))/10)+MOD(2*VALUE(MID(UPPER(TRIM(D153)),2,1)),10))+(INT(2*VALUE(MID(UPPER(TRIM(D153)),4,1))/10)+MOD(2*VALUE(MID(UPPER(TRIM(D153)),4,1)),10))+(INT(2*VALUE(MID(UPPER(TRIM(D153)),6,1))/10)+MOD(2*VALUE(MID(UPPER(TRIM(D153)),6,1)),10))+(INT(2*VALUE(MID(UPPER(TRIM(D153)),8,1))/10)+MOD(2*VALUE(MID(UPPER(TRIM(D153)),8,1)),10)),10),10),"0"),RIGHT(UPPER(TRIM(D153)),1)=MID("JABCDEFGHI",MOD(10-MOD((VALUE(MID(UPPER(TRIM(D153)),3,1))+VALUE(MID(UPPER(TRIM(D153)),5,1))+VALUE(MID(UPPER(TRIM(D153)),7,1)))+(INT(2*VALUE(MID(UPPER(TRIM(D153)),2,1))/10)+MOD(2*VALUE(MID(UPPER(TRIM(D153)),2,1)),10))+(INT(2*VALUE(MID(UPPER(TRIM(D153)),4,1))/10)+MOD(2*VALUE(MID(UPPER(TRIM(D153)),4,1)),10))+(INT(2*VALUE(MID(UPPER(TRIM(D153)),6,1))/10)+MOD(2*VALUE(MID(UPPER(TRIM(D153)),6,1)),10))+(INT(2*VALUE(MID(UPPER(TRIM(D153)),8,1))/10)+MOD(2*VALUE(MID(UPPER(TRIM(D153)),8,1)),10)),10),10)+1,1)),"OK","REVISAR")),"REVISAR")))</f>
        <v/>
      </c>
      <c r="Q153">
        <f>IF(B153="","",IF(COUNTIFS($B$2:$B$501,B153,$D$2:$D$501,D153)&gt;1,"DUPLICADA",""))</f>
        <v/>
      </c>
      <c r="R153">
        <f>IF(A153="","",ROUNDUP(MONTH(A153)/3,0))</f>
        <v/>
      </c>
      <c r="S153" s="3" t="n"/>
    </row>
    <row r="154">
      <c r="A154" s="2" t="n"/>
      <c r="B154" s="3" t="n"/>
      <c r="C154" s="3" t="n"/>
      <c r="D154" s="3" t="n"/>
      <c r="E154" s="4" t="n"/>
      <c r="F154" s="4" t="n"/>
      <c r="G154" s="4" t="n"/>
      <c r="H154" s="4" t="n"/>
      <c r="I154" s="5">
        <f>IF(E154="","",ROUND(E154*0.21,2))</f>
        <v/>
      </c>
      <c r="J154" s="5">
        <f>IF(F154="","",ROUND(F154*0.1,2))</f>
        <v/>
      </c>
      <c r="K154" s="5">
        <f>IF(G154="","",ROUND(G154*0.04,2))</f>
        <v/>
      </c>
      <c r="L154" s="4" t="n"/>
      <c r="M154" s="4" t="n"/>
      <c r="N154" s="5">
        <f>IF(A154="","",SUM(E154:K154)-N(L154))</f>
        <v/>
      </c>
      <c r="O154">
        <f>IF(OR(A154="",M154=""),"",IF(ABS(M154-N154)&lt;=0.02,"OK","REVISAR"))</f>
        <v/>
      </c>
      <c r="P154">
        <f>IF(D154="","",IF(LEN(TRIM(D154))&lt;&gt;9,"REVISAR",IFERROR(IF(OR(ISNUMBER(VALUE(LEFT(UPPER(TRIM(D154)),1))),LEFT(UPPER(TRIM(D154)),1)="X",LEFT(UPPER(TRIM(D154)),1)="Y",LEFT(UPPER(TRIM(D154)),1)="Z"),IF(MID("TRWAGMYFPDXBNJZSQVHLCKE",MOD(VALUE(SUBSTITUTE(SUBSTITUTE(SUBSTITUTE(LEFT(UPPER(TRIM(D154)),8),"X","0"),"Y","1"),"Z","2")),23)+1,1)=RIGHT(UPPER(TRIM(D154)),1),"OK","REVISAR"),IF(OR(RIGHT(UPPER(TRIM(D154)),1)=TEXT(MOD(10-MOD((VALUE(MID(UPPER(TRIM(D154)),3,1))+VALUE(MID(UPPER(TRIM(D154)),5,1))+VALUE(MID(UPPER(TRIM(D154)),7,1)))+(INT(2*VALUE(MID(UPPER(TRIM(D154)),2,1))/10)+MOD(2*VALUE(MID(UPPER(TRIM(D154)),2,1)),10))+(INT(2*VALUE(MID(UPPER(TRIM(D154)),4,1))/10)+MOD(2*VALUE(MID(UPPER(TRIM(D154)),4,1)),10))+(INT(2*VALUE(MID(UPPER(TRIM(D154)),6,1))/10)+MOD(2*VALUE(MID(UPPER(TRIM(D154)),6,1)),10))+(INT(2*VALUE(MID(UPPER(TRIM(D154)),8,1))/10)+MOD(2*VALUE(MID(UPPER(TRIM(D154)),8,1)),10)),10),10),"0"),RIGHT(UPPER(TRIM(D154)),1)=MID("JABCDEFGHI",MOD(10-MOD((VALUE(MID(UPPER(TRIM(D154)),3,1))+VALUE(MID(UPPER(TRIM(D154)),5,1))+VALUE(MID(UPPER(TRIM(D154)),7,1)))+(INT(2*VALUE(MID(UPPER(TRIM(D154)),2,1))/10)+MOD(2*VALUE(MID(UPPER(TRIM(D154)),2,1)),10))+(INT(2*VALUE(MID(UPPER(TRIM(D154)),4,1))/10)+MOD(2*VALUE(MID(UPPER(TRIM(D154)),4,1)),10))+(INT(2*VALUE(MID(UPPER(TRIM(D154)),6,1))/10)+MOD(2*VALUE(MID(UPPER(TRIM(D154)),6,1)),10))+(INT(2*VALUE(MID(UPPER(TRIM(D154)),8,1))/10)+MOD(2*VALUE(MID(UPPER(TRIM(D154)),8,1)),10)),10),10)+1,1)),"OK","REVISAR")),"REVISAR")))</f>
        <v/>
      </c>
      <c r="Q154">
        <f>IF(B154="","",IF(COUNTIFS($B$2:$B$501,B154,$D$2:$D$501,D154)&gt;1,"DUPLICADA",""))</f>
        <v/>
      </c>
      <c r="R154">
        <f>IF(A154="","",ROUNDUP(MONTH(A154)/3,0))</f>
        <v/>
      </c>
      <c r="S154" s="3" t="n"/>
    </row>
    <row r="155">
      <c r="A155" s="2" t="n"/>
      <c r="B155" s="3" t="n"/>
      <c r="C155" s="3" t="n"/>
      <c r="D155" s="3" t="n"/>
      <c r="E155" s="4" t="n"/>
      <c r="F155" s="4" t="n"/>
      <c r="G155" s="4" t="n"/>
      <c r="H155" s="4" t="n"/>
      <c r="I155" s="5">
        <f>IF(E155="","",ROUND(E155*0.21,2))</f>
        <v/>
      </c>
      <c r="J155" s="5">
        <f>IF(F155="","",ROUND(F155*0.1,2))</f>
        <v/>
      </c>
      <c r="K155" s="5">
        <f>IF(G155="","",ROUND(G155*0.04,2))</f>
        <v/>
      </c>
      <c r="L155" s="4" t="n"/>
      <c r="M155" s="4" t="n"/>
      <c r="N155" s="5">
        <f>IF(A155="","",SUM(E155:K155)-N(L155))</f>
        <v/>
      </c>
      <c r="O155">
        <f>IF(OR(A155="",M155=""),"",IF(ABS(M155-N155)&lt;=0.02,"OK","REVISAR"))</f>
        <v/>
      </c>
      <c r="P155">
        <f>IF(D155="","",IF(LEN(TRIM(D155))&lt;&gt;9,"REVISAR",IFERROR(IF(OR(ISNUMBER(VALUE(LEFT(UPPER(TRIM(D155)),1))),LEFT(UPPER(TRIM(D155)),1)="X",LEFT(UPPER(TRIM(D155)),1)="Y",LEFT(UPPER(TRIM(D155)),1)="Z"),IF(MID("TRWAGMYFPDXBNJZSQVHLCKE",MOD(VALUE(SUBSTITUTE(SUBSTITUTE(SUBSTITUTE(LEFT(UPPER(TRIM(D155)),8),"X","0"),"Y","1"),"Z","2")),23)+1,1)=RIGHT(UPPER(TRIM(D155)),1),"OK","REVISAR"),IF(OR(RIGHT(UPPER(TRIM(D155)),1)=TEXT(MOD(10-MOD((VALUE(MID(UPPER(TRIM(D155)),3,1))+VALUE(MID(UPPER(TRIM(D155)),5,1))+VALUE(MID(UPPER(TRIM(D155)),7,1)))+(INT(2*VALUE(MID(UPPER(TRIM(D155)),2,1))/10)+MOD(2*VALUE(MID(UPPER(TRIM(D155)),2,1)),10))+(INT(2*VALUE(MID(UPPER(TRIM(D155)),4,1))/10)+MOD(2*VALUE(MID(UPPER(TRIM(D155)),4,1)),10))+(INT(2*VALUE(MID(UPPER(TRIM(D155)),6,1))/10)+MOD(2*VALUE(MID(UPPER(TRIM(D155)),6,1)),10))+(INT(2*VALUE(MID(UPPER(TRIM(D155)),8,1))/10)+MOD(2*VALUE(MID(UPPER(TRIM(D155)),8,1)),10)),10),10),"0"),RIGHT(UPPER(TRIM(D155)),1)=MID("JABCDEFGHI",MOD(10-MOD((VALUE(MID(UPPER(TRIM(D155)),3,1))+VALUE(MID(UPPER(TRIM(D155)),5,1))+VALUE(MID(UPPER(TRIM(D155)),7,1)))+(INT(2*VALUE(MID(UPPER(TRIM(D155)),2,1))/10)+MOD(2*VALUE(MID(UPPER(TRIM(D155)),2,1)),10))+(INT(2*VALUE(MID(UPPER(TRIM(D155)),4,1))/10)+MOD(2*VALUE(MID(UPPER(TRIM(D155)),4,1)),10))+(INT(2*VALUE(MID(UPPER(TRIM(D155)),6,1))/10)+MOD(2*VALUE(MID(UPPER(TRIM(D155)),6,1)),10))+(INT(2*VALUE(MID(UPPER(TRIM(D155)),8,1))/10)+MOD(2*VALUE(MID(UPPER(TRIM(D155)),8,1)),10)),10),10)+1,1)),"OK","REVISAR")),"REVISAR")))</f>
        <v/>
      </c>
      <c r="Q155">
        <f>IF(B155="","",IF(COUNTIFS($B$2:$B$501,B155,$D$2:$D$501,D155)&gt;1,"DUPLICADA",""))</f>
        <v/>
      </c>
      <c r="R155">
        <f>IF(A155="","",ROUNDUP(MONTH(A155)/3,0))</f>
        <v/>
      </c>
      <c r="S155" s="3" t="n"/>
    </row>
    <row r="156">
      <c r="A156" s="2" t="n"/>
      <c r="B156" s="3" t="n"/>
      <c r="C156" s="3" t="n"/>
      <c r="D156" s="3" t="n"/>
      <c r="E156" s="4" t="n"/>
      <c r="F156" s="4" t="n"/>
      <c r="G156" s="4" t="n"/>
      <c r="H156" s="4" t="n"/>
      <c r="I156" s="5">
        <f>IF(E156="","",ROUND(E156*0.21,2))</f>
        <v/>
      </c>
      <c r="J156" s="5">
        <f>IF(F156="","",ROUND(F156*0.1,2))</f>
        <v/>
      </c>
      <c r="K156" s="5">
        <f>IF(G156="","",ROUND(G156*0.04,2))</f>
        <v/>
      </c>
      <c r="L156" s="4" t="n"/>
      <c r="M156" s="4" t="n"/>
      <c r="N156" s="5">
        <f>IF(A156="","",SUM(E156:K156)-N(L156))</f>
        <v/>
      </c>
      <c r="O156">
        <f>IF(OR(A156="",M156=""),"",IF(ABS(M156-N156)&lt;=0.02,"OK","REVISAR"))</f>
        <v/>
      </c>
      <c r="P156">
        <f>IF(D156="","",IF(LEN(TRIM(D156))&lt;&gt;9,"REVISAR",IFERROR(IF(OR(ISNUMBER(VALUE(LEFT(UPPER(TRIM(D156)),1))),LEFT(UPPER(TRIM(D156)),1)="X",LEFT(UPPER(TRIM(D156)),1)="Y",LEFT(UPPER(TRIM(D156)),1)="Z"),IF(MID("TRWAGMYFPDXBNJZSQVHLCKE",MOD(VALUE(SUBSTITUTE(SUBSTITUTE(SUBSTITUTE(LEFT(UPPER(TRIM(D156)),8),"X","0"),"Y","1"),"Z","2")),23)+1,1)=RIGHT(UPPER(TRIM(D156)),1),"OK","REVISAR"),IF(OR(RIGHT(UPPER(TRIM(D156)),1)=TEXT(MOD(10-MOD((VALUE(MID(UPPER(TRIM(D156)),3,1))+VALUE(MID(UPPER(TRIM(D156)),5,1))+VALUE(MID(UPPER(TRIM(D156)),7,1)))+(INT(2*VALUE(MID(UPPER(TRIM(D156)),2,1))/10)+MOD(2*VALUE(MID(UPPER(TRIM(D156)),2,1)),10))+(INT(2*VALUE(MID(UPPER(TRIM(D156)),4,1))/10)+MOD(2*VALUE(MID(UPPER(TRIM(D156)),4,1)),10))+(INT(2*VALUE(MID(UPPER(TRIM(D156)),6,1))/10)+MOD(2*VALUE(MID(UPPER(TRIM(D156)),6,1)),10))+(INT(2*VALUE(MID(UPPER(TRIM(D156)),8,1))/10)+MOD(2*VALUE(MID(UPPER(TRIM(D156)),8,1)),10)),10),10),"0"),RIGHT(UPPER(TRIM(D156)),1)=MID("JABCDEFGHI",MOD(10-MOD((VALUE(MID(UPPER(TRIM(D156)),3,1))+VALUE(MID(UPPER(TRIM(D156)),5,1))+VALUE(MID(UPPER(TRIM(D156)),7,1)))+(INT(2*VALUE(MID(UPPER(TRIM(D156)),2,1))/10)+MOD(2*VALUE(MID(UPPER(TRIM(D156)),2,1)),10))+(INT(2*VALUE(MID(UPPER(TRIM(D156)),4,1))/10)+MOD(2*VALUE(MID(UPPER(TRIM(D156)),4,1)),10))+(INT(2*VALUE(MID(UPPER(TRIM(D156)),6,1))/10)+MOD(2*VALUE(MID(UPPER(TRIM(D156)),6,1)),10))+(INT(2*VALUE(MID(UPPER(TRIM(D156)),8,1))/10)+MOD(2*VALUE(MID(UPPER(TRIM(D156)),8,1)),10)),10),10)+1,1)),"OK","REVISAR")),"REVISAR")))</f>
        <v/>
      </c>
      <c r="Q156">
        <f>IF(B156="","",IF(COUNTIFS($B$2:$B$501,B156,$D$2:$D$501,D156)&gt;1,"DUPLICADA",""))</f>
        <v/>
      </c>
      <c r="R156">
        <f>IF(A156="","",ROUNDUP(MONTH(A156)/3,0))</f>
        <v/>
      </c>
      <c r="S156" s="3" t="n"/>
    </row>
    <row r="157">
      <c r="A157" s="2" t="n"/>
      <c r="B157" s="3" t="n"/>
      <c r="C157" s="3" t="n"/>
      <c r="D157" s="3" t="n"/>
      <c r="E157" s="4" t="n"/>
      <c r="F157" s="4" t="n"/>
      <c r="G157" s="4" t="n"/>
      <c r="H157" s="4" t="n"/>
      <c r="I157" s="5">
        <f>IF(E157="","",ROUND(E157*0.21,2))</f>
        <v/>
      </c>
      <c r="J157" s="5">
        <f>IF(F157="","",ROUND(F157*0.1,2))</f>
        <v/>
      </c>
      <c r="K157" s="5">
        <f>IF(G157="","",ROUND(G157*0.04,2))</f>
        <v/>
      </c>
      <c r="L157" s="4" t="n"/>
      <c r="M157" s="4" t="n"/>
      <c r="N157" s="5">
        <f>IF(A157="","",SUM(E157:K157)-N(L157))</f>
        <v/>
      </c>
      <c r="O157">
        <f>IF(OR(A157="",M157=""),"",IF(ABS(M157-N157)&lt;=0.02,"OK","REVISAR"))</f>
        <v/>
      </c>
      <c r="P157">
        <f>IF(D157="","",IF(LEN(TRIM(D157))&lt;&gt;9,"REVISAR",IFERROR(IF(OR(ISNUMBER(VALUE(LEFT(UPPER(TRIM(D157)),1))),LEFT(UPPER(TRIM(D157)),1)="X",LEFT(UPPER(TRIM(D157)),1)="Y",LEFT(UPPER(TRIM(D157)),1)="Z"),IF(MID("TRWAGMYFPDXBNJZSQVHLCKE",MOD(VALUE(SUBSTITUTE(SUBSTITUTE(SUBSTITUTE(LEFT(UPPER(TRIM(D157)),8),"X","0"),"Y","1"),"Z","2")),23)+1,1)=RIGHT(UPPER(TRIM(D157)),1),"OK","REVISAR"),IF(OR(RIGHT(UPPER(TRIM(D157)),1)=TEXT(MOD(10-MOD((VALUE(MID(UPPER(TRIM(D157)),3,1))+VALUE(MID(UPPER(TRIM(D157)),5,1))+VALUE(MID(UPPER(TRIM(D157)),7,1)))+(INT(2*VALUE(MID(UPPER(TRIM(D157)),2,1))/10)+MOD(2*VALUE(MID(UPPER(TRIM(D157)),2,1)),10))+(INT(2*VALUE(MID(UPPER(TRIM(D157)),4,1))/10)+MOD(2*VALUE(MID(UPPER(TRIM(D157)),4,1)),10))+(INT(2*VALUE(MID(UPPER(TRIM(D157)),6,1))/10)+MOD(2*VALUE(MID(UPPER(TRIM(D157)),6,1)),10))+(INT(2*VALUE(MID(UPPER(TRIM(D157)),8,1))/10)+MOD(2*VALUE(MID(UPPER(TRIM(D157)),8,1)),10)),10),10),"0"),RIGHT(UPPER(TRIM(D157)),1)=MID("JABCDEFGHI",MOD(10-MOD((VALUE(MID(UPPER(TRIM(D157)),3,1))+VALUE(MID(UPPER(TRIM(D157)),5,1))+VALUE(MID(UPPER(TRIM(D157)),7,1)))+(INT(2*VALUE(MID(UPPER(TRIM(D157)),2,1))/10)+MOD(2*VALUE(MID(UPPER(TRIM(D157)),2,1)),10))+(INT(2*VALUE(MID(UPPER(TRIM(D157)),4,1))/10)+MOD(2*VALUE(MID(UPPER(TRIM(D157)),4,1)),10))+(INT(2*VALUE(MID(UPPER(TRIM(D157)),6,1))/10)+MOD(2*VALUE(MID(UPPER(TRIM(D157)),6,1)),10))+(INT(2*VALUE(MID(UPPER(TRIM(D157)),8,1))/10)+MOD(2*VALUE(MID(UPPER(TRIM(D157)),8,1)),10)),10),10)+1,1)),"OK","REVISAR")),"REVISAR")))</f>
        <v/>
      </c>
      <c r="Q157">
        <f>IF(B157="","",IF(COUNTIFS($B$2:$B$501,B157,$D$2:$D$501,D157)&gt;1,"DUPLICADA",""))</f>
        <v/>
      </c>
      <c r="R157">
        <f>IF(A157="","",ROUNDUP(MONTH(A157)/3,0))</f>
        <v/>
      </c>
      <c r="S157" s="3" t="n"/>
    </row>
    <row r="158">
      <c r="A158" s="2" t="n"/>
      <c r="B158" s="3" t="n"/>
      <c r="C158" s="3" t="n"/>
      <c r="D158" s="3" t="n"/>
      <c r="E158" s="4" t="n"/>
      <c r="F158" s="4" t="n"/>
      <c r="G158" s="4" t="n"/>
      <c r="H158" s="4" t="n"/>
      <c r="I158" s="5">
        <f>IF(E158="","",ROUND(E158*0.21,2))</f>
        <v/>
      </c>
      <c r="J158" s="5">
        <f>IF(F158="","",ROUND(F158*0.1,2))</f>
        <v/>
      </c>
      <c r="K158" s="5">
        <f>IF(G158="","",ROUND(G158*0.04,2))</f>
        <v/>
      </c>
      <c r="L158" s="4" t="n"/>
      <c r="M158" s="4" t="n"/>
      <c r="N158" s="5">
        <f>IF(A158="","",SUM(E158:K158)-N(L158))</f>
        <v/>
      </c>
      <c r="O158">
        <f>IF(OR(A158="",M158=""),"",IF(ABS(M158-N158)&lt;=0.02,"OK","REVISAR"))</f>
        <v/>
      </c>
      <c r="P158">
        <f>IF(D158="","",IF(LEN(TRIM(D158))&lt;&gt;9,"REVISAR",IFERROR(IF(OR(ISNUMBER(VALUE(LEFT(UPPER(TRIM(D158)),1))),LEFT(UPPER(TRIM(D158)),1)="X",LEFT(UPPER(TRIM(D158)),1)="Y",LEFT(UPPER(TRIM(D158)),1)="Z"),IF(MID("TRWAGMYFPDXBNJZSQVHLCKE",MOD(VALUE(SUBSTITUTE(SUBSTITUTE(SUBSTITUTE(LEFT(UPPER(TRIM(D158)),8),"X","0"),"Y","1"),"Z","2")),23)+1,1)=RIGHT(UPPER(TRIM(D158)),1),"OK","REVISAR"),IF(OR(RIGHT(UPPER(TRIM(D158)),1)=TEXT(MOD(10-MOD((VALUE(MID(UPPER(TRIM(D158)),3,1))+VALUE(MID(UPPER(TRIM(D158)),5,1))+VALUE(MID(UPPER(TRIM(D158)),7,1)))+(INT(2*VALUE(MID(UPPER(TRIM(D158)),2,1))/10)+MOD(2*VALUE(MID(UPPER(TRIM(D158)),2,1)),10))+(INT(2*VALUE(MID(UPPER(TRIM(D158)),4,1))/10)+MOD(2*VALUE(MID(UPPER(TRIM(D158)),4,1)),10))+(INT(2*VALUE(MID(UPPER(TRIM(D158)),6,1))/10)+MOD(2*VALUE(MID(UPPER(TRIM(D158)),6,1)),10))+(INT(2*VALUE(MID(UPPER(TRIM(D158)),8,1))/10)+MOD(2*VALUE(MID(UPPER(TRIM(D158)),8,1)),10)),10),10),"0"),RIGHT(UPPER(TRIM(D158)),1)=MID("JABCDEFGHI",MOD(10-MOD((VALUE(MID(UPPER(TRIM(D158)),3,1))+VALUE(MID(UPPER(TRIM(D158)),5,1))+VALUE(MID(UPPER(TRIM(D158)),7,1)))+(INT(2*VALUE(MID(UPPER(TRIM(D158)),2,1))/10)+MOD(2*VALUE(MID(UPPER(TRIM(D158)),2,1)),10))+(INT(2*VALUE(MID(UPPER(TRIM(D158)),4,1))/10)+MOD(2*VALUE(MID(UPPER(TRIM(D158)),4,1)),10))+(INT(2*VALUE(MID(UPPER(TRIM(D158)),6,1))/10)+MOD(2*VALUE(MID(UPPER(TRIM(D158)),6,1)),10))+(INT(2*VALUE(MID(UPPER(TRIM(D158)),8,1))/10)+MOD(2*VALUE(MID(UPPER(TRIM(D158)),8,1)),10)),10),10)+1,1)),"OK","REVISAR")),"REVISAR")))</f>
        <v/>
      </c>
      <c r="Q158">
        <f>IF(B158="","",IF(COUNTIFS($B$2:$B$501,B158,$D$2:$D$501,D158)&gt;1,"DUPLICADA",""))</f>
        <v/>
      </c>
      <c r="R158">
        <f>IF(A158="","",ROUNDUP(MONTH(A158)/3,0))</f>
        <v/>
      </c>
      <c r="S158" s="3" t="n"/>
    </row>
    <row r="159">
      <c r="A159" s="2" t="n"/>
      <c r="B159" s="3" t="n"/>
      <c r="C159" s="3" t="n"/>
      <c r="D159" s="3" t="n"/>
      <c r="E159" s="4" t="n"/>
      <c r="F159" s="4" t="n"/>
      <c r="G159" s="4" t="n"/>
      <c r="H159" s="4" t="n"/>
      <c r="I159" s="5">
        <f>IF(E159="","",ROUND(E159*0.21,2))</f>
        <v/>
      </c>
      <c r="J159" s="5">
        <f>IF(F159="","",ROUND(F159*0.1,2))</f>
        <v/>
      </c>
      <c r="K159" s="5">
        <f>IF(G159="","",ROUND(G159*0.04,2))</f>
        <v/>
      </c>
      <c r="L159" s="4" t="n"/>
      <c r="M159" s="4" t="n"/>
      <c r="N159" s="5">
        <f>IF(A159="","",SUM(E159:K159)-N(L159))</f>
        <v/>
      </c>
      <c r="O159">
        <f>IF(OR(A159="",M159=""),"",IF(ABS(M159-N159)&lt;=0.02,"OK","REVISAR"))</f>
        <v/>
      </c>
      <c r="P159">
        <f>IF(D159="","",IF(LEN(TRIM(D159))&lt;&gt;9,"REVISAR",IFERROR(IF(OR(ISNUMBER(VALUE(LEFT(UPPER(TRIM(D159)),1))),LEFT(UPPER(TRIM(D159)),1)="X",LEFT(UPPER(TRIM(D159)),1)="Y",LEFT(UPPER(TRIM(D159)),1)="Z"),IF(MID("TRWAGMYFPDXBNJZSQVHLCKE",MOD(VALUE(SUBSTITUTE(SUBSTITUTE(SUBSTITUTE(LEFT(UPPER(TRIM(D159)),8),"X","0"),"Y","1"),"Z","2")),23)+1,1)=RIGHT(UPPER(TRIM(D159)),1),"OK","REVISAR"),IF(OR(RIGHT(UPPER(TRIM(D159)),1)=TEXT(MOD(10-MOD((VALUE(MID(UPPER(TRIM(D159)),3,1))+VALUE(MID(UPPER(TRIM(D159)),5,1))+VALUE(MID(UPPER(TRIM(D159)),7,1)))+(INT(2*VALUE(MID(UPPER(TRIM(D159)),2,1))/10)+MOD(2*VALUE(MID(UPPER(TRIM(D159)),2,1)),10))+(INT(2*VALUE(MID(UPPER(TRIM(D159)),4,1))/10)+MOD(2*VALUE(MID(UPPER(TRIM(D159)),4,1)),10))+(INT(2*VALUE(MID(UPPER(TRIM(D159)),6,1))/10)+MOD(2*VALUE(MID(UPPER(TRIM(D159)),6,1)),10))+(INT(2*VALUE(MID(UPPER(TRIM(D159)),8,1))/10)+MOD(2*VALUE(MID(UPPER(TRIM(D159)),8,1)),10)),10),10),"0"),RIGHT(UPPER(TRIM(D159)),1)=MID("JABCDEFGHI",MOD(10-MOD((VALUE(MID(UPPER(TRIM(D159)),3,1))+VALUE(MID(UPPER(TRIM(D159)),5,1))+VALUE(MID(UPPER(TRIM(D159)),7,1)))+(INT(2*VALUE(MID(UPPER(TRIM(D159)),2,1))/10)+MOD(2*VALUE(MID(UPPER(TRIM(D159)),2,1)),10))+(INT(2*VALUE(MID(UPPER(TRIM(D159)),4,1))/10)+MOD(2*VALUE(MID(UPPER(TRIM(D159)),4,1)),10))+(INT(2*VALUE(MID(UPPER(TRIM(D159)),6,1))/10)+MOD(2*VALUE(MID(UPPER(TRIM(D159)),6,1)),10))+(INT(2*VALUE(MID(UPPER(TRIM(D159)),8,1))/10)+MOD(2*VALUE(MID(UPPER(TRIM(D159)),8,1)),10)),10),10)+1,1)),"OK","REVISAR")),"REVISAR")))</f>
        <v/>
      </c>
      <c r="Q159">
        <f>IF(B159="","",IF(COUNTIFS($B$2:$B$501,B159,$D$2:$D$501,D159)&gt;1,"DUPLICADA",""))</f>
        <v/>
      </c>
      <c r="R159">
        <f>IF(A159="","",ROUNDUP(MONTH(A159)/3,0))</f>
        <v/>
      </c>
      <c r="S159" s="3" t="n"/>
    </row>
    <row r="160">
      <c r="A160" s="2" t="n"/>
      <c r="B160" s="3" t="n"/>
      <c r="C160" s="3" t="n"/>
      <c r="D160" s="3" t="n"/>
      <c r="E160" s="4" t="n"/>
      <c r="F160" s="4" t="n"/>
      <c r="G160" s="4" t="n"/>
      <c r="H160" s="4" t="n"/>
      <c r="I160" s="5">
        <f>IF(E160="","",ROUND(E160*0.21,2))</f>
        <v/>
      </c>
      <c r="J160" s="5">
        <f>IF(F160="","",ROUND(F160*0.1,2))</f>
        <v/>
      </c>
      <c r="K160" s="5">
        <f>IF(G160="","",ROUND(G160*0.04,2))</f>
        <v/>
      </c>
      <c r="L160" s="4" t="n"/>
      <c r="M160" s="4" t="n"/>
      <c r="N160" s="5">
        <f>IF(A160="","",SUM(E160:K160)-N(L160))</f>
        <v/>
      </c>
      <c r="O160">
        <f>IF(OR(A160="",M160=""),"",IF(ABS(M160-N160)&lt;=0.02,"OK","REVISAR"))</f>
        <v/>
      </c>
      <c r="P160">
        <f>IF(D160="","",IF(LEN(TRIM(D160))&lt;&gt;9,"REVISAR",IFERROR(IF(OR(ISNUMBER(VALUE(LEFT(UPPER(TRIM(D160)),1))),LEFT(UPPER(TRIM(D160)),1)="X",LEFT(UPPER(TRIM(D160)),1)="Y",LEFT(UPPER(TRIM(D160)),1)="Z"),IF(MID("TRWAGMYFPDXBNJZSQVHLCKE",MOD(VALUE(SUBSTITUTE(SUBSTITUTE(SUBSTITUTE(LEFT(UPPER(TRIM(D160)),8),"X","0"),"Y","1"),"Z","2")),23)+1,1)=RIGHT(UPPER(TRIM(D160)),1),"OK","REVISAR"),IF(OR(RIGHT(UPPER(TRIM(D160)),1)=TEXT(MOD(10-MOD((VALUE(MID(UPPER(TRIM(D160)),3,1))+VALUE(MID(UPPER(TRIM(D160)),5,1))+VALUE(MID(UPPER(TRIM(D160)),7,1)))+(INT(2*VALUE(MID(UPPER(TRIM(D160)),2,1))/10)+MOD(2*VALUE(MID(UPPER(TRIM(D160)),2,1)),10))+(INT(2*VALUE(MID(UPPER(TRIM(D160)),4,1))/10)+MOD(2*VALUE(MID(UPPER(TRIM(D160)),4,1)),10))+(INT(2*VALUE(MID(UPPER(TRIM(D160)),6,1))/10)+MOD(2*VALUE(MID(UPPER(TRIM(D160)),6,1)),10))+(INT(2*VALUE(MID(UPPER(TRIM(D160)),8,1))/10)+MOD(2*VALUE(MID(UPPER(TRIM(D160)),8,1)),10)),10),10),"0"),RIGHT(UPPER(TRIM(D160)),1)=MID("JABCDEFGHI",MOD(10-MOD((VALUE(MID(UPPER(TRIM(D160)),3,1))+VALUE(MID(UPPER(TRIM(D160)),5,1))+VALUE(MID(UPPER(TRIM(D160)),7,1)))+(INT(2*VALUE(MID(UPPER(TRIM(D160)),2,1))/10)+MOD(2*VALUE(MID(UPPER(TRIM(D160)),2,1)),10))+(INT(2*VALUE(MID(UPPER(TRIM(D160)),4,1))/10)+MOD(2*VALUE(MID(UPPER(TRIM(D160)),4,1)),10))+(INT(2*VALUE(MID(UPPER(TRIM(D160)),6,1))/10)+MOD(2*VALUE(MID(UPPER(TRIM(D160)),6,1)),10))+(INT(2*VALUE(MID(UPPER(TRIM(D160)),8,1))/10)+MOD(2*VALUE(MID(UPPER(TRIM(D160)),8,1)),10)),10),10)+1,1)),"OK","REVISAR")),"REVISAR")))</f>
        <v/>
      </c>
      <c r="Q160">
        <f>IF(B160="","",IF(COUNTIFS($B$2:$B$501,B160,$D$2:$D$501,D160)&gt;1,"DUPLICADA",""))</f>
        <v/>
      </c>
      <c r="R160">
        <f>IF(A160="","",ROUNDUP(MONTH(A160)/3,0))</f>
        <v/>
      </c>
      <c r="S160" s="3" t="n"/>
    </row>
    <row r="161">
      <c r="A161" s="2" t="n"/>
      <c r="B161" s="3" t="n"/>
      <c r="C161" s="3" t="n"/>
      <c r="D161" s="3" t="n"/>
      <c r="E161" s="4" t="n"/>
      <c r="F161" s="4" t="n"/>
      <c r="G161" s="4" t="n"/>
      <c r="H161" s="4" t="n"/>
      <c r="I161" s="5">
        <f>IF(E161="","",ROUND(E161*0.21,2))</f>
        <v/>
      </c>
      <c r="J161" s="5">
        <f>IF(F161="","",ROUND(F161*0.1,2))</f>
        <v/>
      </c>
      <c r="K161" s="5">
        <f>IF(G161="","",ROUND(G161*0.04,2))</f>
        <v/>
      </c>
      <c r="L161" s="4" t="n"/>
      <c r="M161" s="4" t="n"/>
      <c r="N161" s="5">
        <f>IF(A161="","",SUM(E161:K161)-N(L161))</f>
        <v/>
      </c>
      <c r="O161">
        <f>IF(OR(A161="",M161=""),"",IF(ABS(M161-N161)&lt;=0.02,"OK","REVISAR"))</f>
        <v/>
      </c>
      <c r="P161">
        <f>IF(D161="","",IF(LEN(TRIM(D161))&lt;&gt;9,"REVISAR",IFERROR(IF(OR(ISNUMBER(VALUE(LEFT(UPPER(TRIM(D161)),1))),LEFT(UPPER(TRIM(D161)),1)="X",LEFT(UPPER(TRIM(D161)),1)="Y",LEFT(UPPER(TRIM(D161)),1)="Z"),IF(MID("TRWAGMYFPDXBNJZSQVHLCKE",MOD(VALUE(SUBSTITUTE(SUBSTITUTE(SUBSTITUTE(LEFT(UPPER(TRIM(D161)),8),"X","0"),"Y","1"),"Z","2")),23)+1,1)=RIGHT(UPPER(TRIM(D161)),1),"OK","REVISAR"),IF(OR(RIGHT(UPPER(TRIM(D161)),1)=TEXT(MOD(10-MOD((VALUE(MID(UPPER(TRIM(D161)),3,1))+VALUE(MID(UPPER(TRIM(D161)),5,1))+VALUE(MID(UPPER(TRIM(D161)),7,1)))+(INT(2*VALUE(MID(UPPER(TRIM(D161)),2,1))/10)+MOD(2*VALUE(MID(UPPER(TRIM(D161)),2,1)),10))+(INT(2*VALUE(MID(UPPER(TRIM(D161)),4,1))/10)+MOD(2*VALUE(MID(UPPER(TRIM(D161)),4,1)),10))+(INT(2*VALUE(MID(UPPER(TRIM(D161)),6,1))/10)+MOD(2*VALUE(MID(UPPER(TRIM(D161)),6,1)),10))+(INT(2*VALUE(MID(UPPER(TRIM(D161)),8,1))/10)+MOD(2*VALUE(MID(UPPER(TRIM(D161)),8,1)),10)),10),10),"0"),RIGHT(UPPER(TRIM(D161)),1)=MID("JABCDEFGHI",MOD(10-MOD((VALUE(MID(UPPER(TRIM(D161)),3,1))+VALUE(MID(UPPER(TRIM(D161)),5,1))+VALUE(MID(UPPER(TRIM(D161)),7,1)))+(INT(2*VALUE(MID(UPPER(TRIM(D161)),2,1))/10)+MOD(2*VALUE(MID(UPPER(TRIM(D161)),2,1)),10))+(INT(2*VALUE(MID(UPPER(TRIM(D161)),4,1))/10)+MOD(2*VALUE(MID(UPPER(TRIM(D161)),4,1)),10))+(INT(2*VALUE(MID(UPPER(TRIM(D161)),6,1))/10)+MOD(2*VALUE(MID(UPPER(TRIM(D161)),6,1)),10))+(INT(2*VALUE(MID(UPPER(TRIM(D161)),8,1))/10)+MOD(2*VALUE(MID(UPPER(TRIM(D161)),8,1)),10)),10),10)+1,1)),"OK","REVISAR")),"REVISAR")))</f>
        <v/>
      </c>
      <c r="Q161">
        <f>IF(B161="","",IF(COUNTIFS($B$2:$B$501,B161,$D$2:$D$501,D161)&gt;1,"DUPLICADA",""))</f>
        <v/>
      </c>
      <c r="R161">
        <f>IF(A161="","",ROUNDUP(MONTH(A161)/3,0))</f>
        <v/>
      </c>
      <c r="S161" s="3" t="n"/>
    </row>
    <row r="162">
      <c r="A162" s="2" t="n"/>
      <c r="B162" s="3" t="n"/>
      <c r="C162" s="3" t="n"/>
      <c r="D162" s="3" t="n"/>
      <c r="E162" s="4" t="n"/>
      <c r="F162" s="4" t="n"/>
      <c r="G162" s="4" t="n"/>
      <c r="H162" s="4" t="n"/>
      <c r="I162" s="5">
        <f>IF(E162="","",ROUND(E162*0.21,2))</f>
        <v/>
      </c>
      <c r="J162" s="5">
        <f>IF(F162="","",ROUND(F162*0.1,2))</f>
        <v/>
      </c>
      <c r="K162" s="5">
        <f>IF(G162="","",ROUND(G162*0.04,2))</f>
        <v/>
      </c>
      <c r="L162" s="4" t="n"/>
      <c r="M162" s="4" t="n"/>
      <c r="N162" s="5">
        <f>IF(A162="","",SUM(E162:K162)-N(L162))</f>
        <v/>
      </c>
      <c r="O162">
        <f>IF(OR(A162="",M162=""),"",IF(ABS(M162-N162)&lt;=0.02,"OK","REVISAR"))</f>
        <v/>
      </c>
      <c r="P162">
        <f>IF(D162="","",IF(LEN(TRIM(D162))&lt;&gt;9,"REVISAR",IFERROR(IF(OR(ISNUMBER(VALUE(LEFT(UPPER(TRIM(D162)),1))),LEFT(UPPER(TRIM(D162)),1)="X",LEFT(UPPER(TRIM(D162)),1)="Y",LEFT(UPPER(TRIM(D162)),1)="Z"),IF(MID("TRWAGMYFPDXBNJZSQVHLCKE",MOD(VALUE(SUBSTITUTE(SUBSTITUTE(SUBSTITUTE(LEFT(UPPER(TRIM(D162)),8),"X","0"),"Y","1"),"Z","2")),23)+1,1)=RIGHT(UPPER(TRIM(D162)),1),"OK","REVISAR"),IF(OR(RIGHT(UPPER(TRIM(D162)),1)=TEXT(MOD(10-MOD((VALUE(MID(UPPER(TRIM(D162)),3,1))+VALUE(MID(UPPER(TRIM(D162)),5,1))+VALUE(MID(UPPER(TRIM(D162)),7,1)))+(INT(2*VALUE(MID(UPPER(TRIM(D162)),2,1))/10)+MOD(2*VALUE(MID(UPPER(TRIM(D162)),2,1)),10))+(INT(2*VALUE(MID(UPPER(TRIM(D162)),4,1))/10)+MOD(2*VALUE(MID(UPPER(TRIM(D162)),4,1)),10))+(INT(2*VALUE(MID(UPPER(TRIM(D162)),6,1))/10)+MOD(2*VALUE(MID(UPPER(TRIM(D162)),6,1)),10))+(INT(2*VALUE(MID(UPPER(TRIM(D162)),8,1))/10)+MOD(2*VALUE(MID(UPPER(TRIM(D162)),8,1)),10)),10),10),"0"),RIGHT(UPPER(TRIM(D162)),1)=MID("JABCDEFGHI",MOD(10-MOD((VALUE(MID(UPPER(TRIM(D162)),3,1))+VALUE(MID(UPPER(TRIM(D162)),5,1))+VALUE(MID(UPPER(TRIM(D162)),7,1)))+(INT(2*VALUE(MID(UPPER(TRIM(D162)),2,1))/10)+MOD(2*VALUE(MID(UPPER(TRIM(D162)),2,1)),10))+(INT(2*VALUE(MID(UPPER(TRIM(D162)),4,1))/10)+MOD(2*VALUE(MID(UPPER(TRIM(D162)),4,1)),10))+(INT(2*VALUE(MID(UPPER(TRIM(D162)),6,1))/10)+MOD(2*VALUE(MID(UPPER(TRIM(D162)),6,1)),10))+(INT(2*VALUE(MID(UPPER(TRIM(D162)),8,1))/10)+MOD(2*VALUE(MID(UPPER(TRIM(D162)),8,1)),10)),10),10)+1,1)),"OK","REVISAR")),"REVISAR")))</f>
        <v/>
      </c>
      <c r="Q162">
        <f>IF(B162="","",IF(COUNTIFS($B$2:$B$501,B162,$D$2:$D$501,D162)&gt;1,"DUPLICADA",""))</f>
        <v/>
      </c>
      <c r="R162">
        <f>IF(A162="","",ROUNDUP(MONTH(A162)/3,0))</f>
        <v/>
      </c>
      <c r="S162" s="3" t="n"/>
    </row>
    <row r="163">
      <c r="A163" s="2" t="n"/>
      <c r="B163" s="3" t="n"/>
      <c r="C163" s="3" t="n"/>
      <c r="D163" s="3" t="n"/>
      <c r="E163" s="4" t="n"/>
      <c r="F163" s="4" t="n"/>
      <c r="G163" s="4" t="n"/>
      <c r="H163" s="4" t="n"/>
      <c r="I163" s="5">
        <f>IF(E163="","",ROUND(E163*0.21,2))</f>
        <v/>
      </c>
      <c r="J163" s="5">
        <f>IF(F163="","",ROUND(F163*0.1,2))</f>
        <v/>
      </c>
      <c r="K163" s="5">
        <f>IF(G163="","",ROUND(G163*0.04,2))</f>
        <v/>
      </c>
      <c r="L163" s="4" t="n"/>
      <c r="M163" s="4" t="n"/>
      <c r="N163" s="5">
        <f>IF(A163="","",SUM(E163:K163)-N(L163))</f>
        <v/>
      </c>
      <c r="O163">
        <f>IF(OR(A163="",M163=""),"",IF(ABS(M163-N163)&lt;=0.02,"OK","REVISAR"))</f>
        <v/>
      </c>
      <c r="P163">
        <f>IF(D163="","",IF(LEN(TRIM(D163))&lt;&gt;9,"REVISAR",IFERROR(IF(OR(ISNUMBER(VALUE(LEFT(UPPER(TRIM(D163)),1))),LEFT(UPPER(TRIM(D163)),1)="X",LEFT(UPPER(TRIM(D163)),1)="Y",LEFT(UPPER(TRIM(D163)),1)="Z"),IF(MID("TRWAGMYFPDXBNJZSQVHLCKE",MOD(VALUE(SUBSTITUTE(SUBSTITUTE(SUBSTITUTE(LEFT(UPPER(TRIM(D163)),8),"X","0"),"Y","1"),"Z","2")),23)+1,1)=RIGHT(UPPER(TRIM(D163)),1),"OK","REVISAR"),IF(OR(RIGHT(UPPER(TRIM(D163)),1)=TEXT(MOD(10-MOD((VALUE(MID(UPPER(TRIM(D163)),3,1))+VALUE(MID(UPPER(TRIM(D163)),5,1))+VALUE(MID(UPPER(TRIM(D163)),7,1)))+(INT(2*VALUE(MID(UPPER(TRIM(D163)),2,1))/10)+MOD(2*VALUE(MID(UPPER(TRIM(D163)),2,1)),10))+(INT(2*VALUE(MID(UPPER(TRIM(D163)),4,1))/10)+MOD(2*VALUE(MID(UPPER(TRIM(D163)),4,1)),10))+(INT(2*VALUE(MID(UPPER(TRIM(D163)),6,1))/10)+MOD(2*VALUE(MID(UPPER(TRIM(D163)),6,1)),10))+(INT(2*VALUE(MID(UPPER(TRIM(D163)),8,1))/10)+MOD(2*VALUE(MID(UPPER(TRIM(D163)),8,1)),10)),10),10),"0"),RIGHT(UPPER(TRIM(D163)),1)=MID("JABCDEFGHI",MOD(10-MOD((VALUE(MID(UPPER(TRIM(D163)),3,1))+VALUE(MID(UPPER(TRIM(D163)),5,1))+VALUE(MID(UPPER(TRIM(D163)),7,1)))+(INT(2*VALUE(MID(UPPER(TRIM(D163)),2,1))/10)+MOD(2*VALUE(MID(UPPER(TRIM(D163)),2,1)),10))+(INT(2*VALUE(MID(UPPER(TRIM(D163)),4,1))/10)+MOD(2*VALUE(MID(UPPER(TRIM(D163)),4,1)),10))+(INT(2*VALUE(MID(UPPER(TRIM(D163)),6,1))/10)+MOD(2*VALUE(MID(UPPER(TRIM(D163)),6,1)),10))+(INT(2*VALUE(MID(UPPER(TRIM(D163)),8,1))/10)+MOD(2*VALUE(MID(UPPER(TRIM(D163)),8,1)),10)),10),10)+1,1)),"OK","REVISAR")),"REVISAR")))</f>
        <v/>
      </c>
      <c r="Q163">
        <f>IF(B163="","",IF(COUNTIFS($B$2:$B$501,B163,$D$2:$D$501,D163)&gt;1,"DUPLICADA",""))</f>
        <v/>
      </c>
      <c r="R163">
        <f>IF(A163="","",ROUNDUP(MONTH(A163)/3,0))</f>
        <v/>
      </c>
      <c r="S163" s="3" t="n"/>
    </row>
    <row r="164">
      <c r="A164" s="2" t="n"/>
      <c r="B164" s="3" t="n"/>
      <c r="C164" s="3" t="n"/>
      <c r="D164" s="3" t="n"/>
      <c r="E164" s="4" t="n"/>
      <c r="F164" s="4" t="n"/>
      <c r="G164" s="4" t="n"/>
      <c r="H164" s="4" t="n"/>
      <c r="I164" s="5">
        <f>IF(E164="","",ROUND(E164*0.21,2))</f>
        <v/>
      </c>
      <c r="J164" s="5">
        <f>IF(F164="","",ROUND(F164*0.1,2))</f>
        <v/>
      </c>
      <c r="K164" s="5">
        <f>IF(G164="","",ROUND(G164*0.04,2))</f>
        <v/>
      </c>
      <c r="L164" s="4" t="n"/>
      <c r="M164" s="4" t="n"/>
      <c r="N164" s="5">
        <f>IF(A164="","",SUM(E164:K164)-N(L164))</f>
        <v/>
      </c>
      <c r="O164">
        <f>IF(OR(A164="",M164=""),"",IF(ABS(M164-N164)&lt;=0.02,"OK","REVISAR"))</f>
        <v/>
      </c>
      <c r="P164">
        <f>IF(D164="","",IF(LEN(TRIM(D164))&lt;&gt;9,"REVISAR",IFERROR(IF(OR(ISNUMBER(VALUE(LEFT(UPPER(TRIM(D164)),1))),LEFT(UPPER(TRIM(D164)),1)="X",LEFT(UPPER(TRIM(D164)),1)="Y",LEFT(UPPER(TRIM(D164)),1)="Z"),IF(MID("TRWAGMYFPDXBNJZSQVHLCKE",MOD(VALUE(SUBSTITUTE(SUBSTITUTE(SUBSTITUTE(LEFT(UPPER(TRIM(D164)),8),"X","0"),"Y","1"),"Z","2")),23)+1,1)=RIGHT(UPPER(TRIM(D164)),1),"OK","REVISAR"),IF(OR(RIGHT(UPPER(TRIM(D164)),1)=TEXT(MOD(10-MOD((VALUE(MID(UPPER(TRIM(D164)),3,1))+VALUE(MID(UPPER(TRIM(D164)),5,1))+VALUE(MID(UPPER(TRIM(D164)),7,1)))+(INT(2*VALUE(MID(UPPER(TRIM(D164)),2,1))/10)+MOD(2*VALUE(MID(UPPER(TRIM(D164)),2,1)),10))+(INT(2*VALUE(MID(UPPER(TRIM(D164)),4,1))/10)+MOD(2*VALUE(MID(UPPER(TRIM(D164)),4,1)),10))+(INT(2*VALUE(MID(UPPER(TRIM(D164)),6,1))/10)+MOD(2*VALUE(MID(UPPER(TRIM(D164)),6,1)),10))+(INT(2*VALUE(MID(UPPER(TRIM(D164)),8,1))/10)+MOD(2*VALUE(MID(UPPER(TRIM(D164)),8,1)),10)),10),10),"0"),RIGHT(UPPER(TRIM(D164)),1)=MID("JABCDEFGHI",MOD(10-MOD((VALUE(MID(UPPER(TRIM(D164)),3,1))+VALUE(MID(UPPER(TRIM(D164)),5,1))+VALUE(MID(UPPER(TRIM(D164)),7,1)))+(INT(2*VALUE(MID(UPPER(TRIM(D164)),2,1))/10)+MOD(2*VALUE(MID(UPPER(TRIM(D164)),2,1)),10))+(INT(2*VALUE(MID(UPPER(TRIM(D164)),4,1))/10)+MOD(2*VALUE(MID(UPPER(TRIM(D164)),4,1)),10))+(INT(2*VALUE(MID(UPPER(TRIM(D164)),6,1))/10)+MOD(2*VALUE(MID(UPPER(TRIM(D164)),6,1)),10))+(INT(2*VALUE(MID(UPPER(TRIM(D164)),8,1))/10)+MOD(2*VALUE(MID(UPPER(TRIM(D164)),8,1)),10)),10),10)+1,1)),"OK","REVISAR")),"REVISAR")))</f>
        <v/>
      </c>
      <c r="Q164">
        <f>IF(B164="","",IF(COUNTIFS($B$2:$B$501,B164,$D$2:$D$501,D164)&gt;1,"DUPLICADA",""))</f>
        <v/>
      </c>
      <c r="R164">
        <f>IF(A164="","",ROUNDUP(MONTH(A164)/3,0))</f>
        <v/>
      </c>
      <c r="S164" s="3" t="n"/>
    </row>
    <row r="165">
      <c r="A165" s="2" t="n"/>
      <c r="B165" s="3" t="n"/>
      <c r="C165" s="3" t="n"/>
      <c r="D165" s="3" t="n"/>
      <c r="E165" s="4" t="n"/>
      <c r="F165" s="4" t="n"/>
      <c r="G165" s="4" t="n"/>
      <c r="H165" s="4" t="n"/>
      <c r="I165" s="5">
        <f>IF(E165="","",ROUND(E165*0.21,2))</f>
        <v/>
      </c>
      <c r="J165" s="5">
        <f>IF(F165="","",ROUND(F165*0.1,2))</f>
        <v/>
      </c>
      <c r="K165" s="5">
        <f>IF(G165="","",ROUND(G165*0.04,2))</f>
        <v/>
      </c>
      <c r="L165" s="4" t="n"/>
      <c r="M165" s="4" t="n"/>
      <c r="N165" s="5">
        <f>IF(A165="","",SUM(E165:K165)-N(L165))</f>
        <v/>
      </c>
      <c r="O165">
        <f>IF(OR(A165="",M165=""),"",IF(ABS(M165-N165)&lt;=0.02,"OK","REVISAR"))</f>
        <v/>
      </c>
      <c r="P165">
        <f>IF(D165="","",IF(LEN(TRIM(D165))&lt;&gt;9,"REVISAR",IFERROR(IF(OR(ISNUMBER(VALUE(LEFT(UPPER(TRIM(D165)),1))),LEFT(UPPER(TRIM(D165)),1)="X",LEFT(UPPER(TRIM(D165)),1)="Y",LEFT(UPPER(TRIM(D165)),1)="Z"),IF(MID("TRWAGMYFPDXBNJZSQVHLCKE",MOD(VALUE(SUBSTITUTE(SUBSTITUTE(SUBSTITUTE(LEFT(UPPER(TRIM(D165)),8),"X","0"),"Y","1"),"Z","2")),23)+1,1)=RIGHT(UPPER(TRIM(D165)),1),"OK","REVISAR"),IF(OR(RIGHT(UPPER(TRIM(D165)),1)=TEXT(MOD(10-MOD((VALUE(MID(UPPER(TRIM(D165)),3,1))+VALUE(MID(UPPER(TRIM(D165)),5,1))+VALUE(MID(UPPER(TRIM(D165)),7,1)))+(INT(2*VALUE(MID(UPPER(TRIM(D165)),2,1))/10)+MOD(2*VALUE(MID(UPPER(TRIM(D165)),2,1)),10))+(INT(2*VALUE(MID(UPPER(TRIM(D165)),4,1))/10)+MOD(2*VALUE(MID(UPPER(TRIM(D165)),4,1)),10))+(INT(2*VALUE(MID(UPPER(TRIM(D165)),6,1))/10)+MOD(2*VALUE(MID(UPPER(TRIM(D165)),6,1)),10))+(INT(2*VALUE(MID(UPPER(TRIM(D165)),8,1))/10)+MOD(2*VALUE(MID(UPPER(TRIM(D165)),8,1)),10)),10),10),"0"),RIGHT(UPPER(TRIM(D165)),1)=MID("JABCDEFGHI",MOD(10-MOD((VALUE(MID(UPPER(TRIM(D165)),3,1))+VALUE(MID(UPPER(TRIM(D165)),5,1))+VALUE(MID(UPPER(TRIM(D165)),7,1)))+(INT(2*VALUE(MID(UPPER(TRIM(D165)),2,1))/10)+MOD(2*VALUE(MID(UPPER(TRIM(D165)),2,1)),10))+(INT(2*VALUE(MID(UPPER(TRIM(D165)),4,1))/10)+MOD(2*VALUE(MID(UPPER(TRIM(D165)),4,1)),10))+(INT(2*VALUE(MID(UPPER(TRIM(D165)),6,1))/10)+MOD(2*VALUE(MID(UPPER(TRIM(D165)),6,1)),10))+(INT(2*VALUE(MID(UPPER(TRIM(D165)),8,1))/10)+MOD(2*VALUE(MID(UPPER(TRIM(D165)),8,1)),10)),10),10)+1,1)),"OK","REVISAR")),"REVISAR")))</f>
        <v/>
      </c>
      <c r="Q165">
        <f>IF(B165="","",IF(COUNTIFS($B$2:$B$501,B165,$D$2:$D$501,D165)&gt;1,"DUPLICADA",""))</f>
        <v/>
      </c>
      <c r="R165">
        <f>IF(A165="","",ROUNDUP(MONTH(A165)/3,0))</f>
        <v/>
      </c>
      <c r="S165" s="3" t="n"/>
    </row>
    <row r="166">
      <c r="A166" s="2" t="n"/>
      <c r="B166" s="3" t="n"/>
      <c r="C166" s="3" t="n"/>
      <c r="D166" s="3" t="n"/>
      <c r="E166" s="4" t="n"/>
      <c r="F166" s="4" t="n"/>
      <c r="G166" s="4" t="n"/>
      <c r="H166" s="4" t="n"/>
      <c r="I166" s="5">
        <f>IF(E166="","",ROUND(E166*0.21,2))</f>
        <v/>
      </c>
      <c r="J166" s="5">
        <f>IF(F166="","",ROUND(F166*0.1,2))</f>
        <v/>
      </c>
      <c r="K166" s="5">
        <f>IF(G166="","",ROUND(G166*0.04,2))</f>
        <v/>
      </c>
      <c r="L166" s="4" t="n"/>
      <c r="M166" s="4" t="n"/>
      <c r="N166" s="5">
        <f>IF(A166="","",SUM(E166:K166)-N(L166))</f>
        <v/>
      </c>
      <c r="O166">
        <f>IF(OR(A166="",M166=""),"",IF(ABS(M166-N166)&lt;=0.02,"OK","REVISAR"))</f>
        <v/>
      </c>
      <c r="P166">
        <f>IF(D166="","",IF(LEN(TRIM(D166))&lt;&gt;9,"REVISAR",IFERROR(IF(OR(ISNUMBER(VALUE(LEFT(UPPER(TRIM(D166)),1))),LEFT(UPPER(TRIM(D166)),1)="X",LEFT(UPPER(TRIM(D166)),1)="Y",LEFT(UPPER(TRIM(D166)),1)="Z"),IF(MID("TRWAGMYFPDXBNJZSQVHLCKE",MOD(VALUE(SUBSTITUTE(SUBSTITUTE(SUBSTITUTE(LEFT(UPPER(TRIM(D166)),8),"X","0"),"Y","1"),"Z","2")),23)+1,1)=RIGHT(UPPER(TRIM(D166)),1),"OK","REVISAR"),IF(OR(RIGHT(UPPER(TRIM(D166)),1)=TEXT(MOD(10-MOD((VALUE(MID(UPPER(TRIM(D166)),3,1))+VALUE(MID(UPPER(TRIM(D166)),5,1))+VALUE(MID(UPPER(TRIM(D166)),7,1)))+(INT(2*VALUE(MID(UPPER(TRIM(D166)),2,1))/10)+MOD(2*VALUE(MID(UPPER(TRIM(D166)),2,1)),10))+(INT(2*VALUE(MID(UPPER(TRIM(D166)),4,1))/10)+MOD(2*VALUE(MID(UPPER(TRIM(D166)),4,1)),10))+(INT(2*VALUE(MID(UPPER(TRIM(D166)),6,1))/10)+MOD(2*VALUE(MID(UPPER(TRIM(D166)),6,1)),10))+(INT(2*VALUE(MID(UPPER(TRIM(D166)),8,1))/10)+MOD(2*VALUE(MID(UPPER(TRIM(D166)),8,1)),10)),10),10),"0"),RIGHT(UPPER(TRIM(D166)),1)=MID("JABCDEFGHI",MOD(10-MOD((VALUE(MID(UPPER(TRIM(D166)),3,1))+VALUE(MID(UPPER(TRIM(D166)),5,1))+VALUE(MID(UPPER(TRIM(D166)),7,1)))+(INT(2*VALUE(MID(UPPER(TRIM(D166)),2,1))/10)+MOD(2*VALUE(MID(UPPER(TRIM(D166)),2,1)),10))+(INT(2*VALUE(MID(UPPER(TRIM(D166)),4,1))/10)+MOD(2*VALUE(MID(UPPER(TRIM(D166)),4,1)),10))+(INT(2*VALUE(MID(UPPER(TRIM(D166)),6,1))/10)+MOD(2*VALUE(MID(UPPER(TRIM(D166)),6,1)),10))+(INT(2*VALUE(MID(UPPER(TRIM(D166)),8,1))/10)+MOD(2*VALUE(MID(UPPER(TRIM(D166)),8,1)),10)),10),10)+1,1)),"OK","REVISAR")),"REVISAR")))</f>
        <v/>
      </c>
      <c r="Q166">
        <f>IF(B166="","",IF(COUNTIFS($B$2:$B$501,B166,$D$2:$D$501,D166)&gt;1,"DUPLICADA",""))</f>
        <v/>
      </c>
      <c r="R166">
        <f>IF(A166="","",ROUNDUP(MONTH(A166)/3,0))</f>
        <v/>
      </c>
      <c r="S166" s="3" t="n"/>
    </row>
    <row r="167">
      <c r="A167" s="2" t="n"/>
      <c r="B167" s="3" t="n"/>
      <c r="C167" s="3" t="n"/>
      <c r="D167" s="3" t="n"/>
      <c r="E167" s="4" t="n"/>
      <c r="F167" s="4" t="n"/>
      <c r="G167" s="4" t="n"/>
      <c r="H167" s="4" t="n"/>
      <c r="I167" s="5">
        <f>IF(E167="","",ROUND(E167*0.21,2))</f>
        <v/>
      </c>
      <c r="J167" s="5">
        <f>IF(F167="","",ROUND(F167*0.1,2))</f>
        <v/>
      </c>
      <c r="K167" s="5">
        <f>IF(G167="","",ROUND(G167*0.04,2))</f>
        <v/>
      </c>
      <c r="L167" s="4" t="n"/>
      <c r="M167" s="4" t="n"/>
      <c r="N167" s="5">
        <f>IF(A167="","",SUM(E167:K167)-N(L167))</f>
        <v/>
      </c>
      <c r="O167">
        <f>IF(OR(A167="",M167=""),"",IF(ABS(M167-N167)&lt;=0.02,"OK","REVISAR"))</f>
        <v/>
      </c>
      <c r="P167">
        <f>IF(D167="","",IF(LEN(TRIM(D167))&lt;&gt;9,"REVISAR",IFERROR(IF(OR(ISNUMBER(VALUE(LEFT(UPPER(TRIM(D167)),1))),LEFT(UPPER(TRIM(D167)),1)="X",LEFT(UPPER(TRIM(D167)),1)="Y",LEFT(UPPER(TRIM(D167)),1)="Z"),IF(MID("TRWAGMYFPDXBNJZSQVHLCKE",MOD(VALUE(SUBSTITUTE(SUBSTITUTE(SUBSTITUTE(LEFT(UPPER(TRIM(D167)),8),"X","0"),"Y","1"),"Z","2")),23)+1,1)=RIGHT(UPPER(TRIM(D167)),1),"OK","REVISAR"),IF(OR(RIGHT(UPPER(TRIM(D167)),1)=TEXT(MOD(10-MOD((VALUE(MID(UPPER(TRIM(D167)),3,1))+VALUE(MID(UPPER(TRIM(D167)),5,1))+VALUE(MID(UPPER(TRIM(D167)),7,1)))+(INT(2*VALUE(MID(UPPER(TRIM(D167)),2,1))/10)+MOD(2*VALUE(MID(UPPER(TRIM(D167)),2,1)),10))+(INT(2*VALUE(MID(UPPER(TRIM(D167)),4,1))/10)+MOD(2*VALUE(MID(UPPER(TRIM(D167)),4,1)),10))+(INT(2*VALUE(MID(UPPER(TRIM(D167)),6,1))/10)+MOD(2*VALUE(MID(UPPER(TRIM(D167)),6,1)),10))+(INT(2*VALUE(MID(UPPER(TRIM(D167)),8,1))/10)+MOD(2*VALUE(MID(UPPER(TRIM(D167)),8,1)),10)),10),10),"0"),RIGHT(UPPER(TRIM(D167)),1)=MID("JABCDEFGHI",MOD(10-MOD((VALUE(MID(UPPER(TRIM(D167)),3,1))+VALUE(MID(UPPER(TRIM(D167)),5,1))+VALUE(MID(UPPER(TRIM(D167)),7,1)))+(INT(2*VALUE(MID(UPPER(TRIM(D167)),2,1))/10)+MOD(2*VALUE(MID(UPPER(TRIM(D167)),2,1)),10))+(INT(2*VALUE(MID(UPPER(TRIM(D167)),4,1))/10)+MOD(2*VALUE(MID(UPPER(TRIM(D167)),4,1)),10))+(INT(2*VALUE(MID(UPPER(TRIM(D167)),6,1))/10)+MOD(2*VALUE(MID(UPPER(TRIM(D167)),6,1)),10))+(INT(2*VALUE(MID(UPPER(TRIM(D167)),8,1))/10)+MOD(2*VALUE(MID(UPPER(TRIM(D167)),8,1)),10)),10),10)+1,1)),"OK","REVISAR")),"REVISAR")))</f>
        <v/>
      </c>
      <c r="Q167">
        <f>IF(B167="","",IF(COUNTIFS($B$2:$B$501,B167,$D$2:$D$501,D167)&gt;1,"DUPLICADA",""))</f>
        <v/>
      </c>
      <c r="R167">
        <f>IF(A167="","",ROUNDUP(MONTH(A167)/3,0))</f>
        <v/>
      </c>
      <c r="S167" s="3" t="n"/>
    </row>
    <row r="168">
      <c r="A168" s="2" t="n"/>
      <c r="B168" s="3" t="n"/>
      <c r="C168" s="3" t="n"/>
      <c r="D168" s="3" t="n"/>
      <c r="E168" s="4" t="n"/>
      <c r="F168" s="4" t="n"/>
      <c r="G168" s="4" t="n"/>
      <c r="H168" s="4" t="n"/>
      <c r="I168" s="5">
        <f>IF(E168="","",ROUND(E168*0.21,2))</f>
        <v/>
      </c>
      <c r="J168" s="5">
        <f>IF(F168="","",ROUND(F168*0.1,2))</f>
        <v/>
      </c>
      <c r="K168" s="5">
        <f>IF(G168="","",ROUND(G168*0.04,2))</f>
        <v/>
      </c>
      <c r="L168" s="4" t="n"/>
      <c r="M168" s="4" t="n"/>
      <c r="N168" s="5">
        <f>IF(A168="","",SUM(E168:K168)-N(L168))</f>
        <v/>
      </c>
      <c r="O168">
        <f>IF(OR(A168="",M168=""),"",IF(ABS(M168-N168)&lt;=0.02,"OK","REVISAR"))</f>
        <v/>
      </c>
      <c r="P168">
        <f>IF(D168="","",IF(LEN(TRIM(D168))&lt;&gt;9,"REVISAR",IFERROR(IF(OR(ISNUMBER(VALUE(LEFT(UPPER(TRIM(D168)),1))),LEFT(UPPER(TRIM(D168)),1)="X",LEFT(UPPER(TRIM(D168)),1)="Y",LEFT(UPPER(TRIM(D168)),1)="Z"),IF(MID("TRWAGMYFPDXBNJZSQVHLCKE",MOD(VALUE(SUBSTITUTE(SUBSTITUTE(SUBSTITUTE(LEFT(UPPER(TRIM(D168)),8),"X","0"),"Y","1"),"Z","2")),23)+1,1)=RIGHT(UPPER(TRIM(D168)),1),"OK","REVISAR"),IF(OR(RIGHT(UPPER(TRIM(D168)),1)=TEXT(MOD(10-MOD((VALUE(MID(UPPER(TRIM(D168)),3,1))+VALUE(MID(UPPER(TRIM(D168)),5,1))+VALUE(MID(UPPER(TRIM(D168)),7,1)))+(INT(2*VALUE(MID(UPPER(TRIM(D168)),2,1))/10)+MOD(2*VALUE(MID(UPPER(TRIM(D168)),2,1)),10))+(INT(2*VALUE(MID(UPPER(TRIM(D168)),4,1))/10)+MOD(2*VALUE(MID(UPPER(TRIM(D168)),4,1)),10))+(INT(2*VALUE(MID(UPPER(TRIM(D168)),6,1))/10)+MOD(2*VALUE(MID(UPPER(TRIM(D168)),6,1)),10))+(INT(2*VALUE(MID(UPPER(TRIM(D168)),8,1))/10)+MOD(2*VALUE(MID(UPPER(TRIM(D168)),8,1)),10)),10),10),"0"),RIGHT(UPPER(TRIM(D168)),1)=MID("JABCDEFGHI",MOD(10-MOD((VALUE(MID(UPPER(TRIM(D168)),3,1))+VALUE(MID(UPPER(TRIM(D168)),5,1))+VALUE(MID(UPPER(TRIM(D168)),7,1)))+(INT(2*VALUE(MID(UPPER(TRIM(D168)),2,1))/10)+MOD(2*VALUE(MID(UPPER(TRIM(D168)),2,1)),10))+(INT(2*VALUE(MID(UPPER(TRIM(D168)),4,1))/10)+MOD(2*VALUE(MID(UPPER(TRIM(D168)),4,1)),10))+(INT(2*VALUE(MID(UPPER(TRIM(D168)),6,1))/10)+MOD(2*VALUE(MID(UPPER(TRIM(D168)),6,1)),10))+(INT(2*VALUE(MID(UPPER(TRIM(D168)),8,1))/10)+MOD(2*VALUE(MID(UPPER(TRIM(D168)),8,1)),10)),10),10)+1,1)),"OK","REVISAR")),"REVISAR")))</f>
        <v/>
      </c>
      <c r="Q168">
        <f>IF(B168="","",IF(COUNTIFS($B$2:$B$501,B168,$D$2:$D$501,D168)&gt;1,"DUPLICADA",""))</f>
        <v/>
      </c>
      <c r="R168">
        <f>IF(A168="","",ROUNDUP(MONTH(A168)/3,0))</f>
        <v/>
      </c>
      <c r="S168" s="3" t="n"/>
    </row>
    <row r="169">
      <c r="A169" s="2" t="n"/>
      <c r="B169" s="3" t="n"/>
      <c r="C169" s="3" t="n"/>
      <c r="D169" s="3" t="n"/>
      <c r="E169" s="4" t="n"/>
      <c r="F169" s="4" t="n"/>
      <c r="G169" s="4" t="n"/>
      <c r="H169" s="4" t="n"/>
      <c r="I169" s="5">
        <f>IF(E169="","",ROUND(E169*0.21,2))</f>
        <v/>
      </c>
      <c r="J169" s="5">
        <f>IF(F169="","",ROUND(F169*0.1,2))</f>
        <v/>
      </c>
      <c r="K169" s="5">
        <f>IF(G169="","",ROUND(G169*0.04,2))</f>
        <v/>
      </c>
      <c r="L169" s="4" t="n"/>
      <c r="M169" s="4" t="n"/>
      <c r="N169" s="5">
        <f>IF(A169="","",SUM(E169:K169)-N(L169))</f>
        <v/>
      </c>
      <c r="O169">
        <f>IF(OR(A169="",M169=""),"",IF(ABS(M169-N169)&lt;=0.02,"OK","REVISAR"))</f>
        <v/>
      </c>
      <c r="P169">
        <f>IF(D169="","",IF(LEN(TRIM(D169))&lt;&gt;9,"REVISAR",IFERROR(IF(OR(ISNUMBER(VALUE(LEFT(UPPER(TRIM(D169)),1))),LEFT(UPPER(TRIM(D169)),1)="X",LEFT(UPPER(TRIM(D169)),1)="Y",LEFT(UPPER(TRIM(D169)),1)="Z"),IF(MID("TRWAGMYFPDXBNJZSQVHLCKE",MOD(VALUE(SUBSTITUTE(SUBSTITUTE(SUBSTITUTE(LEFT(UPPER(TRIM(D169)),8),"X","0"),"Y","1"),"Z","2")),23)+1,1)=RIGHT(UPPER(TRIM(D169)),1),"OK","REVISAR"),IF(OR(RIGHT(UPPER(TRIM(D169)),1)=TEXT(MOD(10-MOD((VALUE(MID(UPPER(TRIM(D169)),3,1))+VALUE(MID(UPPER(TRIM(D169)),5,1))+VALUE(MID(UPPER(TRIM(D169)),7,1)))+(INT(2*VALUE(MID(UPPER(TRIM(D169)),2,1))/10)+MOD(2*VALUE(MID(UPPER(TRIM(D169)),2,1)),10))+(INT(2*VALUE(MID(UPPER(TRIM(D169)),4,1))/10)+MOD(2*VALUE(MID(UPPER(TRIM(D169)),4,1)),10))+(INT(2*VALUE(MID(UPPER(TRIM(D169)),6,1))/10)+MOD(2*VALUE(MID(UPPER(TRIM(D169)),6,1)),10))+(INT(2*VALUE(MID(UPPER(TRIM(D169)),8,1))/10)+MOD(2*VALUE(MID(UPPER(TRIM(D169)),8,1)),10)),10),10),"0"),RIGHT(UPPER(TRIM(D169)),1)=MID("JABCDEFGHI",MOD(10-MOD((VALUE(MID(UPPER(TRIM(D169)),3,1))+VALUE(MID(UPPER(TRIM(D169)),5,1))+VALUE(MID(UPPER(TRIM(D169)),7,1)))+(INT(2*VALUE(MID(UPPER(TRIM(D169)),2,1))/10)+MOD(2*VALUE(MID(UPPER(TRIM(D169)),2,1)),10))+(INT(2*VALUE(MID(UPPER(TRIM(D169)),4,1))/10)+MOD(2*VALUE(MID(UPPER(TRIM(D169)),4,1)),10))+(INT(2*VALUE(MID(UPPER(TRIM(D169)),6,1))/10)+MOD(2*VALUE(MID(UPPER(TRIM(D169)),6,1)),10))+(INT(2*VALUE(MID(UPPER(TRIM(D169)),8,1))/10)+MOD(2*VALUE(MID(UPPER(TRIM(D169)),8,1)),10)),10),10)+1,1)),"OK","REVISAR")),"REVISAR")))</f>
        <v/>
      </c>
      <c r="Q169">
        <f>IF(B169="","",IF(COUNTIFS($B$2:$B$501,B169,$D$2:$D$501,D169)&gt;1,"DUPLICADA",""))</f>
        <v/>
      </c>
      <c r="R169">
        <f>IF(A169="","",ROUNDUP(MONTH(A169)/3,0))</f>
        <v/>
      </c>
      <c r="S169" s="3" t="n"/>
    </row>
    <row r="170">
      <c r="A170" s="2" t="n"/>
      <c r="B170" s="3" t="n"/>
      <c r="C170" s="3" t="n"/>
      <c r="D170" s="3" t="n"/>
      <c r="E170" s="4" t="n"/>
      <c r="F170" s="4" t="n"/>
      <c r="G170" s="4" t="n"/>
      <c r="H170" s="4" t="n"/>
      <c r="I170" s="5">
        <f>IF(E170="","",ROUND(E170*0.21,2))</f>
        <v/>
      </c>
      <c r="J170" s="5">
        <f>IF(F170="","",ROUND(F170*0.1,2))</f>
        <v/>
      </c>
      <c r="K170" s="5">
        <f>IF(G170="","",ROUND(G170*0.04,2))</f>
        <v/>
      </c>
      <c r="L170" s="4" t="n"/>
      <c r="M170" s="4" t="n"/>
      <c r="N170" s="5">
        <f>IF(A170="","",SUM(E170:K170)-N(L170))</f>
        <v/>
      </c>
      <c r="O170">
        <f>IF(OR(A170="",M170=""),"",IF(ABS(M170-N170)&lt;=0.02,"OK","REVISAR"))</f>
        <v/>
      </c>
      <c r="P170">
        <f>IF(D170="","",IF(LEN(TRIM(D170))&lt;&gt;9,"REVISAR",IFERROR(IF(OR(ISNUMBER(VALUE(LEFT(UPPER(TRIM(D170)),1))),LEFT(UPPER(TRIM(D170)),1)="X",LEFT(UPPER(TRIM(D170)),1)="Y",LEFT(UPPER(TRIM(D170)),1)="Z"),IF(MID("TRWAGMYFPDXBNJZSQVHLCKE",MOD(VALUE(SUBSTITUTE(SUBSTITUTE(SUBSTITUTE(LEFT(UPPER(TRIM(D170)),8),"X","0"),"Y","1"),"Z","2")),23)+1,1)=RIGHT(UPPER(TRIM(D170)),1),"OK","REVISAR"),IF(OR(RIGHT(UPPER(TRIM(D170)),1)=TEXT(MOD(10-MOD((VALUE(MID(UPPER(TRIM(D170)),3,1))+VALUE(MID(UPPER(TRIM(D170)),5,1))+VALUE(MID(UPPER(TRIM(D170)),7,1)))+(INT(2*VALUE(MID(UPPER(TRIM(D170)),2,1))/10)+MOD(2*VALUE(MID(UPPER(TRIM(D170)),2,1)),10))+(INT(2*VALUE(MID(UPPER(TRIM(D170)),4,1))/10)+MOD(2*VALUE(MID(UPPER(TRIM(D170)),4,1)),10))+(INT(2*VALUE(MID(UPPER(TRIM(D170)),6,1))/10)+MOD(2*VALUE(MID(UPPER(TRIM(D170)),6,1)),10))+(INT(2*VALUE(MID(UPPER(TRIM(D170)),8,1))/10)+MOD(2*VALUE(MID(UPPER(TRIM(D170)),8,1)),10)),10),10),"0"),RIGHT(UPPER(TRIM(D170)),1)=MID("JABCDEFGHI",MOD(10-MOD((VALUE(MID(UPPER(TRIM(D170)),3,1))+VALUE(MID(UPPER(TRIM(D170)),5,1))+VALUE(MID(UPPER(TRIM(D170)),7,1)))+(INT(2*VALUE(MID(UPPER(TRIM(D170)),2,1))/10)+MOD(2*VALUE(MID(UPPER(TRIM(D170)),2,1)),10))+(INT(2*VALUE(MID(UPPER(TRIM(D170)),4,1))/10)+MOD(2*VALUE(MID(UPPER(TRIM(D170)),4,1)),10))+(INT(2*VALUE(MID(UPPER(TRIM(D170)),6,1))/10)+MOD(2*VALUE(MID(UPPER(TRIM(D170)),6,1)),10))+(INT(2*VALUE(MID(UPPER(TRIM(D170)),8,1))/10)+MOD(2*VALUE(MID(UPPER(TRIM(D170)),8,1)),10)),10),10)+1,1)),"OK","REVISAR")),"REVISAR")))</f>
        <v/>
      </c>
      <c r="Q170">
        <f>IF(B170="","",IF(COUNTIFS($B$2:$B$501,B170,$D$2:$D$501,D170)&gt;1,"DUPLICADA",""))</f>
        <v/>
      </c>
      <c r="R170">
        <f>IF(A170="","",ROUNDUP(MONTH(A170)/3,0))</f>
        <v/>
      </c>
      <c r="S170" s="3" t="n"/>
    </row>
    <row r="171">
      <c r="A171" s="2" t="n"/>
      <c r="B171" s="3" t="n"/>
      <c r="C171" s="3" t="n"/>
      <c r="D171" s="3" t="n"/>
      <c r="E171" s="4" t="n"/>
      <c r="F171" s="4" t="n"/>
      <c r="G171" s="4" t="n"/>
      <c r="H171" s="4" t="n"/>
      <c r="I171" s="5">
        <f>IF(E171="","",ROUND(E171*0.21,2))</f>
        <v/>
      </c>
      <c r="J171" s="5">
        <f>IF(F171="","",ROUND(F171*0.1,2))</f>
        <v/>
      </c>
      <c r="K171" s="5">
        <f>IF(G171="","",ROUND(G171*0.04,2))</f>
        <v/>
      </c>
      <c r="L171" s="4" t="n"/>
      <c r="M171" s="4" t="n"/>
      <c r="N171" s="5">
        <f>IF(A171="","",SUM(E171:K171)-N(L171))</f>
        <v/>
      </c>
      <c r="O171">
        <f>IF(OR(A171="",M171=""),"",IF(ABS(M171-N171)&lt;=0.02,"OK","REVISAR"))</f>
        <v/>
      </c>
      <c r="P171">
        <f>IF(D171="","",IF(LEN(TRIM(D171))&lt;&gt;9,"REVISAR",IFERROR(IF(OR(ISNUMBER(VALUE(LEFT(UPPER(TRIM(D171)),1))),LEFT(UPPER(TRIM(D171)),1)="X",LEFT(UPPER(TRIM(D171)),1)="Y",LEFT(UPPER(TRIM(D171)),1)="Z"),IF(MID("TRWAGMYFPDXBNJZSQVHLCKE",MOD(VALUE(SUBSTITUTE(SUBSTITUTE(SUBSTITUTE(LEFT(UPPER(TRIM(D171)),8),"X","0"),"Y","1"),"Z","2")),23)+1,1)=RIGHT(UPPER(TRIM(D171)),1),"OK","REVISAR"),IF(OR(RIGHT(UPPER(TRIM(D171)),1)=TEXT(MOD(10-MOD((VALUE(MID(UPPER(TRIM(D171)),3,1))+VALUE(MID(UPPER(TRIM(D171)),5,1))+VALUE(MID(UPPER(TRIM(D171)),7,1)))+(INT(2*VALUE(MID(UPPER(TRIM(D171)),2,1))/10)+MOD(2*VALUE(MID(UPPER(TRIM(D171)),2,1)),10))+(INT(2*VALUE(MID(UPPER(TRIM(D171)),4,1))/10)+MOD(2*VALUE(MID(UPPER(TRIM(D171)),4,1)),10))+(INT(2*VALUE(MID(UPPER(TRIM(D171)),6,1))/10)+MOD(2*VALUE(MID(UPPER(TRIM(D171)),6,1)),10))+(INT(2*VALUE(MID(UPPER(TRIM(D171)),8,1))/10)+MOD(2*VALUE(MID(UPPER(TRIM(D171)),8,1)),10)),10),10),"0"),RIGHT(UPPER(TRIM(D171)),1)=MID("JABCDEFGHI",MOD(10-MOD((VALUE(MID(UPPER(TRIM(D171)),3,1))+VALUE(MID(UPPER(TRIM(D171)),5,1))+VALUE(MID(UPPER(TRIM(D171)),7,1)))+(INT(2*VALUE(MID(UPPER(TRIM(D171)),2,1))/10)+MOD(2*VALUE(MID(UPPER(TRIM(D171)),2,1)),10))+(INT(2*VALUE(MID(UPPER(TRIM(D171)),4,1))/10)+MOD(2*VALUE(MID(UPPER(TRIM(D171)),4,1)),10))+(INT(2*VALUE(MID(UPPER(TRIM(D171)),6,1))/10)+MOD(2*VALUE(MID(UPPER(TRIM(D171)),6,1)),10))+(INT(2*VALUE(MID(UPPER(TRIM(D171)),8,1))/10)+MOD(2*VALUE(MID(UPPER(TRIM(D171)),8,1)),10)),10),10)+1,1)),"OK","REVISAR")),"REVISAR")))</f>
        <v/>
      </c>
      <c r="Q171">
        <f>IF(B171="","",IF(COUNTIFS($B$2:$B$501,B171,$D$2:$D$501,D171)&gt;1,"DUPLICADA",""))</f>
        <v/>
      </c>
      <c r="R171">
        <f>IF(A171="","",ROUNDUP(MONTH(A171)/3,0))</f>
        <v/>
      </c>
      <c r="S171" s="3" t="n"/>
    </row>
    <row r="172">
      <c r="A172" s="2" t="n"/>
      <c r="B172" s="3" t="n"/>
      <c r="C172" s="3" t="n"/>
      <c r="D172" s="3" t="n"/>
      <c r="E172" s="4" t="n"/>
      <c r="F172" s="4" t="n"/>
      <c r="G172" s="4" t="n"/>
      <c r="H172" s="4" t="n"/>
      <c r="I172" s="5">
        <f>IF(E172="","",ROUND(E172*0.21,2))</f>
        <v/>
      </c>
      <c r="J172" s="5">
        <f>IF(F172="","",ROUND(F172*0.1,2))</f>
        <v/>
      </c>
      <c r="K172" s="5">
        <f>IF(G172="","",ROUND(G172*0.04,2))</f>
        <v/>
      </c>
      <c r="L172" s="4" t="n"/>
      <c r="M172" s="4" t="n"/>
      <c r="N172" s="5">
        <f>IF(A172="","",SUM(E172:K172)-N(L172))</f>
        <v/>
      </c>
      <c r="O172">
        <f>IF(OR(A172="",M172=""),"",IF(ABS(M172-N172)&lt;=0.02,"OK","REVISAR"))</f>
        <v/>
      </c>
      <c r="P172">
        <f>IF(D172="","",IF(LEN(TRIM(D172))&lt;&gt;9,"REVISAR",IFERROR(IF(OR(ISNUMBER(VALUE(LEFT(UPPER(TRIM(D172)),1))),LEFT(UPPER(TRIM(D172)),1)="X",LEFT(UPPER(TRIM(D172)),1)="Y",LEFT(UPPER(TRIM(D172)),1)="Z"),IF(MID("TRWAGMYFPDXBNJZSQVHLCKE",MOD(VALUE(SUBSTITUTE(SUBSTITUTE(SUBSTITUTE(LEFT(UPPER(TRIM(D172)),8),"X","0"),"Y","1"),"Z","2")),23)+1,1)=RIGHT(UPPER(TRIM(D172)),1),"OK","REVISAR"),IF(OR(RIGHT(UPPER(TRIM(D172)),1)=TEXT(MOD(10-MOD((VALUE(MID(UPPER(TRIM(D172)),3,1))+VALUE(MID(UPPER(TRIM(D172)),5,1))+VALUE(MID(UPPER(TRIM(D172)),7,1)))+(INT(2*VALUE(MID(UPPER(TRIM(D172)),2,1))/10)+MOD(2*VALUE(MID(UPPER(TRIM(D172)),2,1)),10))+(INT(2*VALUE(MID(UPPER(TRIM(D172)),4,1))/10)+MOD(2*VALUE(MID(UPPER(TRIM(D172)),4,1)),10))+(INT(2*VALUE(MID(UPPER(TRIM(D172)),6,1))/10)+MOD(2*VALUE(MID(UPPER(TRIM(D172)),6,1)),10))+(INT(2*VALUE(MID(UPPER(TRIM(D172)),8,1))/10)+MOD(2*VALUE(MID(UPPER(TRIM(D172)),8,1)),10)),10),10),"0"),RIGHT(UPPER(TRIM(D172)),1)=MID("JABCDEFGHI",MOD(10-MOD((VALUE(MID(UPPER(TRIM(D172)),3,1))+VALUE(MID(UPPER(TRIM(D172)),5,1))+VALUE(MID(UPPER(TRIM(D172)),7,1)))+(INT(2*VALUE(MID(UPPER(TRIM(D172)),2,1))/10)+MOD(2*VALUE(MID(UPPER(TRIM(D172)),2,1)),10))+(INT(2*VALUE(MID(UPPER(TRIM(D172)),4,1))/10)+MOD(2*VALUE(MID(UPPER(TRIM(D172)),4,1)),10))+(INT(2*VALUE(MID(UPPER(TRIM(D172)),6,1))/10)+MOD(2*VALUE(MID(UPPER(TRIM(D172)),6,1)),10))+(INT(2*VALUE(MID(UPPER(TRIM(D172)),8,1))/10)+MOD(2*VALUE(MID(UPPER(TRIM(D172)),8,1)),10)),10),10)+1,1)),"OK","REVISAR")),"REVISAR")))</f>
        <v/>
      </c>
      <c r="Q172">
        <f>IF(B172="","",IF(COUNTIFS($B$2:$B$501,B172,$D$2:$D$501,D172)&gt;1,"DUPLICADA",""))</f>
        <v/>
      </c>
      <c r="R172">
        <f>IF(A172="","",ROUNDUP(MONTH(A172)/3,0))</f>
        <v/>
      </c>
      <c r="S172" s="3" t="n"/>
    </row>
    <row r="173">
      <c r="A173" s="2" t="n"/>
      <c r="B173" s="3" t="n"/>
      <c r="C173" s="3" t="n"/>
      <c r="D173" s="3" t="n"/>
      <c r="E173" s="4" t="n"/>
      <c r="F173" s="4" t="n"/>
      <c r="G173" s="4" t="n"/>
      <c r="H173" s="4" t="n"/>
      <c r="I173" s="5">
        <f>IF(E173="","",ROUND(E173*0.21,2))</f>
        <v/>
      </c>
      <c r="J173" s="5">
        <f>IF(F173="","",ROUND(F173*0.1,2))</f>
        <v/>
      </c>
      <c r="K173" s="5">
        <f>IF(G173="","",ROUND(G173*0.04,2))</f>
        <v/>
      </c>
      <c r="L173" s="4" t="n"/>
      <c r="M173" s="4" t="n"/>
      <c r="N173" s="5">
        <f>IF(A173="","",SUM(E173:K173)-N(L173))</f>
        <v/>
      </c>
      <c r="O173">
        <f>IF(OR(A173="",M173=""),"",IF(ABS(M173-N173)&lt;=0.02,"OK","REVISAR"))</f>
        <v/>
      </c>
      <c r="P173">
        <f>IF(D173="","",IF(LEN(TRIM(D173))&lt;&gt;9,"REVISAR",IFERROR(IF(OR(ISNUMBER(VALUE(LEFT(UPPER(TRIM(D173)),1))),LEFT(UPPER(TRIM(D173)),1)="X",LEFT(UPPER(TRIM(D173)),1)="Y",LEFT(UPPER(TRIM(D173)),1)="Z"),IF(MID("TRWAGMYFPDXBNJZSQVHLCKE",MOD(VALUE(SUBSTITUTE(SUBSTITUTE(SUBSTITUTE(LEFT(UPPER(TRIM(D173)),8),"X","0"),"Y","1"),"Z","2")),23)+1,1)=RIGHT(UPPER(TRIM(D173)),1),"OK","REVISAR"),IF(OR(RIGHT(UPPER(TRIM(D173)),1)=TEXT(MOD(10-MOD((VALUE(MID(UPPER(TRIM(D173)),3,1))+VALUE(MID(UPPER(TRIM(D173)),5,1))+VALUE(MID(UPPER(TRIM(D173)),7,1)))+(INT(2*VALUE(MID(UPPER(TRIM(D173)),2,1))/10)+MOD(2*VALUE(MID(UPPER(TRIM(D173)),2,1)),10))+(INT(2*VALUE(MID(UPPER(TRIM(D173)),4,1))/10)+MOD(2*VALUE(MID(UPPER(TRIM(D173)),4,1)),10))+(INT(2*VALUE(MID(UPPER(TRIM(D173)),6,1))/10)+MOD(2*VALUE(MID(UPPER(TRIM(D173)),6,1)),10))+(INT(2*VALUE(MID(UPPER(TRIM(D173)),8,1))/10)+MOD(2*VALUE(MID(UPPER(TRIM(D173)),8,1)),10)),10),10),"0"),RIGHT(UPPER(TRIM(D173)),1)=MID("JABCDEFGHI",MOD(10-MOD((VALUE(MID(UPPER(TRIM(D173)),3,1))+VALUE(MID(UPPER(TRIM(D173)),5,1))+VALUE(MID(UPPER(TRIM(D173)),7,1)))+(INT(2*VALUE(MID(UPPER(TRIM(D173)),2,1))/10)+MOD(2*VALUE(MID(UPPER(TRIM(D173)),2,1)),10))+(INT(2*VALUE(MID(UPPER(TRIM(D173)),4,1))/10)+MOD(2*VALUE(MID(UPPER(TRIM(D173)),4,1)),10))+(INT(2*VALUE(MID(UPPER(TRIM(D173)),6,1))/10)+MOD(2*VALUE(MID(UPPER(TRIM(D173)),6,1)),10))+(INT(2*VALUE(MID(UPPER(TRIM(D173)),8,1))/10)+MOD(2*VALUE(MID(UPPER(TRIM(D173)),8,1)),10)),10),10)+1,1)),"OK","REVISAR")),"REVISAR")))</f>
        <v/>
      </c>
      <c r="Q173">
        <f>IF(B173="","",IF(COUNTIFS($B$2:$B$501,B173,$D$2:$D$501,D173)&gt;1,"DUPLICADA",""))</f>
        <v/>
      </c>
      <c r="R173">
        <f>IF(A173="","",ROUNDUP(MONTH(A173)/3,0))</f>
        <v/>
      </c>
      <c r="S173" s="3" t="n"/>
    </row>
    <row r="174">
      <c r="A174" s="2" t="n"/>
      <c r="B174" s="3" t="n"/>
      <c r="C174" s="3" t="n"/>
      <c r="D174" s="3" t="n"/>
      <c r="E174" s="4" t="n"/>
      <c r="F174" s="4" t="n"/>
      <c r="G174" s="4" t="n"/>
      <c r="H174" s="4" t="n"/>
      <c r="I174" s="5">
        <f>IF(E174="","",ROUND(E174*0.21,2))</f>
        <v/>
      </c>
      <c r="J174" s="5">
        <f>IF(F174="","",ROUND(F174*0.1,2))</f>
        <v/>
      </c>
      <c r="K174" s="5">
        <f>IF(G174="","",ROUND(G174*0.04,2))</f>
        <v/>
      </c>
      <c r="L174" s="4" t="n"/>
      <c r="M174" s="4" t="n"/>
      <c r="N174" s="5">
        <f>IF(A174="","",SUM(E174:K174)-N(L174))</f>
        <v/>
      </c>
      <c r="O174">
        <f>IF(OR(A174="",M174=""),"",IF(ABS(M174-N174)&lt;=0.02,"OK","REVISAR"))</f>
        <v/>
      </c>
      <c r="P174">
        <f>IF(D174="","",IF(LEN(TRIM(D174))&lt;&gt;9,"REVISAR",IFERROR(IF(OR(ISNUMBER(VALUE(LEFT(UPPER(TRIM(D174)),1))),LEFT(UPPER(TRIM(D174)),1)="X",LEFT(UPPER(TRIM(D174)),1)="Y",LEFT(UPPER(TRIM(D174)),1)="Z"),IF(MID("TRWAGMYFPDXBNJZSQVHLCKE",MOD(VALUE(SUBSTITUTE(SUBSTITUTE(SUBSTITUTE(LEFT(UPPER(TRIM(D174)),8),"X","0"),"Y","1"),"Z","2")),23)+1,1)=RIGHT(UPPER(TRIM(D174)),1),"OK","REVISAR"),IF(OR(RIGHT(UPPER(TRIM(D174)),1)=TEXT(MOD(10-MOD((VALUE(MID(UPPER(TRIM(D174)),3,1))+VALUE(MID(UPPER(TRIM(D174)),5,1))+VALUE(MID(UPPER(TRIM(D174)),7,1)))+(INT(2*VALUE(MID(UPPER(TRIM(D174)),2,1))/10)+MOD(2*VALUE(MID(UPPER(TRIM(D174)),2,1)),10))+(INT(2*VALUE(MID(UPPER(TRIM(D174)),4,1))/10)+MOD(2*VALUE(MID(UPPER(TRIM(D174)),4,1)),10))+(INT(2*VALUE(MID(UPPER(TRIM(D174)),6,1))/10)+MOD(2*VALUE(MID(UPPER(TRIM(D174)),6,1)),10))+(INT(2*VALUE(MID(UPPER(TRIM(D174)),8,1))/10)+MOD(2*VALUE(MID(UPPER(TRIM(D174)),8,1)),10)),10),10),"0"),RIGHT(UPPER(TRIM(D174)),1)=MID("JABCDEFGHI",MOD(10-MOD((VALUE(MID(UPPER(TRIM(D174)),3,1))+VALUE(MID(UPPER(TRIM(D174)),5,1))+VALUE(MID(UPPER(TRIM(D174)),7,1)))+(INT(2*VALUE(MID(UPPER(TRIM(D174)),2,1))/10)+MOD(2*VALUE(MID(UPPER(TRIM(D174)),2,1)),10))+(INT(2*VALUE(MID(UPPER(TRIM(D174)),4,1))/10)+MOD(2*VALUE(MID(UPPER(TRIM(D174)),4,1)),10))+(INT(2*VALUE(MID(UPPER(TRIM(D174)),6,1))/10)+MOD(2*VALUE(MID(UPPER(TRIM(D174)),6,1)),10))+(INT(2*VALUE(MID(UPPER(TRIM(D174)),8,1))/10)+MOD(2*VALUE(MID(UPPER(TRIM(D174)),8,1)),10)),10),10)+1,1)),"OK","REVISAR")),"REVISAR")))</f>
        <v/>
      </c>
      <c r="Q174">
        <f>IF(B174="","",IF(COUNTIFS($B$2:$B$501,B174,$D$2:$D$501,D174)&gt;1,"DUPLICADA",""))</f>
        <v/>
      </c>
      <c r="R174">
        <f>IF(A174="","",ROUNDUP(MONTH(A174)/3,0))</f>
        <v/>
      </c>
      <c r="S174" s="3" t="n"/>
    </row>
    <row r="175">
      <c r="A175" s="2" t="n"/>
      <c r="B175" s="3" t="n"/>
      <c r="C175" s="3" t="n"/>
      <c r="D175" s="3" t="n"/>
      <c r="E175" s="4" t="n"/>
      <c r="F175" s="4" t="n"/>
      <c r="G175" s="4" t="n"/>
      <c r="H175" s="4" t="n"/>
      <c r="I175" s="5">
        <f>IF(E175="","",ROUND(E175*0.21,2))</f>
        <v/>
      </c>
      <c r="J175" s="5">
        <f>IF(F175="","",ROUND(F175*0.1,2))</f>
        <v/>
      </c>
      <c r="K175" s="5">
        <f>IF(G175="","",ROUND(G175*0.04,2))</f>
        <v/>
      </c>
      <c r="L175" s="4" t="n"/>
      <c r="M175" s="4" t="n"/>
      <c r="N175" s="5">
        <f>IF(A175="","",SUM(E175:K175)-N(L175))</f>
        <v/>
      </c>
      <c r="O175">
        <f>IF(OR(A175="",M175=""),"",IF(ABS(M175-N175)&lt;=0.02,"OK","REVISAR"))</f>
        <v/>
      </c>
      <c r="P175">
        <f>IF(D175="","",IF(LEN(TRIM(D175))&lt;&gt;9,"REVISAR",IFERROR(IF(OR(ISNUMBER(VALUE(LEFT(UPPER(TRIM(D175)),1))),LEFT(UPPER(TRIM(D175)),1)="X",LEFT(UPPER(TRIM(D175)),1)="Y",LEFT(UPPER(TRIM(D175)),1)="Z"),IF(MID("TRWAGMYFPDXBNJZSQVHLCKE",MOD(VALUE(SUBSTITUTE(SUBSTITUTE(SUBSTITUTE(LEFT(UPPER(TRIM(D175)),8),"X","0"),"Y","1"),"Z","2")),23)+1,1)=RIGHT(UPPER(TRIM(D175)),1),"OK","REVISAR"),IF(OR(RIGHT(UPPER(TRIM(D175)),1)=TEXT(MOD(10-MOD((VALUE(MID(UPPER(TRIM(D175)),3,1))+VALUE(MID(UPPER(TRIM(D175)),5,1))+VALUE(MID(UPPER(TRIM(D175)),7,1)))+(INT(2*VALUE(MID(UPPER(TRIM(D175)),2,1))/10)+MOD(2*VALUE(MID(UPPER(TRIM(D175)),2,1)),10))+(INT(2*VALUE(MID(UPPER(TRIM(D175)),4,1))/10)+MOD(2*VALUE(MID(UPPER(TRIM(D175)),4,1)),10))+(INT(2*VALUE(MID(UPPER(TRIM(D175)),6,1))/10)+MOD(2*VALUE(MID(UPPER(TRIM(D175)),6,1)),10))+(INT(2*VALUE(MID(UPPER(TRIM(D175)),8,1))/10)+MOD(2*VALUE(MID(UPPER(TRIM(D175)),8,1)),10)),10),10),"0"),RIGHT(UPPER(TRIM(D175)),1)=MID("JABCDEFGHI",MOD(10-MOD((VALUE(MID(UPPER(TRIM(D175)),3,1))+VALUE(MID(UPPER(TRIM(D175)),5,1))+VALUE(MID(UPPER(TRIM(D175)),7,1)))+(INT(2*VALUE(MID(UPPER(TRIM(D175)),2,1))/10)+MOD(2*VALUE(MID(UPPER(TRIM(D175)),2,1)),10))+(INT(2*VALUE(MID(UPPER(TRIM(D175)),4,1))/10)+MOD(2*VALUE(MID(UPPER(TRIM(D175)),4,1)),10))+(INT(2*VALUE(MID(UPPER(TRIM(D175)),6,1))/10)+MOD(2*VALUE(MID(UPPER(TRIM(D175)),6,1)),10))+(INT(2*VALUE(MID(UPPER(TRIM(D175)),8,1))/10)+MOD(2*VALUE(MID(UPPER(TRIM(D175)),8,1)),10)),10),10)+1,1)),"OK","REVISAR")),"REVISAR")))</f>
        <v/>
      </c>
      <c r="Q175">
        <f>IF(B175="","",IF(COUNTIFS($B$2:$B$501,B175,$D$2:$D$501,D175)&gt;1,"DUPLICADA",""))</f>
        <v/>
      </c>
      <c r="R175">
        <f>IF(A175="","",ROUNDUP(MONTH(A175)/3,0))</f>
        <v/>
      </c>
      <c r="S175" s="3" t="n"/>
    </row>
    <row r="176">
      <c r="A176" s="2" t="n"/>
      <c r="B176" s="3" t="n"/>
      <c r="C176" s="3" t="n"/>
      <c r="D176" s="3" t="n"/>
      <c r="E176" s="4" t="n"/>
      <c r="F176" s="4" t="n"/>
      <c r="G176" s="4" t="n"/>
      <c r="H176" s="4" t="n"/>
      <c r="I176" s="5">
        <f>IF(E176="","",ROUND(E176*0.21,2))</f>
        <v/>
      </c>
      <c r="J176" s="5">
        <f>IF(F176="","",ROUND(F176*0.1,2))</f>
        <v/>
      </c>
      <c r="K176" s="5">
        <f>IF(G176="","",ROUND(G176*0.04,2))</f>
        <v/>
      </c>
      <c r="L176" s="4" t="n"/>
      <c r="M176" s="4" t="n"/>
      <c r="N176" s="5">
        <f>IF(A176="","",SUM(E176:K176)-N(L176))</f>
        <v/>
      </c>
      <c r="O176">
        <f>IF(OR(A176="",M176=""),"",IF(ABS(M176-N176)&lt;=0.02,"OK","REVISAR"))</f>
        <v/>
      </c>
      <c r="P176">
        <f>IF(D176="","",IF(LEN(TRIM(D176))&lt;&gt;9,"REVISAR",IFERROR(IF(OR(ISNUMBER(VALUE(LEFT(UPPER(TRIM(D176)),1))),LEFT(UPPER(TRIM(D176)),1)="X",LEFT(UPPER(TRIM(D176)),1)="Y",LEFT(UPPER(TRIM(D176)),1)="Z"),IF(MID("TRWAGMYFPDXBNJZSQVHLCKE",MOD(VALUE(SUBSTITUTE(SUBSTITUTE(SUBSTITUTE(LEFT(UPPER(TRIM(D176)),8),"X","0"),"Y","1"),"Z","2")),23)+1,1)=RIGHT(UPPER(TRIM(D176)),1),"OK","REVISAR"),IF(OR(RIGHT(UPPER(TRIM(D176)),1)=TEXT(MOD(10-MOD((VALUE(MID(UPPER(TRIM(D176)),3,1))+VALUE(MID(UPPER(TRIM(D176)),5,1))+VALUE(MID(UPPER(TRIM(D176)),7,1)))+(INT(2*VALUE(MID(UPPER(TRIM(D176)),2,1))/10)+MOD(2*VALUE(MID(UPPER(TRIM(D176)),2,1)),10))+(INT(2*VALUE(MID(UPPER(TRIM(D176)),4,1))/10)+MOD(2*VALUE(MID(UPPER(TRIM(D176)),4,1)),10))+(INT(2*VALUE(MID(UPPER(TRIM(D176)),6,1))/10)+MOD(2*VALUE(MID(UPPER(TRIM(D176)),6,1)),10))+(INT(2*VALUE(MID(UPPER(TRIM(D176)),8,1))/10)+MOD(2*VALUE(MID(UPPER(TRIM(D176)),8,1)),10)),10),10),"0"),RIGHT(UPPER(TRIM(D176)),1)=MID("JABCDEFGHI",MOD(10-MOD((VALUE(MID(UPPER(TRIM(D176)),3,1))+VALUE(MID(UPPER(TRIM(D176)),5,1))+VALUE(MID(UPPER(TRIM(D176)),7,1)))+(INT(2*VALUE(MID(UPPER(TRIM(D176)),2,1))/10)+MOD(2*VALUE(MID(UPPER(TRIM(D176)),2,1)),10))+(INT(2*VALUE(MID(UPPER(TRIM(D176)),4,1))/10)+MOD(2*VALUE(MID(UPPER(TRIM(D176)),4,1)),10))+(INT(2*VALUE(MID(UPPER(TRIM(D176)),6,1))/10)+MOD(2*VALUE(MID(UPPER(TRIM(D176)),6,1)),10))+(INT(2*VALUE(MID(UPPER(TRIM(D176)),8,1))/10)+MOD(2*VALUE(MID(UPPER(TRIM(D176)),8,1)),10)),10),10)+1,1)),"OK","REVISAR")),"REVISAR")))</f>
        <v/>
      </c>
      <c r="Q176">
        <f>IF(B176="","",IF(COUNTIFS($B$2:$B$501,B176,$D$2:$D$501,D176)&gt;1,"DUPLICADA",""))</f>
        <v/>
      </c>
      <c r="R176">
        <f>IF(A176="","",ROUNDUP(MONTH(A176)/3,0))</f>
        <v/>
      </c>
      <c r="S176" s="3" t="n"/>
    </row>
    <row r="177">
      <c r="A177" s="2" t="n"/>
      <c r="B177" s="3" t="n"/>
      <c r="C177" s="3" t="n"/>
      <c r="D177" s="3" t="n"/>
      <c r="E177" s="4" t="n"/>
      <c r="F177" s="4" t="n"/>
      <c r="G177" s="4" t="n"/>
      <c r="H177" s="4" t="n"/>
      <c r="I177" s="5">
        <f>IF(E177="","",ROUND(E177*0.21,2))</f>
        <v/>
      </c>
      <c r="J177" s="5">
        <f>IF(F177="","",ROUND(F177*0.1,2))</f>
        <v/>
      </c>
      <c r="K177" s="5">
        <f>IF(G177="","",ROUND(G177*0.04,2))</f>
        <v/>
      </c>
      <c r="L177" s="4" t="n"/>
      <c r="M177" s="4" t="n"/>
      <c r="N177" s="5">
        <f>IF(A177="","",SUM(E177:K177)-N(L177))</f>
        <v/>
      </c>
      <c r="O177">
        <f>IF(OR(A177="",M177=""),"",IF(ABS(M177-N177)&lt;=0.02,"OK","REVISAR"))</f>
        <v/>
      </c>
      <c r="P177">
        <f>IF(D177="","",IF(LEN(TRIM(D177))&lt;&gt;9,"REVISAR",IFERROR(IF(OR(ISNUMBER(VALUE(LEFT(UPPER(TRIM(D177)),1))),LEFT(UPPER(TRIM(D177)),1)="X",LEFT(UPPER(TRIM(D177)),1)="Y",LEFT(UPPER(TRIM(D177)),1)="Z"),IF(MID("TRWAGMYFPDXBNJZSQVHLCKE",MOD(VALUE(SUBSTITUTE(SUBSTITUTE(SUBSTITUTE(LEFT(UPPER(TRIM(D177)),8),"X","0"),"Y","1"),"Z","2")),23)+1,1)=RIGHT(UPPER(TRIM(D177)),1),"OK","REVISAR"),IF(OR(RIGHT(UPPER(TRIM(D177)),1)=TEXT(MOD(10-MOD((VALUE(MID(UPPER(TRIM(D177)),3,1))+VALUE(MID(UPPER(TRIM(D177)),5,1))+VALUE(MID(UPPER(TRIM(D177)),7,1)))+(INT(2*VALUE(MID(UPPER(TRIM(D177)),2,1))/10)+MOD(2*VALUE(MID(UPPER(TRIM(D177)),2,1)),10))+(INT(2*VALUE(MID(UPPER(TRIM(D177)),4,1))/10)+MOD(2*VALUE(MID(UPPER(TRIM(D177)),4,1)),10))+(INT(2*VALUE(MID(UPPER(TRIM(D177)),6,1))/10)+MOD(2*VALUE(MID(UPPER(TRIM(D177)),6,1)),10))+(INT(2*VALUE(MID(UPPER(TRIM(D177)),8,1))/10)+MOD(2*VALUE(MID(UPPER(TRIM(D177)),8,1)),10)),10),10),"0"),RIGHT(UPPER(TRIM(D177)),1)=MID("JABCDEFGHI",MOD(10-MOD((VALUE(MID(UPPER(TRIM(D177)),3,1))+VALUE(MID(UPPER(TRIM(D177)),5,1))+VALUE(MID(UPPER(TRIM(D177)),7,1)))+(INT(2*VALUE(MID(UPPER(TRIM(D177)),2,1))/10)+MOD(2*VALUE(MID(UPPER(TRIM(D177)),2,1)),10))+(INT(2*VALUE(MID(UPPER(TRIM(D177)),4,1))/10)+MOD(2*VALUE(MID(UPPER(TRIM(D177)),4,1)),10))+(INT(2*VALUE(MID(UPPER(TRIM(D177)),6,1))/10)+MOD(2*VALUE(MID(UPPER(TRIM(D177)),6,1)),10))+(INT(2*VALUE(MID(UPPER(TRIM(D177)),8,1))/10)+MOD(2*VALUE(MID(UPPER(TRIM(D177)),8,1)),10)),10),10)+1,1)),"OK","REVISAR")),"REVISAR")))</f>
        <v/>
      </c>
      <c r="Q177">
        <f>IF(B177="","",IF(COUNTIFS($B$2:$B$501,B177,$D$2:$D$501,D177)&gt;1,"DUPLICADA",""))</f>
        <v/>
      </c>
      <c r="R177">
        <f>IF(A177="","",ROUNDUP(MONTH(A177)/3,0))</f>
        <v/>
      </c>
      <c r="S177" s="3" t="n"/>
    </row>
    <row r="178">
      <c r="A178" s="2" t="n"/>
      <c r="B178" s="3" t="n"/>
      <c r="C178" s="3" t="n"/>
      <c r="D178" s="3" t="n"/>
      <c r="E178" s="4" t="n"/>
      <c r="F178" s="4" t="n"/>
      <c r="G178" s="4" t="n"/>
      <c r="H178" s="4" t="n"/>
      <c r="I178" s="5">
        <f>IF(E178="","",ROUND(E178*0.21,2))</f>
        <v/>
      </c>
      <c r="J178" s="5">
        <f>IF(F178="","",ROUND(F178*0.1,2))</f>
        <v/>
      </c>
      <c r="K178" s="5">
        <f>IF(G178="","",ROUND(G178*0.04,2))</f>
        <v/>
      </c>
      <c r="L178" s="4" t="n"/>
      <c r="M178" s="4" t="n"/>
      <c r="N178" s="5">
        <f>IF(A178="","",SUM(E178:K178)-N(L178))</f>
        <v/>
      </c>
      <c r="O178">
        <f>IF(OR(A178="",M178=""),"",IF(ABS(M178-N178)&lt;=0.02,"OK","REVISAR"))</f>
        <v/>
      </c>
      <c r="P178">
        <f>IF(D178="","",IF(LEN(TRIM(D178))&lt;&gt;9,"REVISAR",IFERROR(IF(OR(ISNUMBER(VALUE(LEFT(UPPER(TRIM(D178)),1))),LEFT(UPPER(TRIM(D178)),1)="X",LEFT(UPPER(TRIM(D178)),1)="Y",LEFT(UPPER(TRIM(D178)),1)="Z"),IF(MID("TRWAGMYFPDXBNJZSQVHLCKE",MOD(VALUE(SUBSTITUTE(SUBSTITUTE(SUBSTITUTE(LEFT(UPPER(TRIM(D178)),8),"X","0"),"Y","1"),"Z","2")),23)+1,1)=RIGHT(UPPER(TRIM(D178)),1),"OK","REVISAR"),IF(OR(RIGHT(UPPER(TRIM(D178)),1)=TEXT(MOD(10-MOD((VALUE(MID(UPPER(TRIM(D178)),3,1))+VALUE(MID(UPPER(TRIM(D178)),5,1))+VALUE(MID(UPPER(TRIM(D178)),7,1)))+(INT(2*VALUE(MID(UPPER(TRIM(D178)),2,1))/10)+MOD(2*VALUE(MID(UPPER(TRIM(D178)),2,1)),10))+(INT(2*VALUE(MID(UPPER(TRIM(D178)),4,1))/10)+MOD(2*VALUE(MID(UPPER(TRIM(D178)),4,1)),10))+(INT(2*VALUE(MID(UPPER(TRIM(D178)),6,1))/10)+MOD(2*VALUE(MID(UPPER(TRIM(D178)),6,1)),10))+(INT(2*VALUE(MID(UPPER(TRIM(D178)),8,1))/10)+MOD(2*VALUE(MID(UPPER(TRIM(D178)),8,1)),10)),10),10),"0"),RIGHT(UPPER(TRIM(D178)),1)=MID("JABCDEFGHI",MOD(10-MOD((VALUE(MID(UPPER(TRIM(D178)),3,1))+VALUE(MID(UPPER(TRIM(D178)),5,1))+VALUE(MID(UPPER(TRIM(D178)),7,1)))+(INT(2*VALUE(MID(UPPER(TRIM(D178)),2,1))/10)+MOD(2*VALUE(MID(UPPER(TRIM(D178)),2,1)),10))+(INT(2*VALUE(MID(UPPER(TRIM(D178)),4,1))/10)+MOD(2*VALUE(MID(UPPER(TRIM(D178)),4,1)),10))+(INT(2*VALUE(MID(UPPER(TRIM(D178)),6,1))/10)+MOD(2*VALUE(MID(UPPER(TRIM(D178)),6,1)),10))+(INT(2*VALUE(MID(UPPER(TRIM(D178)),8,1))/10)+MOD(2*VALUE(MID(UPPER(TRIM(D178)),8,1)),10)),10),10)+1,1)),"OK","REVISAR")),"REVISAR")))</f>
        <v/>
      </c>
      <c r="Q178">
        <f>IF(B178="","",IF(COUNTIFS($B$2:$B$501,B178,$D$2:$D$501,D178)&gt;1,"DUPLICADA",""))</f>
        <v/>
      </c>
      <c r="R178">
        <f>IF(A178="","",ROUNDUP(MONTH(A178)/3,0))</f>
        <v/>
      </c>
      <c r="S178" s="3" t="n"/>
    </row>
    <row r="179">
      <c r="A179" s="2" t="n"/>
      <c r="B179" s="3" t="n"/>
      <c r="C179" s="3" t="n"/>
      <c r="D179" s="3" t="n"/>
      <c r="E179" s="4" t="n"/>
      <c r="F179" s="4" t="n"/>
      <c r="G179" s="4" t="n"/>
      <c r="H179" s="4" t="n"/>
      <c r="I179" s="5">
        <f>IF(E179="","",ROUND(E179*0.21,2))</f>
        <v/>
      </c>
      <c r="J179" s="5">
        <f>IF(F179="","",ROUND(F179*0.1,2))</f>
        <v/>
      </c>
      <c r="K179" s="5">
        <f>IF(G179="","",ROUND(G179*0.04,2))</f>
        <v/>
      </c>
      <c r="L179" s="4" t="n"/>
      <c r="M179" s="4" t="n"/>
      <c r="N179" s="5">
        <f>IF(A179="","",SUM(E179:K179)-N(L179))</f>
        <v/>
      </c>
      <c r="O179">
        <f>IF(OR(A179="",M179=""),"",IF(ABS(M179-N179)&lt;=0.02,"OK","REVISAR"))</f>
        <v/>
      </c>
      <c r="P179">
        <f>IF(D179="","",IF(LEN(TRIM(D179))&lt;&gt;9,"REVISAR",IFERROR(IF(OR(ISNUMBER(VALUE(LEFT(UPPER(TRIM(D179)),1))),LEFT(UPPER(TRIM(D179)),1)="X",LEFT(UPPER(TRIM(D179)),1)="Y",LEFT(UPPER(TRIM(D179)),1)="Z"),IF(MID("TRWAGMYFPDXBNJZSQVHLCKE",MOD(VALUE(SUBSTITUTE(SUBSTITUTE(SUBSTITUTE(LEFT(UPPER(TRIM(D179)),8),"X","0"),"Y","1"),"Z","2")),23)+1,1)=RIGHT(UPPER(TRIM(D179)),1),"OK","REVISAR"),IF(OR(RIGHT(UPPER(TRIM(D179)),1)=TEXT(MOD(10-MOD((VALUE(MID(UPPER(TRIM(D179)),3,1))+VALUE(MID(UPPER(TRIM(D179)),5,1))+VALUE(MID(UPPER(TRIM(D179)),7,1)))+(INT(2*VALUE(MID(UPPER(TRIM(D179)),2,1))/10)+MOD(2*VALUE(MID(UPPER(TRIM(D179)),2,1)),10))+(INT(2*VALUE(MID(UPPER(TRIM(D179)),4,1))/10)+MOD(2*VALUE(MID(UPPER(TRIM(D179)),4,1)),10))+(INT(2*VALUE(MID(UPPER(TRIM(D179)),6,1))/10)+MOD(2*VALUE(MID(UPPER(TRIM(D179)),6,1)),10))+(INT(2*VALUE(MID(UPPER(TRIM(D179)),8,1))/10)+MOD(2*VALUE(MID(UPPER(TRIM(D179)),8,1)),10)),10),10),"0"),RIGHT(UPPER(TRIM(D179)),1)=MID("JABCDEFGHI",MOD(10-MOD((VALUE(MID(UPPER(TRIM(D179)),3,1))+VALUE(MID(UPPER(TRIM(D179)),5,1))+VALUE(MID(UPPER(TRIM(D179)),7,1)))+(INT(2*VALUE(MID(UPPER(TRIM(D179)),2,1))/10)+MOD(2*VALUE(MID(UPPER(TRIM(D179)),2,1)),10))+(INT(2*VALUE(MID(UPPER(TRIM(D179)),4,1))/10)+MOD(2*VALUE(MID(UPPER(TRIM(D179)),4,1)),10))+(INT(2*VALUE(MID(UPPER(TRIM(D179)),6,1))/10)+MOD(2*VALUE(MID(UPPER(TRIM(D179)),6,1)),10))+(INT(2*VALUE(MID(UPPER(TRIM(D179)),8,1))/10)+MOD(2*VALUE(MID(UPPER(TRIM(D179)),8,1)),10)),10),10)+1,1)),"OK","REVISAR")),"REVISAR")))</f>
        <v/>
      </c>
      <c r="Q179">
        <f>IF(B179="","",IF(COUNTIFS($B$2:$B$501,B179,$D$2:$D$501,D179)&gt;1,"DUPLICADA",""))</f>
        <v/>
      </c>
      <c r="R179">
        <f>IF(A179="","",ROUNDUP(MONTH(A179)/3,0))</f>
        <v/>
      </c>
      <c r="S179" s="3" t="n"/>
    </row>
    <row r="180">
      <c r="A180" s="2" t="n"/>
      <c r="B180" s="3" t="n"/>
      <c r="C180" s="3" t="n"/>
      <c r="D180" s="3" t="n"/>
      <c r="E180" s="4" t="n"/>
      <c r="F180" s="4" t="n"/>
      <c r="G180" s="4" t="n"/>
      <c r="H180" s="4" t="n"/>
      <c r="I180" s="5">
        <f>IF(E180="","",ROUND(E180*0.21,2))</f>
        <v/>
      </c>
      <c r="J180" s="5">
        <f>IF(F180="","",ROUND(F180*0.1,2))</f>
        <v/>
      </c>
      <c r="K180" s="5">
        <f>IF(G180="","",ROUND(G180*0.04,2))</f>
        <v/>
      </c>
      <c r="L180" s="4" t="n"/>
      <c r="M180" s="4" t="n"/>
      <c r="N180" s="5">
        <f>IF(A180="","",SUM(E180:K180)-N(L180))</f>
        <v/>
      </c>
      <c r="O180">
        <f>IF(OR(A180="",M180=""),"",IF(ABS(M180-N180)&lt;=0.02,"OK","REVISAR"))</f>
        <v/>
      </c>
      <c r="P180">
        <f>IF(D180="","",IF(LEN(TRIM(D180))&lt;&gt;9,"REVISAR",IFERROR(IF(OR(ISNUMBER(VALUE(LEFT(UPPER(TRIM(D180)),1))),LEFT(UPPER(TRIM(D180)),1)="X",LEFT(UPPER(TRIM(D180)),1)="Y",LEFT(UPPER(TRIM(D180)),1)="Z"),IF(MID("TRWAGMYFPDXBNJZSQVHLCKE",MOD(VALUE(SUBSTITUTE(SUBSTITUTE(SUBSTITUTE(LEFT(UPPER(TRIM(D180)),8),"X","0"),"Y","1"),"Z","2")),23)+1,1)=RIGHT(UPPER(TRIM(D180)),1),"OK","REVISAR"),IF(OR(RIGHT(UPPER(TRIM(D180)),1)=TEXT(MOD(10-MOD((VALUE(MID(UPPER(TRIM(D180)),3,1))+VALUE(MID(UPPER(TRIM(D180)),5,1))+VALUE(MID(UPPER(TRIM(D180)),7,1)))+(INT(2*VALUE(MID(UPPER(TRIM(D180)),2,1))/10)+MOD(2*VALUE(MID(UPPER(TRIM(D180)),2,1)),10))+(INT(2*VALUE(MID(UPPER(TRIM(D180)),4,1))/10)+MOD(2*VALUE(MID(UPPER(TRIM(D180)),4,1)),10))+(INT(2*VALUE(MID(UPPER(TRIM(D180)),6,1))/10)+MOD(2*VALUE(MID(UPPER(TRIM(D180)),6,1)),10))+(INT(2*VALUE(MID(UPPER(TRIM(D180)),8,1))/10)+MOD(2*VALUE(MID(UPPER(TRIM(D180)),8,1)),10)),10),10),"0"),RIGHT(UPPER(TRIM(D180)),1)=MID("JABCDEFGHI",MOD(10-MOD((VALUE(MID(UPPER(TRIM(D180)),3,1))+VALUE(MID(UPPER(TRIM(D180)),5,1))+VALUE(MID(UPPER(TRIM(D180)),7,1)))+(INT(2*VALUE(MID(UPPER(TRIM(D180)),2,1))/10)+MOD(2*VALUE(MID(UPPER(TRIM(D180)),2,1)),10))+(INT(2*VALUE(MID(UPPER(TRIM(D180)),4,1))/10)+MOD(2*VALUE(MID(UPPER(TRIM(D180)),4,1)),10))+(INT(2*VALUE(MID(UPPER(TRIM(D180)),6,1))/10)+MOD(2*VALUE(MID(UPPER(TRIM(D180)),6,1)),10))+(INT(2*VALUE(MID(UPPER(TRIM(D180)),8,1))/10)+MOD(2*VALUE(MID(UPPER(TRIM(D180)),8,1)),10)),10),10)+1,1)),"OK","REVISAR")),"REVISAR")))</f>
        <v/>
      </c>
      <c r="Q180">
        <f>IF(B180="","",IF(COUNTIFS($B$2:$B$501,B180,$D$2:$D$501,D180)&gt;1,"DUPLICADA",""))</f>
        <v/>
      </c>
      <c r="R180">
        <f>IF(A180="","",ROUNDUP(MONTH(A180)/3,0))</f>
        <v/>
      </c>
      <c r="S180" s="3" t="n"/>
    </row>
    <row r="181">
      <c r="A181" s="2" t="n"/>
      <c r="B181" s="3" t="n"/>
      <c r="C181" s="3" t="n"/>
      <c r="D181" s="3" t="n"/>
      <c r="E181" s="4" t="n"/>
      <c r="F181" s="4" t="n"/>
      <c r="G181" s="4" t="n"/>
      <c r="H181" s="4" t="n"/>
      <c r="I181" s="5">
        <f>IF(E181="","",ROUND(E181*0.21,2))</f>
        <v/>
      </c>
      <c r="J181" s="5">
        <f>IF(F181="","",ROUND(F181*0.1,2))</f>
        <v/>
      </c>
      <c r="K181" s="5">
        <f>IF(G181="","",ROUND(G181*0.04,2))</f>
        <v/>
      </c>
      <c r="L181" s="4" t="n"/>
      <c r="M181" s="4" t="n"/>
      <c r="N181" s="5">
        <f>IF(A181="","",SUM(E181:K181)-N(L181))</f>
        <v/>
      </c>
      <c r="O181">
        <f>IF(OR(A181="",M181=""),"",IF(ABS(M181-N181)&lt;=0.02,"OK","REVISAR"))</f>
        <v/>
      </c>
      <c r="P181">
        <f>IF(D181="","",IF(LEN(TRIM(D181))&lt;&gt;9,"REVISAR",IFERROR(IF(OR(ISNUMBER(VALUE(LEFT(UPPER(TRIM(D181)),1))),LEFT(UPPER(TRIM(D181)),1)="X",LEFT(UPPER(TRIM(D181)),1)="Y",LEFT(UPPER(TRIM(D181)),1)="Z"),IF(MID("TRWAGMYFPDXBNJZSQVHLCKE",MOD(VALUE(SUBSTITUTE(SUBSTITUTE(SUBSTITUTE(LEFT(UPPER(TRIM(D181)),8),"X","0"),"Y","1"),"Z","2")),23)+1,1)=RIGHT(UPPER(TRIM(D181)),1),"OK","REVISAR"),IF(OR(RIGHT(UPPER(TRIM(D181)),1)=TEXT(MOD(10-MOD((VALUE(MID(UPPER(TRIM(D181)),3,1))+VALUE(MID(UPPER(TRIM(D181)),5,1))+VALUE(MID(UPPER(TRIM(D181)),7,1)))+(INT(2*VALUE(MID(UPPER(TRIM(D181)),2,1))/10)+MOD(2*VALUE(MID(UPPER(TRIM(D181)),2,1)),10))+(INT(2*VALUE(MID(UPPER(TRIM(D181)),4,1))/10)+MOD(2*VALUE(MID(UPPER(TRIM(D181)),4,1)),10))+(INT(2*VALUE(MID(UPPER(TRIM(D181)),6,1))/10)+MOD(2*VALUE(MID(UPPER(TRIM(D181)),6,1)),10))+(INT(2*VALUE(MID(UPPER(TRIM(D181)),8,1))/10)+MOD(2*VALUE(MID(UPPER(TRIM(D181)),8,1)),10)),10),10),"0"),RIGHT(UPPER(TRIM(D181)),1)=MID("JABCDEFGHI",MOD(10-MOD((VALUE(MID(UPPER(TRIM(D181)),3,1))+VALUE(MID(UPPER(TRIM(D181)),5,1))+VALUE(MID(UPPER(TRIM(D181)),7,1)))+(INT(2*VALUE(MID(UPPER(TRIM(D181)),2,1))/10)+MOD(2*VALUE(MID(UPPER(TRIM(D181)),2,1)),10))+(INT(2*VALUE(MID(UPPER(TRIM(D181)),4,1))/10)+MOD(2*VALUE(MID(UPPER(TRIM(D181)),4,1)),10))+(INT(2*VALUE(MID(UPPER(TRIM(D181)),6,1))/10)+MOD(2*VALUE(MID(UPPER(TRIM(D181)),6,1)),10))+(INT(2*VALUE(MID(UPPER(TRIM(D181)),8,1))/10)+MOD(2*VALUE(MID(UPPER(TRIM(D181)),8,1)),10)),10),10)+1,1)),"OK","REVISAR")),"REVISAR")))</f>
        <v/>
      </c>
      <c r="Q181">
        <f>IF(B181="","",IF(COUNTIFS($B$2:$B$501,B181,$D$2:$D$501,D181)&gt;1,"DUPLICADA",""))</f>
        <v/>
      </c>
      <c r="R181">
        <f>IF(A181="","",ROUNDUP(MONTH(A181)/3,0))</f>
        <v/>
      </c>
      <c r="S181" s="3" t="n"/>
    </row>
    <row r="182">
      <c r="A182" s="2" t="n"/>
      <c r="B182" s="3" t="n"/>
      <c r="C182" s="3" t="n"/>
      <c r="D182" s="3" t="n"/>
      <c r="E182" s="4" t="n"/>
      <c r="F182" s="4" t="n"/>
      <c r="G182" s="4" t="n"/>
      <c r="H182" s="4" t="n"/>
      <c r="I182" s="5">
        <f>IF(E182="","",ROUND(E182*0.21,2))</f>
        <v/>
      </c>
      <c r="J182" s="5">
        <f>IF(F182="","",ROUND(F182*0.1,2))</f>
        <v/>
      </c>
      <c r="K182" s="5">
        <f>IF(G182="","",ROUND(G182*0.04,2))</f>
        <v/>
      </c>
      <c r="L182" s="4" t="n"/>
      <c r="M182" s="4" t="n"/>
      <c r="N182" s="5">
        <f>IF(A182="","",SUM(E182:K182)-N(L182))</f>
        <v/>
      </c>
      <c r="O182">
        <f>IF(OR(A182="",M182=""),"",IF(ABS(M182-N182)&lt;=0.02,"OK","REVISAR"))</f>
        <v/>
      </c>
      <c r="P182">
        <f>IF(D182="","",IF(LEN(TRIM(D182))&lt;&gt;9,"REVISAR",IFERROR(IF(OR(ISNUMBER(VALUE(LEFT(UPPER(TRIM(D182)),1))),LEFT(UPPER(TRIM(D182)),1)="X",LEFT(UPPER(TRIM(D182)),1)="Y",LEFT(UPPER(TRIM(D182)),1)="Z"),IF(MID("TRWAGMYFPDXBNJZSQVHLCKE",MOD(VALUE(SUBSTITUTE(SUBSTITUTE(SUBSTITUTE(LEFT(UPPER(TRIM(D182)),8),"X","0"),"Y","1"),"Z","2")),23)+1,1)=RIGHT(UPPER(TRIM(D182)),1),"OK","REVISAR"),IF(OR(RIGHT(UPPER(TRIM(D182)),1)=TEXT(MOD(10-MOD((VALUE(MID(UPPER(TRIM(D182)),3,1))+VALUE(MID(UPPER(TRIM(D182)),5,1))+VALUE(MID(UPPER(TRIM(D182)),7,1)))+(INT(2*VALUE(MID(UPPER(TRIM(D182)),2,1))/10)+MOD(2*VALUE(MID(UPPER(TRIM(D182)),2,1)),10))+(INT(2*VALUE(MID(UPPER(TRIM(D182)),4,1))/10)+MOD(2*VALUE(MID(UPPER(TRIM(D182)),4,1)),10))+(INT(2*VALUE(MID(UPPER(TRIM(D182)),6,1))/10)+MOD(2*VALUE(MID(UPPER(TRIM(D182)),6,1)),10))+(INT(2*VALUE(MID(UPPER(TRIM(D182)),8,1))/10)+MOD(2*VALUE(MID(UPPER(TRIM(D182)),8,1)),10)),10),10),"0"),RIGHT(UPPER(TRIM(D182)),1)=MID("JABCDEFGHI",MOD(10-MOD((VALUE(MID(UPPER(TRIM(D182)),3,1))+VALUE(MID(UPPER(TRIM(D182)),5,1))+VALUE(MID(UPPER(TRIM(D182)),7,1)))+(INT(2*VALUE(MID(UPPER(TRIM(D182)),2,1))/10)+MOD(2*VALUE(MID(UPPER(TRIM(D182)),2,1)),10))+(INT(2*VALUE(MID(UPPER(TRIM(D182)),4,1))/10)+MOD(2*VALUE(MID(UPPER(TRIM(D182)),4,1)),10))+(INT(2*VALUE(MID(UPPER(TRIM(D182)),6,1))/10)+MOD(2*VALUE(MID(UPPER(TRIM(D182)),6,1)),10))+(INT(2*VALUE(MID(UPPER(TRIM(D182)),8,1))/10)+MOD(2*VALUE(MID(UPPER(TRIM(D182)),8,1)),10)),10),10)+1,1)),"OK","REVISAR")),"REVISAR")))</f>
        <v/>
      </c>
      <c r="Q182">
        <f>IF(B182="","",IF(COUNTIFS($B$2:$B$501,B182,$D$2:$D$501,D182)&gt;1,"DUPLICADA",""))</f>
        <v/>
      </c>
      <c r="R182">
        <f>IF(A182="","",ROUNDUP(MONTH(A182)/3,0))</f>
        <v/>
      </c>
      <c r="S182" s="3" t="n"/>
    </row>
    <row r="183">
      <c r="A183" s="2" t="n"/>
      <c r="B183" s="3" t="n"/>
      <c r="C183" s="3" t="n"/>
      <c r="D183" s="3" t="n"/>
      <c r="E183" s="4" t="n"/>
      <c r="F183" s="4" t="n"/>
      <c r="G183" s="4" t="n"/>
      <c r="H183" s="4" t="n"/>
      <c r="I183" s="5">
        <f>IF(E183="","",ROUND(E183*0.21,2))</f>
        <v/>
      </c>
      <c r="J183" s="5">
        <f>IF(F183="","",ROUND(F183*0.1,2))</f>
        <v/>
      </c>
      <c r="K183" s="5">
        <f>IF(G183="","",ROUND(G183*0.04,2))</f>
        <v/>
      </c>
      <c r="L183" s="4" t="n"/>
      <c r="M183" s="4" t="n"/>
      <c r="N183" s="5">
        <f>IF(A183="","",SUM(E183:K183)-N(L183))</f>
        <v/>
      </c>
      <c r="O183">
        <f>IF(OR(A183="",M183=""),"",IF(ABS(M183-N183)&lt;=0.02,"OK","REVISAR"))</f>
        <v/>
      </c>
      <c r="P183">
        <f>IF(D183="","",IF(LEN(TRIM(D183))&lt;&gt;9,"REVISAR",IFERROR(IF(OR(ISNUMBER(VALUE(LEFT(UPPER(TRIM(D183)),1))),LEFT(UPPER(TRIM(D183)),1)="X",LEFT(UPPER(TRIM(D183)),1)="Y",LEFT(UPPER(TRIM(D183)),1)="Z"),IF(MID("TRWAGMYFPDXBNJZSQVHLCKE",MOD(VALUE(SUBSTITUTE(SUBSTITUTE(SUBSTITUTE(LEFT(UPPER(TRIM(D183)),8),"X","0"),"Y","1"),"Z","2")),23)+1,1)=RIGHT(UPPER(TRIM(D183)),1),"OK","REVISAR"),IF(OR(RIGHT(UPPER(TRIM(D183)),1)=TEXT(MOD(10-MOD((VALUE(MID(UPPER(TRIM(D183)),3,1))+VALUE(MID(UPPER(TRIM(D183)),5,1))+VALUE(MID(UPPER(TRIM(D183)),7,1)))+(INT(2*VALUE(MID(UPPER(TRIM(D183)),2,1))/10)+MOD(2*VALUE(MID(UPPER(TRIM(D183)),2,1)),10))+(INT(2*VALUE(MID(UPPER(TRIM(D183)),4,1))/10)+MOD(2*VALUE(MID(UPPER(TRIM(D183)),4,1)),10))+(INT(2*VALUE(MID(UPPER(TRIM(D183)),6,1))/10)+MOD(2*VALUE(MID(UPPER(TRIM(D183)),6,1)),10))+(INT(2*VALUE(MID(UPPER(TRIM(D183)),8,1))/10)+MOD(2*VALUE(MID(UPPER(TRIM(D183)),8,1)),10)),10),10),"0"),RIGHT(UPPER(TRIM(D183)),1)=MID("JABCDEFGHI",MOD(10-MOD((VALUE(MID(UPPER(TRIM(D183)),3,1))+VALUE(MID(UPPER(TRIM(D183)),5,1))+VALUE(MID(UPPER(TRIM(D183)),7,1)))+(INT(2*VALUE(MID(UPPER(TRIM(D183)),2,1))/10)+MOD(2*VALUE(MID(UPPER(TRIM(D183)),2,1)),10))+(INT(2*VALUE(MID(UPPER(TRIM(D183)),4,1))/10)+MOD(2*VALUE(MID(UPPER(TRIM(D183)),4,1)),10))+(INT(2*VALUE(MID(UPPER(TRIM(D183)),6,1))/10)+MOD(2*VALUE(MID(UPPER(TRIM(D183)),6,1)),10))+(INT(2*VALUE(MID(UPPER(TRIM(D183)),8,1))/10)+MOD(2*VALUE(MID(UPPER(TRIM(D183)),8,1)),10)),10),10)+1,1)),"OK","REVISAR")),"REVISAR")))</f>
        <v/>
      </c>
      <c r="Q183">
        <f>IF(B183="","",IF(COUNTIFS($B$2:$B$501,B183,$D$2:$D$501,D183)&gt;1,"DUPLICADA",""))</f>
        <v/>
      </c>
      <c r="R183">
        <f>IF(A183="","",ROUNDUP(MONTH(A183)/3,0))</f>
        <v/>
      </c>
      <c r="S183" s="3" t="n"/>
    </row>
    <row r="184">
      <c r="A184" s="2" t="n"/>
      <c r="B184" s="3" t="n"/>
      <c r="C184" s="3" t="n"/>
      <c r="D184" s="3" t="n"/>
      <c r="E184" s="4" t="n"/>
      <c r="F184" s="4" t="n"/>
      <c r="G184" s="4" t="n"/>
      <c r="H184" s="4" t="n"/>
      <c r="I184" s="5">
        <f>IF(E184="","",ROUND(E184*0.21,2))</f>
        <v/>
      </c>
      <c r="J184" s="5">
        <f>IF(F184="","",ROUND(F184*0.1,2))</f>
        <v/>
      </c>
      <c r="K184" s="5">
        <f>IF(G184="","",ROUND(G184*0.04,2))</f>
        <v/>
      </c>
      <c r="L184" s="4" t="n"/>
      <c r="M184" s="4" t="n"/>
      <c r="N184" s="5">
        <f>IF(A184="","",SUM(E184:K184)-N(L184))</f>
        <v/>
      </c>
      <c r="O184">
        <f>IF(OR(A184="",M184=""),"",IF(ABS(M184-N184)&lt;=0.02,"OK","REVISAR"))</f>
        <v/>
      </c>
      <c r="P184">
        <f>IF(D184="","",IF(LEN(TRIM(D184))&lt;&gt;9,"REVISAR",IFERROR(IF(OR(ISNUMBER(VALUE(LEFT(UPPER(TRIM(D184)),1))),LEFT(UPPER(TRIM(D184)),1)="X",LEFT(UPPER(TRIM(D184)),1)="Y",LEFT(UPPER(TRIM(D184)),1)="Z"),IF(MID("TRWAGMYFPDXBNJZSQVHLCKE",MOD(VALUE(SUBSTITUTE(SUBSTITUTE(SUBSTITUTE(LEFT(UPPER(TRIM(D184)),8),"X","0"),"Y","1"),"Z","2")),23)+1,1)=RIGHT(UPPER(TRIM(D184)),1),"OK","REVISAR"),IF(OR(RIGHT(UPPER(TRIM(D184)),1)=TEXT(MOD(10-MOD((VALUE(MID(UPPER(TRIM(D184)),3,1))+VALUE(MID(UPPER(TRIM(D184)),5,1))+VALUE(MID(UPPER(TRIM(D184)),7,1)))+(INT(2*VALUE(MID(UPPER(TRIM(D184)),2,1))/10)+MOD(2*VALUE(MID(UPPER(TRIM(D184)),2,1)),10))+(INT(2*VALUE(MID(UPPER(TRIM(D184)),4,1))/10)+MOD(2*VALUE(MID(UPPER(TRIM(D184)),4,1)),10))+(INT(2*VALUE(MID(UPPER(TRIM(D184)),6,1))/10)+MOD(2*VALUE(MID(UPPER(TRIM(D184)),6,1)),10))+(INT(2*VALUE(MID(UPPER(TRIM(D184)),8,1))/10)+MOD(2*VALUE(MID(UPPER(TRIM(D184)),8,1)),10)),10),10),"0"),RIGHT(UPPER(TRIM(D184)),1)=MID("JABCDEFGHI",MOD(10-MOD((VALUE(MID(UPPER(TRIM(D184)),3,1))+VALUE(MID(UPPER(TRIM(D184)),5,1))+VALUE(MID(UPPER(TRIM(D184)),7,1)))+(INT(2*VALUE(MID(UPPER(TRIM(D184)),2,1))/10)+MOD(2*VALUE(MID(UPPER(TRIM(D184)),2,1)),10))+(INT(2*VALUE(MID(UPPER(TRIM(D184)),4,1))/10)+MOD(2*VALUE(MID(UPPER(TRIM(D184)),4,1)),10))+(INT(2*VALUE(MID(UPPER(TRIM(D184)),6,1))/10)+MOD(2*VALUE(MID(UPPER(TRIM(D184)),6,1)),10))+(INT(2*VALUE(MID(UPPER(TRIM(D184)),8,1))/10)+MOD(2*VALUE(MID(UPPER(TRIM(D184)),8,1)),10)),10),10)+1,1)),"OK","REVISAR")),"REVISAR")))</f>
        <v/>
      </c>
      <c r="Q184">
        <f>IF(B184="","",IF(COUNTIFS($B$2:$B$501,B184,$D$2:$D$501,D184)&gt;1,"DUPLICADA",""))</f>
        <v/>
      </c>
      <c r="R184">
        <f>IF(A184="","",ROUNDUP(MONTH(A184)/3,0))</f>
        <v/>
      </c>
      <c r="S184" s="3" t="n"/>
    </row>
    <row r="185">
      <c r="A185" s="2" t="n"/>
      <c r="B185" s="3" t="n"/>
      <c r="C185" s="3" t="n"/>
      <c r="D185" s="3" t="n"/>
      <c r="E185" s="4" t="n"/>
      <c r="F185" s="4" t="n"/>
      <c r="G185" s="4" t="n"/>
      <c r="H185" s="4" t="n"/>
      <c r="I185" s="5">
        <f>IF(E185="","",ROUND(E185*0.21,2))</f>
        <v/>
      </c>
      <c r="J185" s="5">
        <f>IF(F185="","",ROUND(F185*0.1,2))</f>
        <v/>
      </c>
      <c r="K185" s="5">
        <f>IF(G185="","",ROUND(G185*0.04,2))</f>
        <v/>
      </c>
      <c r="L185" s="4" t="n"/>
      <c r="M185" s="4" t="n"/>
      <c r="N185" s="5">
        <f>IF(A185="","",SUM(E185:K185)-N(L185))</f>
        <v/>
      </c>
      <c r="O185">
        <f>IF(OR(A185="",M185=""),"",IF(ABS(M185-N185)&lt;=0.02,"OK","REVISAR"))</f>
        <v/>
      </c>
      <c r="P185">
        <f>IF(D185="","",IF(LEN(TRIM(D185))&lt;&gt;9,"REVISAR",IFERROR(IF(OR(ISNUMBER(VALUE(LEFT(UPPER(TRIM(D185)),1))),LEFT(UPPER(TRIM(D185)),1)="X",LEFT(UPPER(TRIM(D185)),1)="Y",LEFT(UPPER(TRIM(D185)),1)="Z"),IF(MID("TRWAGMYFPDXBNJZSQVHLCKE",MOD(VALUE(SUBSTITUTE(SUBSTITUTE(SUBSTITUTE(LEFT(UPPER(TRIM(D185)),8),"X","0"),"Y","1"),"Z","2")),23)+1,1)=RIGHT(UPPER(TRIM(D185)),1),"OK","REVISAR"),IF(OR(RIGHT(UPPER(TRIM(D185)),1)=TEXT(MOD(10-MOD((VALUE(MID(UPPER(TRIM(D185)),3,1))+VALUE(MID(UPPER(TRIM(D185)),5,1))+VALUE(MID(UPPER(TRIM(D185)),7,1)))+(INT(2*VALUE(MID(UPPER(TRIM(D185)),2,1))/10)+MOD(2*VALUE(MID(UPPER(TRIM(D185)),2,1)),10))+(INT(2*VALUE(MID(UPPER(TRIM(D185)),4,1))/10)+MOD(2*VALUE(MID(UPPER(TRIM(D185)),4,1)),10))+(INT(2*VALUE(MID(UPPER(TRIM(D185)),6,1))/10)+MOD(2*VALUE(MID(UPPER(TRIM(D185)),6,1)),10))+(INT(2*VALUE(MID(UPPER(TRIM(D185)),8,1))/10)+MOD(2*VALUE(MID(UPPER(TRIM(D185)),8,1)),10)),10),10),"0"),RIGHT(UPPER(TRIM(D185)),1)=MID("JABCDEFGHI",MOD(10-MOD((VALUE(MID(UPPER(TRIM(D185)),3,1))+VALUE(MID(UPPER(TRIM(D185)),5,1))+VALUE(MID(UPPER(TRIM(D185)),7,1)))+(INT(2*VALUE(MID(UPPER(TRIM(D185)),2,1))/10)+MOD(2*VALUE(MID(UPPER(TRIM(D185)),2,1)),10))+(INT(2*VALUE(MID(UPPER(TRIM(D185)),4,1))/10)+MOD(2*VALUE(MID(UPPER(TRIM(D185)),4,1)),10))+(INT(2*VALUE(MID(UPPER(TRIM(D185)),6,1))/10)+MOD(2*VALUE(MID(UPPER(TRIM(D185)),6,1)),10))+(INT(2*VALUE(MID(UPPER(TRIM(D185)),8,1))/10)+MOD(2*VALUE(MID(UPPER(TRIM(D185)),8,1)),10)),10),10)+1,1)),"OK","REVISAR")),"REVISAR")))</f>
        <v/>
      </c>
      <c r="Q185">
        <f>IF(B185="","",IF(COUNTIFS($B$2:$B$501,B185,$D$2:$D$501,D185)&gt;1,"DUPLICADA",""))</f>
        <v/>
      </c>
      <c r="R185">
        <f>IF(A185="","",ROUNDUP(MONTH(A185)/3,0))</f>
        <v/>
      </c>
      <c r="S185" s="3" t="n"/>
    </row>
    <row r="186">
      <c r="A186" s="2" t="n"/>
      <c r="B186" s="3" t="n"/>
      <c r="C186" s="3" t="n"/>
      <c r="D186" s="3" t="n"/>
      <c r="E186" s="4" t="n"/>
      <c r="F186" s="4" t="n"/>
      <c r="G186" s="4" t="n"/>
      <c r="H186" s="4" t="n"/>
      <c r="I186" s="5">
        <f>IF(E186="","",ROUND(E186*0.21,2))</f>
        <v/>
      </c>
      <c r="J186" s="5">
        <f>IF(F186="","",ROUND(F186*0.1,2))</f>
        <v/>
      </c>
      <c r="K186" s="5">
        <f>IF(G186="","",ROUND(G186*0.04,2))</f>
        <v/>
      </c>
      <c r="L186" s="4" t="n"/>
      <c r="M186" s="4" t="n"/>
      <c r="N186" s="5">
        <f>IF(A186="","",SUM(E186:K186)-N(L186))</f>
        <v/>
      </c>
      <c r="O186">
        <f>IF(OR(A186="",M186=""),"",IF(ABS(M186-N186)&lt;=0.02,"OK","REVISAR"))</f>
        <v/>
      </c>
      <c r="P186">
        <f>IF(D186="","",IF(LEN(TRIM(D186))&lt;&gt;9,"REVISAR",IFERROR(IF(OR(ISNUMBER(VALUE(LEFT(UPPER(TRIM(D186)),1))),LEFT(UPPER(TRIM(D186)),1)="X",LEFT(UPPER(TRIM(D186)),1)="Y",LEFT(UPPER(TRIM(D186)),1)="Z"),IF(MID("TRWAGMYFPDXBNJZSQVHLCKE",MOD(VALUE(SUBSTITUTE(SUBSTITUTE(SUBSTITUTE(LEFT(UPPER(TRIM(D186)),8),"X","0"),"Y","1"),"Z","2")),23)+1,1)=RIGHT(UPPER(TRIM(D186)),1),"OK","REVISAR"),IF(OR(RIGHT(UPPER(TRIM(D186)),1)=TEXT(MOD(10-MOD((VALUE(MID(UPPER(TRIM(D186)),3,1))+VALUE(MID(UPPER(TRIM(D186)),5,1))+VALUE(MID(UPPER(TRIM(D186)),7,1)))+(INT(2*VALUE(MID(UPPER(TRIM(D186)),2,1))/10)+MOD(2*VALUE(MID(UPPER(TRIM(D186)),2,1)),10))+(INT(2*VALUE(MID(UPPER(TRIM(D186)),4,1))/10)+MOD(2*VALUE(MID(UPPER(TRIM(D186)),4,1)),10))+(INT(2*VALUE(MID(UPPER(TRIM(D186)),6,1))/10)+MOD(2*VALUE(MID(UPPER(TRIM(D186)),6,1)),10))+(INT(2*VALUE(MID(UPPER(TRIM(D186)),8,1))/10)+MOD(2*VALUE(MID(UPPER(TRIM(D186)),8,1)),10)),10),10),"0"),RIGHT(UPPER(TRIM(D186)),1)=MID("JABCDEFGHI",MOD(10-MOD((VALUE(MID(UPPER(TRIM(D186)),3,1))+VALUE(MID(UPPER(TRIM(D186)),5,1))+VALUE(MID(UPPER(TRIM(D186)),7,1)))+(INT(2*VALUE(MID(UPPER(TRIM(D186)),2,1))/10)+MOD(2*VALUE(MID(UPPER(TRIM(D186)),2,1)),10))+(INT(2*VALUE(MID(UPPER(TRIM(D186)),4,1))/10)+MOD(2*VALUE(MID(UPPER(TRIM(D186)),4,1)),10))+(INT(2*VALUE(MID(UPPER(TRIM(D186)),6,1))/10)+MOD(2*VALUE(MID(UPPER(TRIM(D186)),6,1)),10))+(INT(2*VALUE(MID(UPPER(TRIM(D186)),8,1))/10)+MOD(2*VALUE(MID(UPPER(TRIM(D186)),8,1)),10)),10),10)+1,1)),"OK","REVISAR")),"REVISAR")))</f>
        <v/>
      </c>
      <c r="Q186">
        <f>IF(B186="","",IF(COUNTIFS($B$2:$B$501,B186,$D$2:$D$501,D186)&gt;1,"DUPLICADA",""))</f>
        <v/>
      </c>
      <c r="R186">
        <f>IF(A186="","",ROUNDUP(MONTH(A186)/3,0))</f>
        <v/>
      </c>
      <c r="S186" s="3" t="n"/>
    </row>
    <row r="187">
      <c r="A187" s="2" t="n"/>
      <c r="B187" s="3" t="n"/>
      <c r="C187" s="3" t="n"/>
      <c r="D187" s="3" t="n"/>
      <c r="E187" s="4" t="n"/>
      <c r="F187" s="4" t="n"/>
      <c r="G187" s="4" t="n"/>
      <c r="H187" s="4" t="n"/>
      <c r="I187" s="5">
        <f>IF(E187="","",ROUND(E187*0.21,2))</f>
        <v/>
      </c>
      <c r="J187" s="5">
        <f>IF(F187="","",ROUND(F187*0.1,2))</f>
        <v/>
      </c>
      <c r="K187" s="5">
        <f>IF(G187="","",ROUND(G187*0.04,2))</f>
        <v/>
      </c>
      <c r="L187" s="4" t="n"/>
      <c r="M187" s="4" t="n"/>
      <c r="N187" s="5">
        <f>IF(A187="","",SUM(E187:K187)-N(L187))</f>
        <v/>
      </c>
      <c r="O187">
        <f>IF(OR(A187="",M187=""),"",IF(ABS(M187-N187)&lt;=0.02,"OK","REVISAR"))</f>
        <v/>
      </c>
      <c r="P187">
        <f>IF(D187="","",IF(LEN(TRIM(D187))&lt;&gt;9,"REVISAR",IFERROR(IF(OR(ISNUMBER(VALUE(LEFT(UPPER(TRIM(D187)),1))),LEFT(UPPER(TRIM(D187)),1)="X",LEFT(UPPER(TRIM(D187)),1)="Y",LEFT(UPPER(TRIM(D187)),1)="Z"),IF(MID("TRWAGMYFPDXBNJZSQVHLCKE",MOD(VALUE(SUBSTITUTE(SUBSTITUTE(SUBSTITUTE(LEFT(UPPER(TRIM(D187)),8),"X","0"),"Y","1"),"Z","2")),23)+1,1)=RIGHT(UPPER(TRIM(D187)),1),"OK","REVISAR"),IF(OR(RIGHT(UPPER(TRIM(D187)),1)=TEXT(MOD(10-MOD((VALUE(MID(UPPER(TRIM(D187)),3,1))+VALUE(MID(UPPER(TRIM(D187)),5,1))+VALUE(MID(UPPER(TRIM(D187)),7,1)))+(INT(2*VALUE(MID(UPPER(TRIM(D187)),2,1))/10)+MOD(2*VALUE(MID(UPPER(TRIM(D187)),2,1)),10))+(INT(2*VALUE(MID(UPPER(TRIM(D187)),4,1))/10)+MOD(2*VALUE(MID(UPPER(TRIM(D187)),4,1)),10))+(INT(2*VALUE(MID(UPPER(TRIM(D187)),6,1))/10)+MOD(2*VALUE(MID(UPPER(TRIM(D187)),6,1)),10))+(INT(2*VALUE(MID(UPPER(TRIM(D187)),8,1))/10)+MOD(2*VALUE(MID(UPPER(TRIM(D187)),8,1)),10)),10),10),"0"),RIGHT(UPPER(TRIM(D187)),1)=MID("JABCDEFGHI",MOD(10-MOD((VALUE(MID(UPPER(TRIM(D187)),3,1))+VALUE(MID(UPPER(TRIM(D187)),5,1))+VALUE(MID(UPPER(TRIM(D187)),7,1)))+(INT(2*VALUE(MID(UPPER(TRIM(D187)),2,1))/10)+MOD(2*VALUE(MID(UPPER(TRIM(D187)),2,1)),10))+(INT(2*VALUE(MID(UPPER(TRIM(D187)),4,1))/10)+MOD(2*VALUE(MID(UPPER(TRIM(D187)),4,1)),10))+(INT(2*VALUE(MID(UPPER(TRIM(D187)),6,1))/10)+MOD(2*VALUE(MID(UPPER(TRIM(D187)),6,1)),10))+(INT(2*VALUE(MID(UPPER(TRIM(D187)),8,1))/10)+MOD(2*VALUE(MID(UPPER(TRIM(D187)),8,1)),10)),10),10)+1,1)),"OK","REVISAR")),"REVISAR")))</f>
        <v/>
      </c>
      <c r="Q187">
        <f>IF(B187="","",IF(COUNTIFS($B$2:$B$501,B187,$D$2:$D$501,D187)&gt;1,"DUPLICADA",""))</f>
        <v/>
      </c>
      <c r="R187">
        <f>IF(A187="","",ROUNDUP(MONTH(A187)/3,0))</f>
        <v/>
      </c>
      <c r="S187" s="3" t="n"/>
    </row>
    <row r="188">
      <c r="A188" s="2" t="n"/>
      <c r="B188" s="3" t="n"/>
      <c r="C188" s="3" t="n"/>
      <c r="D188" s="3" t="n"/>
      <c r="E188" s="4" t="n"/>
      <c r="F188" s="4" t="n"/>
      <c r="G188" s="4" t="n"/>
      <c r="H188" s="4" t="n"/>
      <c r="I188" s="5">
        <f>IF(E188="","",ROUND(E188*0.21,2))</f>
        <v/>
      </c>
      <c r="J188" s="5">
        <f>IF(F188="","",ROUND(F188*0.1,2))</f>
        <v/>
      </c>
      <c r="K188" s="5">
        <f>IF(G188="","",ROUND(G188*0.04,2))</f>
        <v/>
      </c>
      <c r="L188" s="4" t="n"/>
      <c r="M188" s="4" t="n"/>
      <c r="N188" s="5">
        <f>IF(A188="","",SUM(E188:K188)-N(L188))</f>
        <v/>
      </c>
      <c r="O188">
        <f>IF(OR(A188="",M188=""),"",IF(ABS(M188-N188)&lt;=0.02,"OK","REVISAR"))</f>
        <v/>
      </c>
      <c r="P188">
        <f>IF(D188="","",IF(LEN(TRIM(D188))&lt;&gt;9,"REVISAR",IFERROR(IF(OR(ISNUMBER(VALUE(LEFT(UPPER(TRIM(D188)),1))),LEFT(UPPER(TRIM(D188)),1)="X",LEFT(UPPER(TRIM(D188)),1)="Y",LEFT(UPPER(TRIM(D188)),1)="Z"),IF(MID("TRWAGMYFPDXBNJZSQVHLCKE",MOD(VALUE(SUBSTITUTE(SUBSTITUTE(SUBSTITUTE(LEFT(UPPER(TRIM(D188)),8),"X","0"),"Y","1"),"Z","2")),23)+1,1)=RIGHT(UPPER(TRIM(D188)),1),"OK","REVISAR"),IF(OR(RIGHT(UPPER(TRIM(D188)),1)=TEXT(MOD(10-MOD((VALUE(MID(UPPER(TRIM(D188)),3,1))+VALUE(MID(UPPER(TRIM(D188)),5,1))+VALUE(MID(UPPER(TRIM(D188)),7,1)))+(INT(2*VALUE(MID(UPPER(TRIM(D188)),2,1))/10)+MOD(2*VALUE(MID(UPPER(TRIM(D188)),2,1)),10))+(INT(2*VALUE(MID(UPPER(TRIM(D188)),4,1))/10)+MOD(2*VALUE(MID(UPPER(TRIM(D188)),4,1)),10))+(INT(2*VALUE(MID(UPPER(TRIM(D188)),6,1))/10)+MOD(2*VALUE(MID(UPPER(TRIM(D188)),6,1)),10))+(INT(2*VALUE(MID(UPPER(TRIM(D188)),8,1))/10)+MOD(2*VALUE(MID(UPPER(TRIM(D188)),8,1)),10)),10),10),"0"),RIGHT(UPPER(TRIM(D188)),1)=MID("JABCDEFGHI",MOD(10-MOD((VALUE(MID(UPPER(TRIM(D188)),3,1))+VALUE(MID(UPPER(TRIM(D188)),5,1))+VALUE(MID(UPPER(TRIM(D188)),7,1)))+(INT(2*VALUE(MID(UPPER(TRIM(D188)),2,1))/10)+MOD(2*VALUE(MID(UPPER(TRIM(D188)),2,1)),10))+(INT(2*VALUE(MID(UPPER(TRIM(D188)),4,1))/10)+MOD(2*VALUE(MID(UPPER(TRIM(D188)),4,1)),10))+(INT(2*VALUE(MID(UPPER(TRIM(D188)),6,1))/10)+MOD(2*VALUE(MID(UPPER(TRIM(D188)),6,1)),10))+(INT(2*VALUE(MID(UPPER(TRIM(D188)),8,1))/10)+MOD(2*VALUE(MID(UPPER(TRIM(D188)),8,1)),10)),10),10)+1,1)),"OK","REVISAR")),"REVISAR")))</f>
        <v/>
      </c>
      <c r="Q188">
        <f>IF(B188="","",IF(COUNTIFS($B$2:$B$501,B188,$D$2:$D$501,D188)&gt;1,"DUPLICADA",""))</f>
        <v/>
      </c>
      <c r="R188">
        <f>IF(A188="","",ROUNDUP(MONTH(A188)/3,0))</f>
        <v/>
      </c>
      <c r="S188" s="3" t="n"/>
    </row>
    <row r="189">
      <c r="A189" s="2" t="n"/>
      <c r="B189" s="3" t="n"/>
      <c r="C189" s="3" t="n"/>
      <c r="D189" s="3" t="n"/>
      <c r="E189" s="4" t="n"/>
      <c r="F189" s="4" t="n"/>
      <c r="G189" s="4" t="n"/>
      <c r="H189" s="4" t="n"/>
      <c r="I189" s="5">
        <f>IF(E189="","",ROUND(E189*0.21,2))</f>
        <v/>
      </c>
      <c r="J189" s="5">
        <f>IF(F189="","",ROUND(F189*0.1,2))</f>
        <v/>
      </c>
      <c r="K189" s="5">
        <f>IF(G189="","",ROUND(G189*0.04,2))</f>
        <v/>
      </c>
      <c r="L189" s="4" t="n"/>
      <c r="M189" s="4" t="n"/>
      <c r="N189" s="5">
        <f>IF(A189="","",SUM(E189:K189)-N(L189))</f>
        <v/>
      </c>
      <c r="O189">
        <f>IF(OR(A189="",M189=""),"",IF(ABS(M189-N189)&lt;=0.02,"OK","REVISAR"))</f>
        <v/>
      </c>
      <c r="P189">
        <f>IF(D189="","",IF(LEN(TRIM(D189))&lt;&gt;9,"REVISAR",IFERROR(IF(OR(ISNUMBER(VALUE(LEFT(UPPER(TRIM(D189)),1))),LEFT(UPPER(TRIM(D189)),1)="X",LEFT(UPPER(TRIM(D189)),1)="Y",LEFT(UPPER(TRIM(D189)),1)="Z"),IF(MID("TRWAGMYFPDXBNJZSQVHLCKE",MOD(VALUE(SUBSTITUTE(SUBSTITUTE(SUBSTITUTE(LEFT(UPPER(TRIM(D189)),8),"X","0"),"Y","1"),"Z","2")),23)+1,1)=RIGHT(UPPER(TRIM(D189)),1),"OK","REVISAR"),IF(OR(RIGHT(UPPER(TRIM(D189)),1)=TEXT(MOD(10-MOD((VALUE(MID(UPPER(TRIM(D189)),3,1))+VALUE(MID(UPPER(TRIM(D189)),5,1))+VALUE(MID(UPPER(TRIM(D189)),7,1)))+(INT(2*VALUE(MID(UPPER(TRIM(D189)),2,1))/10)+MOD(2*VALUE(MID(UPPER(TRIM(D189)),2,1)),10))+(INT(2*VALUE(MID(UPPER(TRIM(D189)),4,1))/10)+MOD(2*VALUE(MID(UPPER(TRIM(D189)),4,1)),10))+(INT(2*VALUE(MID(UPPER(TRIM(D189)),6,1))/10)+MOD(2*VALUE(MID(UPPER(TRIM(D189)),6,1)),10))+(INT(2*VALUE(MID(UPPER(TRIM(D189)),8,1))/10)+MOD(2*VALUE(MID(UPPER(TRIM(D189)),8,1)),10)),10),10),"0"),RIGHT(UPPER(TRIM(D189)),1)=MID("JABCDEFGHI",MOD(10-MOD((VALUE(MID(UPPER(TRIM(D189)),3,1))+VALUE(MID(UPPER(TRIM(D189)),5,1))+VALUE(MID(UPPER(TRIM(D189)),7,1)))+(INT(2*VALUE(MID(UPPER(TRIM(D189)),2,1))/10)+MOD(2*VALUE(MID(UPPER(TRIM(D189)),2,1)),10))+(INT(2*VALUE(MID(UPPER(TRIM(D189)),4,1))/10)+MOD(2*VALUE(MID(UPPER(TRIM(D189)),4,1)),10))+(INT(2*VALUE(MID(UPPER(TRIM(D189)),6,1))/10)+MOD(2*VALUE(MID(UPPER(TRIM(D189)),6,1)),10))+(INT(2*VALUE(MID(UPPER(TRIM(D189)),8,1))/10)+MOD(2*VALUE(MID(UPPER(TRIM(D189)),8,1)),10)),10),10)+1,1)),"OK","REVISAR")),"REVISAR")))</f>
        <v/>
      </c>
      <c r="Q189">
        <f>IF(B189="","",IF(COUNTIFS($B$2:$B$501,B189,$D$2:$D$501,D189)&gt;1,"DUPLICADA",""))</f>
        <v/>
      </c>
      <c r="R189">
        <f>IF(A189="","",ROUNDUP(MONTH(A189)/3,0))</f>
        <v/>
      </c>
      <c r="S189" s="3" t="n"/>
    </row>
    <row r="190">
      <c r="A190" s="2" t="n"/>
      <c r="B190" s="3" t="n"/>
      <c r="C190" s="3" t="n"/>
      <c r="D190" s="3" t="n"/>
      <c r="E190" s="4" t="n"/>
      <c r="F190" s="4" t="n"/>
      <c r="G190" s="4" t="n"/>
      <c r="H190" s="4" t="n"/>
      <c r="I190" s="5">
        <f>IF(E190="","",ROUND(E190*0.21,2))</f>
        <v/>
      </c>
      <c r="J190" s="5">
        <f>IF(F190="","",ROUND(F190*0.1,2))</f>
        <v/>
      </c>
      <c r="K190" s="5">
        <f>IF(G190="","",ROUND(G190*0.04,2))</f>
        <v/>
      </c>
      <c r="L190" s="4" t="n"/>
      <c r="M190" s="4" t="n"/>
      <c r="N190" s="5">
        <f>IF(A190="","",SUM(E190:K190)-N(L190))</f>
        <v/>
      </c>
      <c r="O190">
        <f>IF(OR(A190="",M190=""),"",IF(ABS(M190-N190)&lt;=0.02,"OK","REVISAR"))</f>
        <v/>
      </c>
      <c r="P190">
        <f>IF(D190="","",IF(LEN(TRIM(D190))&lt;&gt;9,"REVISAR",IFERROR(IF(OR(ISNUMBER(VALUE(LEFT(UPPER(TRIM(D190)),1))),LEFT(UPPER(TRIM(D190)),1)="X",LEFT(UPPER(TRIM(D190)),1)="Y",LEFT(UPPER(TRIM(D190)),1)="Z"),IF(MID("TRWAGMYFPDXBNJZSQVHLCKE",MOD(VALUE(SUBSTITUTE(SUBSTITUTE(SUBSTITUTE(LEFT(UPPER(TRIM(D190)),8),"X","0"),"Y","1"),"Z","2")),23)+1,1)=RIGHT(UPPER(TRIM(D190)),1),"OK","REVISAR"),IF(OR(RIGHT(UPPER(TRIM(D190)),1)=TEXT(MOD(10-MOD((VALUE(MID(UPPER(TRIM(D190)),3,1))+VALUE(MID(UPPER(TRIM(D190)),5,1))+VALUE(MID(UPPER(TRIM(D190)),7,1)))+(INT(2*VALUE(MID(UPPER(TRIM(D190)),2,1))/10)+MOD(2*VALUE(MID(UPPER(TRIM(D190)),2,1)),10))+(INT(2*VALUE(MID(UPPER(TRIM(D190)),4,1))/10)+MOD(2*VALUE(MID(UPPER(TRIM(D190)),4,1)),10))+(INT(2*VALUE(MID(UPPER(TRIM(D190)),6,1))/10)+MOD(2*VALUE(MID(UPPER(TRIM(D190)),6,1)),10))+(INT(2*VALUE(MID(UPPER(TRIM(D190)),8,1))/10)+MOD(2*VALUE(MID(UPPER(TRIM(D190)),8,1)),10)),10),10),"0"),RIGHT(UPPER(TRIM(D190)),1)=MID("JABCDEFGHI",MOD(10-MOD((VALUE(MID(UPPER(TRIM(D190)),3,1))+VALUE(MID(UPPER(TRIM(D190)),5,1))+VALUE(MID(UPPER(TRIM(D190)),7,1)))+(INT(2*VALUE(MID(UPPER(TRIM(D190)),2,1))/10)+MOD(2*VALUE(MID(UPPER(TRIM(D190)),2,1)),10))+(INT(2*VALUE(MID(UPPER(TRIM(D190)),4,1))/10)+MOD(2*VALUE(MID(UPPER(TRIM(D190)),4,1)),10))+(INT(2*VALUE(MID(UPPER(TRIM(D190)),6,1))/10)+MOD(2*VALUE(MID(UPPER(TRIM(D190)),6,1)),10))+(INT(2*VALUE(MID(UPPER(TRIM(D190)),8,1))/10)+MOD(2*VALUE(MID(UPPER(TRIM(D190)),8,1)),10)),10),10)+1,1)),"OK","REVISAR")),"REVISAR")))</f>
        <v/>
      </c>
      <c r="Q190">
        <f>IF(B190="","",IF(COUNTIFS($B$2:$B$501,B190,$D$2:$D$501,D190)&gt;1,"DUPLICADA",""))</f>
        <v/>
      </c>
      <c r="R190">
        <f>IF(A190="","",ROUNDUP(MONTH(A190)/3,0))</f>
        <v/>
      </c>
      <c r="S190" s="3" t="n"/>
    </row>
    <row r="191">
      <c r="A191" s="2" t="n"/>
      <c r="B191" s="3" t="n"/>
      <c r="C191" s="3" t="n"/>
      <c r="D191" s="3" t="n"/>
      <c r="E191" s="4" t="n"/>
      <c r="F191" s="4" t="n"/>
      <c r="G191" s="4" t="n"/>
      <c r="H191" s="4" t="n"/>
      <c r="I191" s="5">
        <f>IF(E191="","",ROUND(E191*0.21,2))</f>
        <v/>
      </c>
      <c r="J191" s="5">
        <f>IF(F191="","",ROUND(F191*0.1,2))</f>
        <v/>
      </c>
      <c r="K191" s="5">
        <f>IF(G191="","",ROUND(G191*0.04,2))</f>
        <v/>
      </c>
      <c r="L191" s="4" t="n"/>
      <c r="M191" s="4" t="n"/>
      <c r="N191" s="5">
        <f>IF(A191="","",SUM(E191:K191)-N(L191))</f>
        <v/>
      </c>
      <c r="O191">
        <f>IF(OR(A191="",M191=""),"",IF(ABS(M191-N191)&lt;=0.02,"OK","REVISAR"))</f>
        <v/>
      </c>
      <c r="P191">
        <f>IF(D191="","",IF(LEN(TRIM(D191))&lt;&gt;9,"REVISAR",IFERROR(IF(OR(ISNUMBER(VALUE(LEFT(UPPER(TRIM(D191)),1))),LEFT(UPPER(TRIM(D191)),1)="X",LEFT(UPPER(TRIM(D191)),1)="Y",LEFT(UPPER(TRIM(D191)),1)="Z"),IF(MID("TRWAGMYFPDXBNJZSQVHLCKE",MOD(VALUE(SUBSTITUTE(SUBSTITUTE(SUBSTITUTE(LEFT(UPPER(TRIM(D191)),8),"X","0"),"Y","1"),"Z","2")),23)+1,1)=RIGHT(UPPER(TRIM(D191)),1),"OK","REVISAR"),IF(OR(RIGHT(UPPER(TRIM(D191)),1)=TEXT(MOD(10-MOD((VALUE(MID(UPPER(TRIM(D191)),3,1))+VALUE(MID(UPPER(TRIM(D191)),5,1))+VALUE(MID(UPPER(TRIM(D191)),7,1)))+(INT(2*VALUE(MID(UPPER(TRIM(D191)),2,1))/10)+MOD(2*VALUE(MID(UPPER(TRIM(D191)),2,1)),10))+(INT(2*VALUE(MID(UPPER(TRIM(D191)),4,1))/10)+MOD(2*VALUE(MID(UPPER(TRIM(D191)),4,1)),10))+(INT(2*VALUE(MID(UPPER(TRIM(D191)),6,1))/10)+MOD(2*VALUE(MID(UPPER(TRIM(D191)),6,1)),10))+(INT(2*VALUE(MID(UPPER(TRIM(D191)),8,1))/10)+MOD(2*VALUE(MID(UPPER(TRIM(D191)),8,1)),10)),10),10),"0"),RIGHT(UPPER(TRIM(D191)),1)=MID("JABCDEFGHI",MOD(10-MOD((VALUE(MID(UPPER(TRIM(D191)),3,1))+VALUE(MID(UPPER(TRIM(D191)),5,1))+VALUE(MID(UPPER(TRIM(D191)),7,1)))+(INT(2*VALUE(MID(UPPER(TRIM(D191)),2,1))/10)+MOD(2*VALUE(MID(UPPER(TRIM(D191)),2,1)),10))+(INT(2*VALUE(MID(UPPER(TRIM(D191)),4,1))/10)+MOD(2*VALUE(MID(UPPER(TRIM(D191)),4,1)),10))+(INT(2*VALUE(MID(UPPER(TRIM(D191)),6,1))/10)+MOD(2*VALUE(MID(UPPER(TRIM(D191)),6,1)),10))+(INT(2*VALUE(MID(UPPER(TRIM(D191)),8,1))/10)+MOD(2*VALUE(MID(UPPER(TRIM(D191)),8,1)),10)),10),10)+1,1)),"OK","REVISAR")),"REVISAR")))</f>
        <v/>
      </c>
      <c r="Q191">
        <f>IF(B191="","",IF(COUNTIFS($B$2:$B$501,B191,$D$2:$D$501,D191)&gt;1,"DUPLICADA",""))</f>
        <v/>
      </c>
      <c r="R191">
        <f>IF(A191="","",ROUNDUP(MONTH(A191)/3,0))</f>
        <v/>
      </c>
      <c r="S191" s="3" t="n"/>
    </row>
    <row r="192">
      <c r="A192" s="2" t="n"/>
      <c r="B192" s="3" t="n"/>
      <c r="C192" s="3" t="n"/>
      <c r="D192" s="3" t="n"/>
      <c r="E192" s="4" t="n"/>
      <c r="F192" s="4" t="n"/>
      <c r="G192" s="4" t="n"/>
      <c r="H192" s="4" t="n"/>
      <c r="I192" s="5">
        <f>IF(E192="","",ROUND(E192*0.21,2))</f>
        <v/>
      </c>
      <c r="J192" s="5">
        <f>IF(F192="","",ROUND(F192*0.1,2))</f>
        <v/>
      </c>
      <c r="K192" s="5">
        <f>IF(G192="","",ROUND(G192*0.04,2))</f>
        <v/>
      </c>
      <c r="L192" s="4" t="n"/>
      <c r="M192" s="4" t="n"/>
      <c r="N192" s="5">
        <f>IF(A192="","",SUM(E192:K192)-N(L192))</f>
        <v/>
      </c>
      <c r="O192">
        <f>IF(OR(A192="",M192=""),"",IF(ABS(M192-N192)&lt;=0.02,"OK","REVISAR"))</f>
        <v/>
      </c>
      <c r="P192">
        <f>IF(D192="","",IF(LEN(TRIM(D192))&lt;&gt;9,"REVISAR",IFERROR(IF(OR(ISNUMBER(VALUE(LEFT(UPPER(TRIM(D192)),1))),LEFT(UPPER(TRIM(D192)),1)="X",LEFT(UPPER(TRIM(D192)),1)="Y",LEFT(UPPER(TRIM(D192)),1)="Z"),IF(MID("TRWAGMYFPDXBNJZSQVHLCKE",MOD(VALUE(SUBSTITUTE(SUBSTITUTE(SUBSTITUTE(LEFT(UPPER(TRIM(D192)),8),"X","0"),"Y","1"),"Z","2")),23)+1,1)=RIGHT(UPPER(TRIM(D192)),1),"OK","REVISAR"),IF(OR(RIGHT(UPPER(TRIM(D192)),1)=TEXT(MOD(10-MOD((VALUE(MID(UPPER(TRIM(D192)),3,1))+VALUE(MID(UPPER(TRIM(D192)),5,1))+VALUE(MID(UPPER(TRIM(D192)),7,1)))+(INT(2*VALUE(MID(UPPER(TRIM(D192)),2,1))/10)+MOD(2*VALUE(MID(UPPER(TRIM(D192)),2,1)),10))+(INT(2*VALUE(MID(UPPER(TRIM(D192)),4,1))/10)+MOD(2*VALUE(MID(UPPER(TRIM(D192)),4,1)),10))+(INT(2*VALUE(MID(UPPER(TRIM(D192)),6,1))/10)+MOD(2*VALUE(MID(UPPER(TRIM(D192)),6,1)),10))+(INT(2*VALUE(MID(UPPER(TRIM(D192)),8,1))/10)+MOD(2*VALUE(MID(UPPER(TRIM(D192)),8,1)),10)),10),10),"0"),RIGHT(UPPER(TRIM(D192)),1)=MID("JABCDEFGHI",MOD(10-MOD((VALUE(MID(UPPER(TRIM(D192)),3,1))+VALUE(MID(UPPER(TRIM(D192)),5,1))+VALUE(MID(UPPER(TRIM(D192)),7,1)))+(INT(2*VALUE(MID(UPPER(TRIM(D192)),2,1))/10)+MOD(2*VALUE(MID(UPPER(TRIM(D192)),2,1)),10))+(INT(2*VALUE(MID(UPPER(TRIM(D192)),4,1))/10)+MOD(2*VALUE(MID(UPPER(TRIM(D192)),4,1)),10))+(INT(2*VALUE(MID(UPPER(TRIM(D192)),6,1))/10)+MOD(2*VALUE(MID(UPPER(TRIM(D192)),6,1)),10))+(INT(2*VALUE(MID(UPPER(TRIM(D192)),8,1))/10)+MOD(2*VALUE(MID(UPPER(TRIM(D192)),8,1)),10)),10),10)+1,1)),"OK","REVISAR")),"REVISAR")))</f>
        <v/>
      </c>
      <c r="Q192">
        <f>IF(B192="","",IF(COUNTIFS($B$2:$B$501,B192,$D$2:$D$501,D192)&gt;1,"DUPLICADA",""))</f>
        <v/>
      </c>
      <c r="R192">
        <f>IF(A192="","",ROUNDUP(MONTH(A192)/3,0))</f>
        <v/>
      </c>
      <c r="S192" s="3" t="n"/>
    </row>
    <row r="193">
      <c r="A193" s="2" t="n"/>
      <c r="B193" s="3" t="n"/>
      <c r="C193" s="3" t="n"/>
      <c r="D193" s="3" t="n"/>
      <c r="E193" s="4" t="n"/>
      <c r="F193" s="4" t="n"/>
      <c r="G193" s="4" t="n"/>
      <c r="H193" s="4" t="n"/>
      <c r="I193" s="5">
        <f>IF(E193="","",ROUND(E193*0.21,2))</f>
        <v/>
      </c>
      <c r="J193" s="5">
        <f>IF(F193="","",ROUND(F193*0.1,2))</f>
        <v/>
      </c>
      <c r="K193" s="5">
        <f>IF(G193="","",ROUND(G193*0.04,2))</f>
        <v/>
      </c>
      <c r="L193" s="4" t="n"/>
      <c r="M193" s="4" t="n"/>
      <c r="N193" s="5">
        <f>IF(A193="","",SUM(E193:K193)-N(L193))</f>
        <v/>
      </c>
      <c r="O193">
        <f>IF(OR(A193="",M193=""),"",IF(ABS(M193-N193)&lt;=0.02,"OK","REVISAR"))</f>
        <v/>
      </c>
      <c r="P193">
        <f>IF(D193="","",IF(LEN(TRIM(D193))&lt;&gt;9,"REVISAR",IFERROR(IF(OR(ISNUMBER(VALUE(LEFT(UPPER(TRIM(D193)),1))),LEFT(UPPER(TRIM(D193)),1)="X",LEFT(UPPER(TRIM(D193)),1)="Y",LEFT(UPPER(TRIM(D193)),1)="Z"),IF(MID("TRWAGMYFPDXBNJZSQVHLCKE",MOD(VALUE(SUBSTITUTE(SUBSTITUTE(SUBSTITUTE(LEFT(UPPER(TRIM(D193)),8),"X","0"),"Y","1"),"Z","2")),23)+1,1)=RIGHT(UPPER(TRIM(D193)),1),"OK","REVISAR"),IF(OR(RIGHT(UPPER(TRIM(D193)),1)=TEXT(MOD(10-MOD((VALUE(MID(UPPER(TRIM(D193)),3,1))+VALUE(MID(UPPER(TRIM(D193)),5,1))+VALUE(MID(UPPER(TRIM(D193)),7,1)))+(INT(2*VALUE(MID(UPPER(TRIM(D193)),2,1))/10)+MOD(2*VALUE(MID(UPPER(TRIM(D193)),2,1)),10))+(INT(2*VALUE(MID(UPPER(TRIM(D193)),4,1))/10)+MOD(2*VALUE(MID(UPPER(TRIM(D193)),4,1)),10))+(INT(2*VALUE(MID(UPPER(TRIM(D193)),6,1))/10)+MOD(2*VALUE(MID(UPPER(TRIM(D193)),6,1)),10))+(INT(2*VALUE(MID(UPPER(TRIM(D193)),8,1))/10)+MOD(2*VALUE(MID(UPPER(TRIM(D193)),8,1)),10)),10),10),"0"),RIGHT(UPPER(TRIM(D193)),1)=MID("JABCDEFGHI",MOD(10-MOD((VALUE(MID(UPPER(TRIM(D193)),3,1))+VALUE(MID(UPPER(TRIM(D193)),5,1))+VALUE(MID(UPPER(TRIM(D193)),7,1)))+(INT(2*VALUE(MID(UPPER(TRIM(D193)),2,1))/10)+MOD(2*VALUE(MID(UPPER(TRIM(D193)),2,1)),10))+(INT(2*VALUE(MID(UPPER(TRIM(D193)),4,1))/10)+MOD(2*VALUE(MID(UPPER(TRIM(D193)),4,1)),10))+(INT(2*VALUE(MID(UPPER(TRIM(D193)),6,1))/10)+MOD(2*VALUE(MID(UPPER(TRIM(D193)),6,1)),10))+(INT(2*VALUE(MID(UPPER(TRIM(D193)),8,1))/10)+MOD(2*VALUE(MID(UPPER(TRIM(D193)),8,1)),10)),10),10)+1,1)),"OK","REVISAR")),"REVISAR")))</f>
        <v/>
      </c>
      <c r="Q193">
        <f>IF(B193="","",IF(COUNTIFS($B$2:$B$501,B193,$D$2:$D$501,D193)&gt;1,"DUPLICADA",""))</f>
        <v/>
      </c>
      <c r="R193">
        <f>IF(A193="","",ROUNDUP(MONTH(A193)/3,0))</f>
        <v/>
      </c>
      <c r="S193" s="3" t="n"/>
    </row>
    <row r="194">
      <c r="A194" s="2" t="n"/>
      <c r="B194" s="3" t="n"/>
      <c r="C194" s="3" t="n"/>
      <c r="D194" s="3" t="n"/>
      <c r="E194" s="4" t="n"/>
      <c r="F194" s="4" t="n"/>
      <c r="G194" s="4" t="n"/>
      <c r="H194" s="4" t="n"/>
      <c r="I194" s="5">
        <f>IF(E194="","",ROUND(E194*0.21,2))</f>
        <v/>
      </c>
      <c r="J194" s="5">
        <f>IF(F194="","",ROUND(F194*0.1,2))</f>
        <v/>
      </c>
      <c r="K194" s="5">
        <f>IF(G194="","",ROUND(G194*0.04,2))</f>
        <v/>
      </c>
      <c r="L194" s="4" t="n"/>
      <c r="M194" s="4" t="n"/>
      <c r="N194" s="5">
        <f>IF(A194="","",SUM(E194:K194)-N(L194))</f>
        <v/>
      </c>
      <c r="O194">
        <f>IF(OR(A194="",M194=""),"",IF(ABS(M194-N194)&lt;=0.02,"OK","REVISAR"))</f>
        <v/>
      </c>
      <c r="P194">
        <f>IF(D194="","",IF(LEN(TRIM(D194))&lt;&gt;9,"REVISAR",IFERROR(IF(OR(ISNUMBER(VALUE(LEFT(UPPER(TRIM(D194)),1))),LEFT(UPPER(TRIM(D194)),1)="X",LEFT(UPPER(TRIM(D194)),1)="Y",LEFT(UPPER(TRIM(D194)),1)="Z"),IF(MID("TRWAGMYFPDXBNJZSQVHLCKE",MOD(VALUE(SUBSTITUTE(SUBSTITUTE(SUBSTITUTE(LEFT(UPPER(TRIM(D194)),8),"X","0"),"Y","1"),"Z","2")),23)+1,1)=RIGHT(UPPER(TRIM(D194)),1),"OK","REVISAR"),IF(OR(RIGHT(UPPER(TRIM(D194)),1)=TEXT(MOD(10-MOD((VALUE(MID(UPPER(TRIM(D194)),3,1))+VALUE(MID(UPPER(TRIM(D194)),5,1))+VALUE(MID(UPPER(TRIM(D194)),7,1)))+(INT(2*VALUE(MID(UPPER(TRIM(D194)),2,1))/10)+MOD(2*VALUE(MID(UPPER(TRIM(D194)),2,1)),10))+(INT(2*VALUE(MID(UPPER(TRIM(D194)),4,1))/10)+MOD(2*VALUE(MID(UPPER(TRIM(D194)),4,1)),10))+(INT(2*VALUE(MID(UPPER(TRIM(D194)),6,1))/10)+MOD(2*VALUE(MID(UPPER(TRIM(D194)),6,1)),10))+(INT(2*VALUE(MID(UPPER(TRIM(D194)),8,1))/10)+MOD(2*VALUE(MID(UPPER(TRIM(D194)),8,1)),10)),10),10),"0"),RIGHT(UPPER(TRIM(D194)),1)=MID("JABCDEFGHI",MOD(10-MOD((VALUE(MID(UPPER(TRIM(D194)),3,1))+VALUE(MID(UPPER(TRIM(D194)),5,1))+VALUE(MID(UPPER(TRIM(D194)),7,1)))+(INT(2*VALUE(MID(UPPER(TRIM(D194)),2,1))/10)+MOD(2*VALUE(MID(UPPER(TRIM(D194)),2,1)),10))+(INT(2*VALUE(MID(UPPER(TRIM(D194)),4,1))/10)+MOD(2*VALUE(MID(UPPER(TRIM(D194)),4,1)),10))+(INT(2*VALUE(MID(UPPER(TRIM(D194)),6,1))/10)+MOD(2*VALUE(MID(UPPER(TRIM(D194)),6,1)),10))+(INT(2*VALUE(MID(UPPER(TRIM(D194)),8,1))/10)+MOD(2*VALUE(MID(UPPER(TRIM(D194)),8,1)),10)),10),10)+1,1)),"OK","REVISAR")),"REVISAR")))</f>
        <v/>
      </c>
      <c r="Q194">
        <f>IF(B194="","",IF(COUNTIFS($B$2:$B$501,B194,$D$2:$D$501,D194)&gt;1,"DUPLICADA",""))</f>
        <v/>
      </c>
      <c r="R194">
        <f>IF(A194="","",ROUNDUP(MONTH(A194)/3,0))</f>
        <v/>
      </c>
      <c r="S194" s="3" t="n"/>
    </row>
    <row r="195">
      <c r="A195" s="2" t="n"/>
      <c r="B195" s="3" t="n"/>
      <c r="C195" s="3" t="n"/>
      <c r="D195" s="3" t="n"/>
      <c r="E195" s="4" t="n"/>
      <c r="F195" s="4" t="n"/>
      <c r="G195" s="4" t="n"/>
      <c r="H195" s="4" t="n"/>
      <c r="I195" s="5">
        <f>IF(E195="","",ROUND(E195*0.21,2))</f>
        <v/>
      </c>
      <c r="J195" s="5">
        <f>IF(F195="","",ROUND(F195*0.1,2))</f>
        <v/>
      </c>
      <c r="K195" s="5">
        <f>IF(G195="","",ROUND(G195*0.04,2))</f>
        <v/>
      </c>
      <c r="L195" s="4" t="n"/>
      <c r="M195" s="4" t="n"/>
      <c r="N195" s="5">
        <f>IF(A195="","",SUM(E195:K195)-N(L195))</f>
        <v/>
      </c>
      <c r="O195">
        <f>IF(OR(A195="",M195=""),"",IF(ABS(M195-N195)&lt;=0.02,"OK","REVISAR"))</f>
        <v/>
      </c>
      <c r="P195">
        <f>IF(D195="","",IF(LEN(TRIM(D195))&lt;&gt;9,"REVISAR",IFERROR(IF(OR(ISNUMBER(VALUE(LEFT(UPPER(TRIM(D195)),1))),LEFT(UPPER(TRIM(D195)),1)="X",LEFT(UPPER(TRIM(D195)),1)="Y",LEFT(UPPER(TRIM(D195)),1)="Z"),IF(MID("TRWAGMYFPDXBNJZSQVHLCKE",MOD(VALUE(SUBSTITUTE(SUBSTITUTE(SUBSTITUTE(LEFT(UPPER(TRIM(D195)),8),"X","0"),"Y","1"),"Z","2")),23)+1,1)=RIGHT(UPPER(TRIM(D195)),1),"OK","REVISAR"),IF(OR(RIGHT(UPPER(TRIM(D195)),1)=TEXT(MOD(10-MOD((VALUE(MID(UPPER(TRIM(D195)),3,1))+VALUE(MID(UPPER(TRIM(D195)),5,1))+VALUE(MID(UPPER(TRIM(D195)),7,1)))+(INT(2*VALUE(MID(UPPER(TRIM(D195)),2,1))/10)+MOD(2*VALUE(MID(UPPER(TRIM(D195)),2,1)),10))+(INT(2*VALUE(MID(UPPER(TRIM(D195)),4,1))/10)+MOD(2*VALUE(MID(UPPER(TRIM(D195)),4,1)),10))+(INT(2*VALUE(MID(UPPER(TRIM(D195)),6,1))/10)+MOD(2*VALUE(MID(UPPER(TRIM(D195)),6,1)),10))+(INT(2*VALUE(MID(UPPER(TRIM(D195)),8,1))/10)+MOD(2*VALUE(MID(UPPER(TRIM(D195)),8,1)),10)),10),10),"0"),RIGHT(UPPER(TRIM(D195)),1)=MID("JABCDEFGHI",MOD(10-MOD((VALUE(MID(UPPER(TRIM(D195)),3,1))+VALUE(MID(UPPER(TRIM(D195)),5,1))+VALUE(MID(UPPER(TRIM(D195)),7,1)))+(INT(2*VALUE(MID(UPPER(TRIM(D195)),2,1))/10)+MOD(2*VALUE(MID(UPPER(TRIM(D195)),2,1)),10))+(INT(2*VALUE(MID(UPPER(TRIM(D195)),4,1))/10)+MOD(2*VALUE(MID(UPPER(TRIM(D195)),4,1)),10))+(INT(2*VALUE(MID(UPPER(TRIM(D195)),6,1))/10)+MOD(2*VALUE(MID(UPPER(TRIM(D195)),6,1)),10))+(INT(2*VALUE(MID(UPPER(TRIM(D195)),8,1))/10)+MOD(2*VALUE(MID(UPPER(TRIM(D195)),8,1)),10)),10),10)+1,1)),"OK","REVISAR")),"REVISAR")))</f>
        <v/>
      </c>
      <c r="Q195">
        <f>IF(B195="","",IF(COUNTIFS($B$2:$B$501,B195,$D$2:$D$501,D195)&gt;1,"DUPLICADA",""))</f>
        <v/>
      </c>
      <c r="R195">
        <f>IF(A195="","",ROUNDUP(MONTH(A195)/3,0))</f>
        <v/>
      </c>
      <c r="S195" s="3" t="n"/>
    </row>
    <row r="196">
      <c r="A196" s="2" t="n"/>
      <c r="B196" s="3" t="n"/>
      <c r="C196" s="3" t="n"/>
      <c r="D196" s="3" t="n"/>
      <c r="E196" s="4" t="n"/>
      <c r="F196" s="4" t="n"/>
      <c r="G196" s="4" t="n"/>
      <c r="H196" s="4" t="n"/>
      <c r="I196" s="5">
        <f>IF(E196="","",ROUND(E196*0.21,2))</f>
        <v/>
      </c>
      <c r="J196" s="5">
        <f>IF(F196="","",ROUND(F196*0.1,2))</f>
        <v/>
      </c>
      <c r="K196" s="5">
        <f>IF(G196="","",ROUND(G196*0.04,2))</f>
        <v/>
      </c>
      <c r="L196" s="4" t="n"/>
      <c r="M196" s="4" t="n"/>
      <c r="N196" s="5">
        <f>IF(A196="","",SUM(E196:K196)-N(L196))</f>
        <v/>
      </c>
      <c r="O196">
        <f>IF(OR(A196="",M196=""),"",IF(ABS(M196-N196)&lt;=0.02,"OK","REVISAR"))</f>
        <v/>
      </c>
      <c r="P196">
        <f>IF(D196="","",IF(LEN(TRIM(D196))&lt;&gt;9,"REVISAR",IFERROR(IF(OR(ISNUMBER(VALUE(LEFT(UPPER(TRIM(D196)),1))),LEFT(UPPER(TRIM(D196)),1)="X",LEFT(UPPER(TRIM(D196)),1)="Y",LEFT(UPPER(TRIM(D196)),1)="Z"),IF(MID("TRWAGMYFPDXBNJZSQVHLCKE",MOD(VALUE(SUBSTITUTE(SUBSTITUTE(SUBSTITUTE(LEFT(UPPER(TRIM(D196)),8),"X","0"),"Y","1"),"Z","2")),23)+1,1)=RIGHT(UPPER(TRIM(D196)),1),"OK","REVISAR"),IF(OR(RIGHT(UPPER(TRIM(D196)),1)=TEXT(MOD(10-MOD((VALUE(MID(UPPER(TRIM(D196)),3,1))+VALUE(MID(UPPER(TRIM(D196)),5,1))+VALUE(MID(UPPER(TRIM(D196)),7,1)))+(INT(2*VALUE(MID(UPPER(TRIM(D196)),2,1))/10)+MOD(2*VALUE(MID(UPPER(TRIM(D196)),2,1)),10))+(INT(2*VALUE(MID(UPPER(TRIM(D196)),4,1))/10)+MOD(2*VALUE(MID(UPPER(TRIM(D196)),4,1)),10))+(INT(2*VALUE(MID(UPPER(TRIM(D196)),6,1))/10)+MOD(2*VALUE(MID(UPPER(TRIM(D196)),6,1)),10))+(INT(2*VALUE(MID(UPPER(TRIM(D196)),8,1))/10)+MOD(2*VALUE(MID(UPPER(TRIM(D196)),8,1)),10)),10),10),"0"),RIGHT(UPPER(TRIM(D196)),1)=MID("JABCDEFGHI",MOD(10-MOD((VALUE(MID(UPPER(TRIM(D196)),3,1))+VALUE(MID(UPPER(TRIM(D196)),5,1))+VALUE(MID(UPPER(TRIM(D196)),7,1)))+(INT(2*VALUE(MID(UPPER(TRIM(D196)),2,1))/10)+MOD(2*VALUE(MID(UPPER(TRIM(D196)),2,1)),10))+(INT(2*VALUE(MID(UPPER(TRIM(D196)),4,1))/10)+MOD(2*VALUE(MID(UPPER(TRIM(D196)),4,1)),10))+(INT(2*VALUE(MID(UPPER(TRIM(D196)),6,1))/10)+MOD(2*VALUE(MID(UPPER(TRIM(D196)),6,1)),10))+(INT(2*VALUE(MID(UPPER(TRIM(D196)),8,1))/10)+MOD(2*VALUE(MID(UPPER(TRIM(D196)),8,1)),10)),10),10)+1,1)),"OK","REVISAR")),"REVISAR")))</f>
        <v/>
      </c>
      <c r="Q196">
        <f>IF(B196="","",IF(COUNTIFS($B$2:$B$501,B196,$D$2:$D$501,D196)&gt;1,"DUPLICADA",""))</f>
        <v/>
      </c>
      <c r="R196">
        <f>IF(A196="","",ROUNDUP(MONTH(A196)/3,0))</f>
        <v/>
      </c>
      <c r="S196" s="3" t="n"/>
    </row>
    <row r="197">
      <c r="A197" s="2" t="n"/>
      <c r="B197" s="3" t="n"/>
      <c r="C197" s="3" t="n"/>
      <c r="D197" s="3" t="n"/>
      <c r="E197" s="4" t="n"/>
      <c r="F197" s="4" t="n"/>
      <c r="G197" s="4" t="n"/>
      <c r="H197" s="4" t="n"/>
      <c r="I197" s="5">
        <f>IF(E197="","",ROUND(E197*0.21,2))</f>
        <v/>
      </c>
      <c r="J197" s="5">
        <f>IF(F197="","",ROUND(F197*0.1,2))</f>
        <v/>
      </c>
      <c r="K197" s="5">
        <f>IF(G197="","",ROUND(G197*0.04,2))</f>
        <v/>
      </c>
      <c r="L197" s="4" t="n"/>
      <c r="M197" s="4" t="n"/>
      <c r="N197" s="5">
        <f>IF(A197="","",SUM(E197:K197)-N(L197))</f>
        <v/>
      </c>
      <c r="O197">
        <f>IF(OR(A197="",M197=""),"",IF(ABS(M197-N197)&lt;=0.02,"OK","REVISAR"))</f>
        <v/>
      </c>
      <c r="P197">
        <f>IF(D197="","",IF(LEN(TRIM(D197))&lt;&gt;9,"REVISAR",IFERROR(IF(OR(ISNUMBER(VALUE(LEFT(UPPER(TRIM(D197)),1))),LEFT(UPPER(TRIM(D197)),1)="X",LEFT(UPPER(TRIM(D197)),1)="Y",LEFT(UPPER(TRIM(D197)),1)="Z"),IF(MID("TRWAGMYFPDXBNJZSQVHLCKE",MOD(VALUE(SUBSTITUTE(SUBSTITUTE(SUBSTITUTE(LEFT(UPPER(TRIM(D197)),8),"X","0"),"Y","1"),"Z","2")),23)+1,1)=RIGHT(UPPER(TRIM(D197)),1),"OK","REVISAR"),IF(OR(RIGHT(UPPER(TRIM(D197)),1)=TEXT(MOD(10-MOD((VALUE(MID(UPPER(TRIM(D197)),3,1))+VALUE(MID(UPPER(TRIM(D197)),5,1))+VALUE(MID(UPPER(TRIM(D197)),7,1)))+(INT(2*VALUE(MID(UPPER(TRIM(D197)),2,1))/10)+MOD(2*VALUE(MID(UPPER(TRIM(D197)),2,1)),10))+(INT(2*VALUE(MID(UPPER(TRIM(D197)),4,1))/10)+MOD(2*VALUE(MID(UPPER(TRIM(D197)),4,1)),10))+(INT(2*VALUE(MID(UPPER(TRIM(D197)),6,1))/10)+MOD(2*VALUE(MID(UPPER(TRIM(D197)),6,1)),10))+(INT(2*VALUE(MID(UPPER(TRIM(D197)),8,1))/10)+MOD(2*VALUE(MID(UPPER(TRIM(D197)),8,1)),10)),10),10),"0"),RIGHT(UPPER(TRIM(D197)),1)=MID("JABCDEFGHI",MOD(10-MOD((VALUE(MID(UPPER(TRIM(D197)),3,1))+VALUE(MID(UPPER(TRIM(D197)),5,1))+VALUE(MID(UPPER(TRIM(D197)),7,1)))+(INT(2*VALUE(MID(UPPER(TRIM(D197)),2,1))/10)+MOD(2*VALUE(MID(UPPER(TRIM(D197)),2,1)),10))+(INT(2*VALUE(MID(UPPER(TRIM(D197)),4,1))/10)+MOD(2*VALUE(MID(UPPER(TRIM(D197)),4,1)),10))+(INT(2*VALUE(MID(UPPER(TRIM(D197)),6,1))/10)+MOD(2*VALUE(MID(UPPER(TRIM(D197)),6,1)),10))+(INT(2*VALUE(MID(UPPER(TRIM(D197)),8,1))/10)+MOD(2*VALUE(MID(UPPER(TRIM(D197)),8,1)),10)),10),10)+1,1)),"OK","REVISAR")),"REVISAR")))</f>
        <v/>
      </c>
      <c r="Q197">
        <f>IF(B197="","",IF(COUNTIFS($B$2:$B$501,B197,$D$2:$D$501,D197)&gt;1,"DUPLICADA",""))</f>
        <v/>
      </c>
      <c r="R197">
        <f>IF(A197="","",ROUNDUP(MONTH(A197)/3,0))</f>
        <v/>
      </c>
      <c r="S197" s="3" t="n"/>
    </row>
    <row r="198">
      <c r="A198" s="2" t="n"/>
      <c r="B198" s="3" t="n"/>
      <c r="C198" s="3" t="n"/>
      <c r="D198" s="3" t="n"/>
      <c r="E198" s="4" t="n"/>
      <c r="F198" s="4" t="n"/>
      <c r="G198" s="4" t="n"/>
      <c r="H198" s="4" t="n"/>
      <c r="I198" s="5">
        <f>IF(E198="","",ROUND(E198*0.21,2))</f>
        <v/>
      </c>
      <c r="J198" s="5">
        <f>IF(F198="","",ROUND(F198*0.1,2))</f>
        <v/>
      </c>
      <c r="K198" s="5">
        <f>IF(G198="","",ROUND(G198*0.04,2))</f>
        <v/>
      </c>
      <c r="L198" s="4" t="n"/>
      <c r="M198" s="4" t="n"/>
      <c r="N198" s="5">
        <f>IF(A198="","",SUM(E198:K198)-N(L198))</f>
        <v/>
      </c>
      <c r="O198">
        <f>IF(OR(A198="",M198=""),"",IF(ABS(M198-N198)&lt;=0.02,"OK","REVISAR"))</f>
        <v/>
      </c>
      <c r="P198">
        <f>IF(D198="","",IF(LEN(TRIM(D198))&lt;&gt;9,"REVISAR",IFERROR(IF(OR(ISNUMBER(VALUE(LEFT(UPPER(TRIM(D198)),1))),LEFT(UPPER(TRIM(D198)),1)="X",LEFT(UPPER(TRIM(D198)),1)="Y",LEFT(UPPER(TRIM(D198)),1)="Z"),IF(MID("TRWAGMYFPDXBNJZSQVHLCKE",MOD(VALUE(SUBSTITUTE(SUBSTITUTE(SUBSTITUTE(LEFT(UPPER(TRIM(D198)),8),"X","0"),"Y","1"),"Z","2")),23)+1,1)=RIGHT(UPPER(TRIM(D198)),1),"OK","REVISAR"),IF(OR(RIGHT(UPPER(TRIM(D198)),1)=TEXT(MOD(10-MOD((VALUE(MID(UPPER(TRIM(D198)),3,1))+VALUE(MID(UPPER(TRIM(D198)),5,1))+VALUE(MID(UPPER(TRIM(D198)),7,1)))+(INT(2*VALUE(MID(UPPER(TRIM(D198)),2,1))/10)+MOD(2*VALUE(MID(UPPER(TRIM(D198)),2,1)),10))+(INT(2*VALUE(MID(UPPER(TRIM(D198)),4,1))/10)+MOD(2*VALUE(MID(UPPER(TRIM(D198)),4,1)),10))+(INT(2*VALUE(MID(UPPER(TRIM(D198)),6,1))/10)+MOD(2*VALUE(MID(UPPER(TRIM(D198)),6,1)),10))+(INT(2*VALUE(MID(UPPER(TRIM(D198)),8,1))/10)+MOD(2*VALUE(MID(UPPER(TRIM(D198)),8,1)),10)),10),10),"0"),RIGHT(UPPER(TRIM(D198)),1)=MID("JABCDEFGHI",MOD(10-MOD((VALUE(MID(UPPER(TRIM(D198)),3,1))+VALUE(MID(UPPER(TRIM(D198)),5,1))+VALUE(MID(UPPER(TRIM(D198)),7,1)))+(INT(2*VALUE(MID(UPPER(TRIM(D198)),2,1))/10)+MOD(2*VALUE(MID(UPPER(TRIM(D198)),2,1)),10))+(INT(2*VALUE(MID(UPPER(TRIM(D198)),4,1))/10)+MOD(2*VALUE(MID(UPPER(TRIM(D198)),4,1)),10))+(INT(2*VALUE(MID(UPPER(TRIM(D198)),6,1))/10)+MOD(2*VALUE(MID(UPPER(TRIM(D198)),6,1)),10))+(INT(2*VALUE(MID(UPPER(TRIM(D198)),8,1))/10)+MOD(2*VALUE(MID(UPPER(TRIM(D198)),8,1)),10)),10),10)+1,1)),"OK","REVISAR")),"REVISAR")))</f>
        <v/>
      </c>
      <c r="Q198">
        <f>IF(B198="","",IF(COUNTIFS($B$2:$B$501,B198,$D$2:$D$501,D198)&gt;1,"DUPLICADA",""))</f>
        <v/>
      </c>
      <c r="R198">
        <f>IF(A198="","",ROUNDUP(MONTH(A198)/3,0))</f>
        <v/>
      </c>
      <c r="S198" s="3" t="n"/>
    </row>
    <row r="199">
      <c r="A199" s="2" t="n"/>
      <c r="B199" s="3" t="n"/>
      <c r="C199" s="3" t="n"/>
      <c r="D199" s="3" t="n"/>
      <c r="E199" s="4" t="n"/>
      <c r="F199" s="4" t="n"/>
      <c r="G199" s="4" t="n"/>
      <c r="H199" s="4" t="n"/>
      <c r="I199" s="5">
        <f>IF(E199="","",ROUND(E199*0.21,2))</f>
        <v/>
      </c>
      <c r="J199" s="5">
        <f>IF(F199="","",ROUND(F199*0.1,2))</f>
        <v/>
      </c>
      <c r="K199" s="5">
        <f>IF(G199="","",ROUND(G199*0.04,2))</f>
        <v/>
      </c>
      <c r="L199" s="4" t="n"/>
      <c r="M199" s="4" t="n"/>
      <c r="N199" s="5">
        <f>IF(A199="","",SUM(E199:K199)-N(L199))</f>
        <v/>
      </c>
      <c r="O199">
        <f>IF(OR(A199="",M199=""),"",IF(ABS(M199-N199)&lt;=0.02,"OK","REVISAR"))</f>
        <v/>
      </c>
      <c r="P199">
        <f>IF(D199="","",IF(LEN(TRIM(D199))&lt;&gt;9,"REVISAR",IFERROR(IF(OR(ISNUMBER(VALUE(LEFT(UPPER(TRIM(D199)),1))),LEFT(UPPER(TRIM(D199)),1)="X",LEFT(UPPER(TRIM(D199)),1)="Y",LEFT(UPPER(TRIM(D199)),1)="Z"),IF(MID("TRWAGMYFPDXBNJZSQVHLCKE",MOD(VALUE(SUBSTITUTE(SUBSTITUTE(SUBSTITUTE(LEFT(UPPER(TRIM(D199)),8),"X","0"),"Y","1"),"Z","2")),23)+1,1)=RIGHT(UPPER(TRIM(D199)),1),"OK","REVISAR"),IF(OR(RIGHT(UPPER(TRIM(D199)),1)=TEXT(MOD(10-MOD((VALUE(MID(UPPER(TRIM(D199)),3,1))+VALUE(MID(UPPER(TRIM(D199)),5,1))+VALUE(MID(UPPER(TRIM(D199)),7,1)))+(INT(2*VALUE(MID(UPPER(TRIM(D199)),2,1))/10)+MOD(2*VALUE(MID(UPPER(TRIM(D199)),2,1)),10))+(INT(2*VALUE(MID(UPPER(TRIM(D199)),4,1))/10)+MOD(2*VALUE(MID(UPPER(TRIM(D199)),4,1)),10))+(INT(2*VALUE(MID(UPPER(TRIM(D199)),6,1))/10)+MOD(2*VALUE(MID(UPPER(TRIM(D199)),6,1)),10))+(INT(2*VALUE(MID(UPPER(TRIM(D199)),8,1))/10)+MOD(2*VALUE(MID(UPPER(TRIM(D199)),8,1)),10)),10),10),"0"),RIGHT(UPPER(TRIM(D199)),1)=MID("JABCDEFGHI",MOD(10-MOD((VALUE(MID(UPPER(TRIM(D199)),3,1))+VALUE(MID(UPPER(TRIM(D199)),5,1))+VALUE(MID(UPPER(TRIM(D199)),7,1)))+(INT(2*VALUE(MID(UPPER(TRIM(D199)),2,1))/10)+MOD(2*VALUE(MID(UPPER(TRIM(D199)),2,1)),10))+(INT(2*VALUE(MID(UPPER(TRIM(D199)),4,1))/10)+MOD(2*VALUE(MID(UPPER(TRIM(D199)),4,1)),10))+(INT(2*VALUE(MID(UPPER(TRIM(D199)),6,1))/10)+MOD(2*VALUE(MID(UPPER(TRIM(D199)),6,1)),10))+(INT(2*VALUE(MID(UPPER(TRIM(D199)),8,1))/10)+MOD(2*VALUE(MID(UPPER(TRIM(D199)),8,1)),10)),10),10)+1,1)),"OK","REVISAR")),"REVISAR")))</f>
        <v/>
      </c>
      <c r="Q199">
        <f>IF(B199="","",IF(COUNTIFS($B$2:$B$501,B199,$D$2:$D$501,D199)&gt;1,"DUPLICADA",""))</f>
        <v/>
      </c>
      <c r="R199">
        <f>IF(A199="","",ROUNDUP(MONTH(A199)/3,0))</f>
        <v/>
      </c>
      <c r="S199" s="3" t="n"/>
    </row>
    <row r="200">
      <c r="A200" s="2" t="n"/>
      <c r="B200" s="3" t="n"/>
      <c r="C200" s="3" t="n"/>
      <c r="D200" s="3" t="n"/>
      <c r="E200" s="4" t="n"/>
      <c r="F200" s="4" t="n"/>
      <c r="G200" s="4" t="n"/>
      <c r="H200" s="4" t="n"/>
      <c r="I200" s="5">
        <f>IF(E200="","",ROUND(E200*0.21,2))</f>
        <v/>
      </c>
      <c r="J200" s="5">
        <f>IF(F200="","",ROUND(F200*0.1,2))</f>
        <v/>
      </c>
      <c r="K200" s="5">
        <f>IF(G200="","",ROUND(G200*0.04,2))</f>
        <v/>
      </c>
      <c r="L200" s="4" t="n"/>
      <c r="M200" s="4" t="n"/>
      <c r="N200" s="5">
        <f>IF(A200="","",SUM(E200:K200)-N(L200))</f>
        <v/>
      </c>
      <c r="O200">
        <f>IF(OR(A200="",M200=""),"",IF(ABS(M200-N200)&lt;=0.02,"OK","REVISAR"))</f>
        <v/>
      </c>
      <c r="P200">
        <f>IF(D200="","",IF(LEN(TRIM(D200))&lt;&gt;9,"REVISAR",IFERROR(IF(OR(ISNUMBER(VALUE(LEFT(UPPER(TRIM(D200)),1))),LEFT(UPPER(TRIM(D200)),1)="X",LEFT(UPPER(TRIM(D200)),1)="Y",LEFT(UPPER(TRIM(D200)),1)="Z"),IF(MID("TRWAGMYFPDXBNJZSQVHLCKE",MOD(VALUE(SUBSTITUTE(SUBSTITUTE(SUBSTITUTE(LEFT(UPPER(TRIM(D200)),8),"X","0"),"Y","1"),"Z","2")),23)+1,1)=RIGHT(UPPER(TRIM(D200)),1),"OK","REVISAR"),IF(OR(RIGHT(UPPER(TRIM(D200)),1)=TEXT(MOD(10-MOD((VALUE(MID(UPPER(TRIM(D200)),3,1))+VALUE(MID(UPPER(TRIM(D200)),5,1))+VALUE(MID(UPPER(TRIM(D200)),7,1)))+(INT(2*VALUE(MID(UPPER(TRIM(D200)),2,1))/10)+MOD(2*VALUE(MID(UPPER(TRIM(D200)),2,1)),10))+(INT(2*VALUE(MID(UPPER(TRIM(D200)),4,1))/10)+MOD(2*VALUE(MID(UPPER(TRIM(D200)),4,1)),10))+(INT(2*VALUE(MID(UPPER(TRIM(D200)),6,1))/10)+MOD(2*VALUE(MID(UPPER(TRIM(D200)),6,1)),10))+(INT(2*VALUE(MID(UPPER(TRIM(D200)),8,1))/10)+MOD(2*VALUE(MID(UPPER(TRIM(D200)),8,1)),10)),10),10),"0"),RIGHT(UPPER(TRIM(D200)),1)=MID("JABCDEFGHI",MOD(10-MOD((VALUE(MID(UPPER(TRIM(D200)),3,1))+VALUE(MID(UPPER(TRIM(D200)),5,1))+VALUE(MID(UPPER(TRIM(D200)),7,1)))+(INT(2*VALUE(MID(UPPER(TRIM(D200)),2,1))/10)+MOD(2*VALUE(MID(UPPER(TRIM(D200)),2,1)),10))+(INT(2*VALUE(MID(UPPER(TRIM(D200)),4,1))/10)+MOD(2*VALUE(MID(UPPER(TRIM(D200)),4,1)),10))+(INT(2*VALUE(MID(UPPER(TRIM(D200)),6,1))/10)+MOD(2*VALUE(MID(UPPER(TRIM(D200)),6,1)),10))+(INT(2*VALUE(MID(UPPER(TRIM(D200)),8,1))/10)+MOD(2*VALUE(MID(UPPER(TRIM(D200)),8,1)),10)),10),10)+1,1)),"OK","REVISAR")),"REVISAR")))</f>
        <v/>
      </c>
      <c r="Q200">
        <f>IF(B200="","",IF(COUNTIFS($B$2:$B$501,B200,$D$2:$D$501,D200)&gt;1,"DUPLICADA",""))</f>
        <v/>
      </c>
      <c r="R200">
        <f>IF(A200="","",ROUNDUP(MONTH(A200)/3,0))</f>
        <v/>
      </c>
      <c r="S200" s="3" t="n"/>
    </row>
    <row r="201">
      <c r="A201" s="2" t="n"/>
      <c r="B201" s="3" t="n"/>
      <c r="C201" s="3" t="n"/>
      <c r="D201" s="3" t="n"/>
      <c r="E201" s="4" t="n"/>
      <c r="F201" s="4" t="n"/>
      <c r="G201" s="4" t="n"/>
      <c r="H201" s="4" t="n"/>
      <c r="I201" s="5">
        <f>IF(E201="","",ROUND(E201*0.21,2))</f>
        <v/>
      </c>
      <c r="J201" s="5">
        <f>IF(F201="","",ROUND(F201*0.1,2))</f>
        <v/>
      </c>
      <c r="K201" s="5">
        <f>IF(G201="","",ROUND(G201*0.04,2))</f>
        <v/>
      </c>
      <c r="L201" s="4" t="n"/>
      <c r="M201" s="4" t="n"/>
      <c r="N201" s="5">
        <f>IF(A201="","",SUM(E201:K201)-N(L201))</f>
        <v/>
      </c>
      <c r="O201">
        <f>IF(OR(A201="",M201=""),"",IF(ABS(M201-N201)&lt;=0.02,"OK","REVISAR"))</f>
        <v/>
      </c>
      <c r="P201">
        <f>IF(D201="","",IF(LEN(TRIM(D201))&lt;&gt;9,"REVISAR",IFERROR(IF(OR(ISNUMBER(VALUE(LEFT(UPPER(TRIM(D201)),1))),LEFT(UPPER(TRIM(D201)),1)="X",LEFT(UPPER(TRIM(D201)),1)="Y",LEFT(UPPER(TRIM(D201)),1)="Z"),IF(MID("TRWAGMYFPDXBNJZSQVHLCKE",MOD(VALUE(SUBSTITUTE(SUBSTITUTE(SUBSTITUTE(LEFT(UPPER(TRIM(D201)),8),"X","0"),"Y","1"),"Z","2")),23)+1,1)=RIGHT(UPPER(TRIM(D201)),1),"OK","REVISAR"),IF(OR(RIGHT(UPPER(TRIM(D201)),1)=TEXT(MOD(10-MOD((VALUE(MID(UPPER(TRIM(D201)),3,1))+VALUE(MID(UPPER(TRIM(D201)),5,1))+VALUE(MID(UPPER(TRIM(D201)),7,1)))+(INT(2*VALUE(MID(UPPER(TRIM(D201)),2,1))/10)+MOD(2*VALUE(MID(UPPER(TRIM(D201)),2,1)),10))+(INT(2*VALUE(MID(UPPER(TRIM(D201)),4,1))/10)+MOD(2*VALUE(MID(UPPER(TRIM(D201)),4,1)),10))+(INT(2*VALUE(MID(UPPER(TRIM(D201)),6,1))/10)+MOD(2*VALUE(MID(UPPER(TRIM(D201)),6,1)),10))+(INT(2*VALUE(MID(UPPER(TRIM(D201)),8,1))/10)+MOD(2*VALUE(MID(UPPER(TRIM(D201)),8,1)),10)),10),10),"0"),RIGHT(UPPER(TRIM(D201)),1)=MID("JABCDEFGHI",MOD(10-MOD((VALUE(MID(UPPER(TRIM(D201)),3,1))+VALUE(MID(UPPER(TRIM(D201)),5,1))+VALUE(MID(UPPER(TRIM(D201)),7,1)))+(INT(2*VALUE(MID(UPPER(TRIM(D201)),2,1))/10)+MOD(2*VALUE(MID(UPPER(TRIM(D201)),2,1)),10))+(INT(2*VALUE(MID(UPPER(TRIM(D201)),4,1))/10)+MOD(2*VALUE(MID(UPPER(TRIM(D201)),4,1)),10))+(INT(2*VALUE(MID(UPPER(TRIM(D201)),6,1))/10)+MOD(2*VALUE(MID(UPPER(TRIM(D201)),6,1)),10))+(INT(2*VALUE(MID(UPPER(TRIM(D201)),8,1))/10)+MOD(2*VALUE(MID(UPPER(TRIM(D201)),8,1)),10)),10),10)+1,1)),"OK","REVISAR")),"REVISAR")))</f>
        <v/>
      </c>
      <c r="Q201">
        <f>IF(B201="","",IF(COUNTIFS($B$2:$B$501,B201,$D$2:$D$501,D201)&gt;1,"DUPLICADA",""))</f>
        <v/>
      </c>
      <c r="R201">
        <f>IF(A201="","",ROUNDUP(MONTH(A201)/3,0))</f>
        <v/>
      </c>
      <c r="S201" s="3" t="n"/>
    </row>
    <row r="202">
      <c r="A202" s="2" t="n"/>
      <c r="B202" s="3" t="n"/>
      <c r="C202" s="3" t="n"/>
      <c r="D202" s="3" t="n"/>
      <c r="E202" s="4" t="n"/>
      <c r="F202" s="4" t="n"/>
      <c r="G202" s="4" t="n"/>
      <c r="H202" s="4" t="n"/>
      <c r="I202" s="5">
        <f>IF(E202="","",ROUND(E202*0.21,2))</f>
        <v/>
      </c>
      <c r="J202" s="5">
        <f>IF(F202="","",ROUND(F202*0.1,2))</f>
        <v/>
      </c>
      <c r="K202" s="5">
        <f>IF(G202="","",ROUND(G202*0.04,2))</f>
        <v/>
      </c>
      <c r="L202" s="4" t="n"/>
      <c r="M202" s="4" t="n"/>
      <c r="N202" s="5">
        <f>IF(A202="","",SUM(E202:K202)-N(L202))</f>
        <v/>
      </c>
      <c r="O202">
        <f>IF(OR(A202="",M202=""),"",IF(ABS(M202-N202)&lt;=0.02,"OK","REVISAR"))</f>
        <v/>
      </c>
      <c r="P202">
        <f>IF(D202="","",IF(LEN(TRIM(D202))&lt;&gt;9,"REVISAR",IFERROR(IF(OR(ISNUMBER(VALUE(LEFT(UPPER(TRIM(D202)),1))),LEFT(UPPER(TRIM(D202)),1)="X",LEFT(UPPER(TRIM(D202)),1)="Y",LEFT(UPPER(TRIM(D202)),1)="Z"),IF(MID("TRWAGMYFPDXBNJZSQVHLCKE",MOD(VALUE(SUBSTITUTE(SUBSTITUTE(SUBSTITUTE(LEFT(UPPER(TRIM(D202)),8),"X","0"),"Y","1"),"Z","2")),23)+1,1)=RIGHT(UPPER(TRIM(D202)),1),"OK","REVISAR"),IF(OR(RIGHT(UPPER(TRIM(D202)),1)=TEXT(MOD(10-MOD((VALUE(MID(UPPER(TRIM(D202)),3,1))+VALUE(MID(UPPER(TRIM(D202)),5,1))+VALUE(MID(UPPER(TRIM(D202)),7,1)))+(INT(2*VALUE(MID(UPPER(TRIM(D202)),2,1))/10)+MOD(2*VALUE(MID(UPPER(TRIM(D202)),2,1)),10))+(INT(2*VALUE(MID(UPPER(TRIM(D202)),4,1))/10)+MOD(2*VALUE(MID(UPPER(TRIM(D202)),4,1)),10))+(INT(2*VALUE(MID(UPPER(TRIM(D202)),6,1))/10)+MOD(2*VALUE(MID(UPPER(TRIM(D202)),6,1)),10))+(INT(2*VALUE(MID(UPPER(TRIM(D202)),8,1))/10)+MOD(2*VALUE(MID(UPPER(TRIM(D202)),8,1)),10)),10),10),"0"),RIGHT(UPPER(TRIM(D202)),1)=MID("JABCDEFGHI",MOD(10-MOD((VALUE(MID(UPPER(TRIM(D202)),3,1))+VALUE(MID(UPPER(TRIM(D202)),5,1))+VALUE(MID(UPPER(TRIM(D202)),7,1)))+(INT(2*VALUE(MID(UPPER(TRIM(D202)),2,1))/10)+MOD(2*VALUE(MID(UPPER(TRIM(D202)),2,1)),10))+(INT(2*VALUE(MID(UPPER(TRIM(D202)),4,1))/10)+MOD(2*VALUE(MID(UPPER(TRIM(D202)),4,1)),10))+(INT(2*VALUE(MID(UPPER(TRIM(D202)),6,1))/10)+MOD(2*VALUE(MID(UPPER(TRIM(D202)),6,1)),10))+(INT(2*VALUE(MID(UPPER(TRIM(D202)),8,1))/10)+MOD(2*VALUE(MID(UPPER(TRIM(D202)),8,1)),10)),10),10)+1,1)),"OK","REVISAR")),"REVISAR")))</f>
        <v/>
      </c>
      <c r="Q202">
        <f>IF(B202="","",IF(COUNTIFS($B$2:$B$501,B202,$D$2:$D$501,D202)&gt;1,"DUPLICADA",""))</f>
        <v/>
      </c>
      <c r="R202">
        <f>IF(A202="","",ROUNDUP(MONTH(A202)/3,0))</f>
        <v/>
      </c>
      <c r="S202" s="3" t="n"/>
    </row>
    <row r="203">
      <c r="A203" s="2" t="n"/>
      <c r="B203" s="3" t="n"/>
      <c r="C203" s="3" t="n"/>
      <c r="D203" s="3" t="n"/>
      <c r="E203" s="4" t="n"/>
      <c r="F203" s="4" t="n"/>
      <c r="G203" s="4" t="n"/>
      <c r="H203" s="4" t="n"/>
      <c r="I203" s="5">
        <f>IF(E203="","",ROUND(E203*0.21,2))</f>
        <v/>
      </c>
      <c r="J203" s="5">
        <f>IF(F203="","",ROUND(F203*0.1,2))</f>
        <v/>
      </c>
      <c r="K203" s="5">
        <f>IF(G203="","",ROUND(G203*0.04,2))</f>
        <v/>
      </c>
      <c r="L203" s="4" t="n"/>
      <c r="M203" s="4" t="n"/>
      <c r="N203" s="5">
        <f>IF(A203="","",SUM(E203:K203)-N(L203))</f>
        <v/>
      </c>
      <c r="O203">
        <f>IF(OR(A203="",M203=""),"",IF(ABS(M203-N203)&lt;=0.02,"OK","REVISAR"))</f>
        <v/>
      </c>
      <c r="P203">
        <f>IF(D203="","",IF(LEN(TRIM(D203))&lt;&gt;9,"REVISAR",IFERROR(IF(OR(ISNUMBER(VALUE(LEFT(UPPER(TRIM(D203)),1))),LEFT(UPPER(TRIM(D203)),1)="X",LEFT(UPPER(TRIM(D203)),1)="Y",LEFT(UPPER(TRIM(D203)),1)="Z"),IF(MID("TRWAGMYFPDXBNJZSQVHLCKE",MOD(VALUE(SUBSTITUTE(SUBSTITUTE(SUBSTITUTE(LEFT(UPPER(TRIM(D203)),8),"X","0"),"Y","1"),"Z","2")),23)+1,1)=RIGHT(UPPER(TRIM(D203)),1),"OK","REVISAR"),IF(OR(RIGHT(UPPER(TRIM(D203)),1)=TEXT(MOD(10-MOD((VALUE(MID(UPPER(TRIM(D203)),3,1))+VALUE(MID(UPPER(TRIM(D203)),5,1))+VALUE(MID(UPPER(TRIM(D203)),7,1)))+(INT(2*VALUE(MID(UPPER(TRIM(D203)),2,1))/10)+MOD(2*VALUE(MID(UPPER(TRIM(D203)),2,1)),10))+(INT(2*VALUE(MID(UPPER(TRIM(D203)),4,1))/10)+MOD(2*VALUE(MID(UPPER(TRIM(D203)),4,1)),10))+(INT(2*VALUE(MID(UPPER(TRIM(D203)),6,1))/10)+MOD(2*VALUE(MID(UPPER(TRIM(D203)),6,1)),10))+(INT(2*VALUE(MID(UPPER(TRIM(D203)),8,1))/10)+MOD(2*VALUE(MID(UPPER(TRIM(D203)),8,1)),10)),10),10),"0"),RIGHT(UPPER(TRIM(D203)),1)=MID("JABCDEFGHI",MOD(10-MOD((VALUE(MID(UPPER(TRIM(D203)),3,1))+VALUE(MID(UPPER(TRIM(D203)),5,1))+VALUE(MID(UPPER(TRIM(D203)),7,1)))+(INT(2*VALUE(MID(UPPER(TRIM(D203)),2,1))/10)+MOD(2*VALUE(MID(UPPER(TRIM(D203)),2,1)),10))+(INT(2*VALUE(MID(UPPER(TRIM(D203)),4,1))/10)+MOD(2*VALUE(MID(UPPER(TRIM(D203)),4,1)),10))+(INT(2*VALUE(MID(UPPER(TRIM(D203)),6,1))/10)+MOD(2*VALUE(MID(UPPER(TRIM(D203)),6,1)),10))+(INT(2*VALUE(MID(UPPER(TRIM(D203)),8,1))/10)+MOD(2*VALUE(MID(UPPER(TRIM(D203)),8,1)),10)),10),10)+1,1)),"OK","REVISAR")),"REVISAR")))</f>
        <v/>
      </c>
      <c r="Q203">
        <f>IF(B203="","",IF(COUNTIFS($B$2:$B$501,B203,$D$2:$D$501,D203)&gt;1,"DUPLICADA",""))</f>
        <v/>
      </c>
      <c r="R203">
        <f>IF(A203="","",ROUNDUP(MONTH(A203)/3,0))</f>
        <v/>
      </c>
      <c r="S203" s="3" t="n"/>
    </row>
    <row r="204">
      <c r="A204" s="2" t="n"/>
      <c r="B204" s="3" t="n"/>
      <c r="C204" s="3" t="n"/>
      <c r="D204" s="3" t="n"/>
      <c r="E204" s="4" t="n"/>
      <c r="F204" s="4" t="n"/>
      <c r="G204" s="4" t="n"/>
      <c r="H204" s="4" t="n"/>
      <c r="I204" s="5">
        <f>IF(E204="","",ROUND(E204*0.21,2))</f>
        <v/>
      </c>
      <c r="J204" s="5">
        <f>IF(F204="","",ROUND(F204*0.1,2))</f>
        <v/>
      </c>
      <c r="K204" s="5">
        <f>IF(G204="","",ROUND(G204*0.04,2))</f>
        <v/>
      </c>
      <c r="L204" s="4" t="n"/>
      <c r="M204" s="4" t="n"/>
      <c r="N204" s="5">
        <f>IF(A204="","",SUM(E204:K204)-N(L204))</f>
        <v/>
      </c>
      <c r="O204">
        <f>IF(OR(A204="",M204=""),"",IF(ABS(M204-N204)&lt;=0.02,"OK","REVISAR"))</f>
        <v/>
      </c>
      <c r="P204">
        <f>IF(D204="","",IF(LEN(TRIM(D204))&lt;&gt;9,"REVISAR",IFERROR(IF(OR(ISNUMBER(VALUE(LEFT(UPPER(TRIM(D204)),1))),LEFT(UPPER(TRIM(D204)),1)="X",LEFT(UPPER(TRIM(D204)),1)="Y",LEFT(UPPER(TRIM(D204)),1)="Z"),IF(MID("TRWAGMYFPDXBNJZSQVHLCKE",MOD(VALUE(SUBSTITUTE(SUBSTITUTE(SUBSTITUTE(LEFT(UPPER(TRIM(D204)),8),"X","0"),"Y","1"),"Z","2")),23)+1,1)=RIGHT(UPPER(TRIM(D204)),1),"OK","REVISAR"),IF(OR(RIGHT(UPPER(TRIM(D204)),1)=TEXT(MOD(10-MOD((VALUE(MID(UPPER(TRIM(D204)),3,1))+VALUE(MID(UPPER(TRIM(D204)),5,1))+VALUE(MID(UPPER(TRIM(D204)),7,1)))+(INT(2*VALUE(MID(UPPER(TRIM(D204)),2,1))/10)+MOD(2*VALUE(MID(UPPER(TRIM(D204)),2,1)),10))+(INT(2*VALUE(MID(UPPER(TRIM(D204)),4,1))/10)+MOD(2*VALUE(MID(UPPER(TRIM(D204)),4,1)),10))+(INT(2*VALUE(MID(UPPER(TRIM(D204)),6,1))/10)+MOD(2*VALUE(MID(UPPER(TRIM(D204)),6,1)),10))+(INT(2*VALUE(MID(UPPER(TRIM(D204)),8,1))/10)+MOD(2*VALUE(MID(UPPER(TRIM(D204)),8,1)),10)),10),10),"0"),RIGHT(UPPER(TRIM(D204)),1)=MID("JABCDEFGHI",MOD(10-MOD((VALUE(MID(UPPER(TRIM(D204)),3,1))+VALUE(MID(UPPER(TRIM(D204)),5,1))+VALUE(MID(UPPER(TRIM(D204)),7,1)))+(INT(2*VALUE(MID(UPPER(TRIM(D204)),2,1))/10)+MOD(2*VALUE(MID(UPPER(TRIM(D204)),2,1)),10))+(INT(2*VALUE(MID(UPPER(TRIM(D204)),4,1))/10)+MOD(2*VALUE(MID(UPPER(TRIM(D204)),4,1)),10))+(INT(2*VALUE(MID(UPPER(TRIM(D204)),6,1))/10)+MOD(2*VALUE(MID(UPPER(TRIM(D204)),6,1)),10))+(INT(2*VALUE(MID(UPPER(TRIM(D204)),8,1))/10)+MOD(2*VALUE(MID(UPPER(TRIM(D204)),8,1)),10)),10),10)+1,1)),"OK","REVISAR")),"REVISAR")))</f>
        <v/>
      </c>
      <c r="Q204">
        <f>IF(B204="","",IF(COUNTIFS($B$2:$B$501,B204,$D$2:$D$501,D204)&gt;1,"DUPLICADA",""))</f>
        <v/>
      </c>
      <c r="R204">
        <f>IF(A204="","",ROUNDUP(MONTH(A204)/3,0))</f>
        <v/>
      </c>
      <c r="S204" s="3" t="n"/>
    </row>
    <row r="205">
      <c r="A205" s="2" t="n"/>
      <c r="B205" s="3" t="n"/>
      <c r="C205" s="3" t="n"/>
      <c r="D205" s="3" t="n"/>
      <c r="E205" s="4" t="n"/>
      <c r="F205" s="4" t="n"/>
      <c r="G205" s="4" t="n"/>
      <c r="H205" s="4" t="n"/>
      <c r="I205" s="5">
        <f>IF(E205="","",ROUND(E205*0.21,2))</f>
        <v/>
      </c>
      <c r="J205" s="5">
        <f>IF(F205="","",ROUND(F205*0.1,2))</f>
        <v/>
      </c>
      <c r="K205" s="5">
        <f>IF(G205="","",ROUND(G205*0.04,2))</f>
        <v/>
      </c>
      <c r="L205" s="4" t="n"/>
      <c r="M205" s="4" t="n"/>
      <c r="N205" s="5">
        <f>IF(A205="","",SUM(E205:K205)-N(L205))</f>
        <v/>
      </c>
      <c r="O205">
        <f>IF(OR(A205="",M205=""),"",IF(ABS(M205-N205)&lt;=0.02,"OK","REVISAR"))</f>
        <v/>
      </c>
      <c r="P205">
        <f>IF(D205="","",IF(LEN(TRIM(D205))&lt;&gt;9,"REVISAR",IFERROR(IF(OR(ISNUMBER(VALUE(LEFT(UPPER(TRIM(D205)),1))),LEFT(UPPER(TRIM(D205)),1)="X",LEFT(UPPER(TRIM(D205)),1)="Y",LEFT(UPPER(TRIM(D205)),1)="Z"),IF(MID("TRWAGMYFPDXBNJZSQVHLCKE",MOD(VALUE(SUBSTITUTE(SUBSTITUTE(SUBSTITUTE(LEFT(UPPER(TRIM(D205)),8),"X","0"),"Y","1"),"Z","2")),23)+1,1)=RIGHT(UPPER(TRIM(D205)),1),"OK","REVISAR"),IF(OR(RIGHT(UPPER(TRIM(D205)),1)=TEXT(MOD(10-MOD((VALUE(MID(UPPER(TRIM(D205)),3,1))+VALUE(MID(UPPER(TRIM(D205)),5,1))+VALUE(MID(UPPER(TRIM(D205)),7,1)))+(INT(2*VALUE(MID(UPPER(TRIM(D205)),2,1))/10)+MOD(2*VALUE(MID(UPPER(TRIM(D205)),2,1)),10))+(INT(2*VALUE(MID(UPPER(TRIM(D205)),4,1))/10)+MOD(2*VALUE(MID(UPPER(TRIM(D205)),4,1)),10))+(INT(2*VALUE(MID(UPPER(TRIM(D205)),6,1))/10)+MOD(2*VALUE(MID(UPPER(TRIM(D205)),6,1)),10))+(INT(2*VALUE(MID(UPPER(TRIM(D205)),8,1))/10)+MOD(2*VALUE(MID(UPPER(TRIM(D205)),8,1)),10)),10),10),"0"),RIGHT(UPPER(TRIM(D205)),1)=MID("JABCDEFGHI",MOD(10-MOD((VALUE(MID(UPPER(TRIM(D205)),3,1))+VALUE(MID(UPPER(TRIM(D205)),5,1))+VALUE(MID(UPPER(TRIM(D205)),7,1)))+(INT(2*VALUE(MID(UPPER(TRIM(D205)),2,1))/10)+MOD(2*VALUE(MID(UPPER(TRIM(D205)),2,1)),10))+(INT(2*VALUE(MID(UPPER(TRIM(D205)),4,1))/10)+MOD(2*VALUE(MID(UPPER(TRIM(D205)),4,1)),10))+(INT(2*VALUE(MID(UPPER(TRIM(D205)),6,1))/10)+MOD(2*VALUE(MID(UPPER(TRIM(D205)),6,1)),10))+(INT(2*VALUE(MID(UPPER(TRIM(D205)),8,1))/10)+MOD(2*VALUE(MID(UPPER(TRIM(D205)),8,1)),10)),10),10)+1,1)),"OK","REVISAR")),"REVISAR")))</f>
        <v/>
      </c>
      <c r="Q205">
        <f>IF(B205="","",IF(COUNTIFS($B$2:$B$501,B205,$D$2:$D$501,D205)&gt;1,"DUPLICADA",""))</f>
        <v/>
      </c>
      <c r="R205">
        <f>IF(A205="","",ROUNDUP(MONTH(A205)/3,0))</f>
        <v/>
      </c>
      <c r="S205" s="3" t="n"/>
    </row>
    <row r="206">
      <c r="A206" s="2" t="n"/>
      <c r="B206" s="3" t="n"/>
      <c r="C206" s="3" t="n"/>
      <c r="D206" s="3" t="n"/>
      <c r="E206" s="4" t="n"/>
      <c r="F206" s="4" t="n"/>
      <c r="G206" s="4" t="n"/>
      <c r="H206" s="4" t="n"/>
      <c r="I206" s="5">
        <f>IF(E206="","",ROUND(E206*0.21,2))</f>
        <v/>
      </c>
      <c r="J206" s="5">
        <f>IF(F206="","",ROUND(F206*0.1,2))</f>
        <v/>
      </c>
      <c r="K206" s="5">
        <f>IF(G206="","",ROUND(G206*0.04,2))</f>
        <v/>
      </c>
      <c r="L206" s="4" t="n"/>
      <c r="M206" s="4" t="n"/>
      <c r="N206" s="5">
        <f>IF(A206="","",SUM(E206:K206)-N(L206))</f>
        <v/>
      </c>
      <c r="O206">
        <f>IF(OR(A206="",M206=""),"",IF(ABS(M206-N206)&lt;=0.02,"OK","REVISAR"))</f>
        <v/>
      </c>
      <c r="P206">
        <f>IF(D206="","",IF(LEN(TRIM(D206))&lt;&gt;9,"REVISAR",IFERROR(IF(OR(ISNUMBER(VALUE(LEFT(UPPER(TRIM(D206)),1))),LEFT(UPPER(TRIM(D206)),1)="X",LEFT(UPPER(TRIM(D206)),1)="Y",LEFT(UPPER(TRIM(D206)),1)="Z"),IF(MID("TRWAGMYFPDXBNJZSQVHLCKE",MOD(VALUE(SUBSTITUTE(SUBSTITUTE(SUBSTITUTE(LEFT(UPPER(TRIM(D206)),8),"X","0"),"Y","1"),"Z","2")),23)+1,1)=RIGHT(UPPER(TRIM(D206)),1),"OK","REVISAR"),IF(OR(RIGHT(UPPER(TRIM(D206)),1)=TEXT(MOD(10-MOD((VALUE(MID(UPPER(TRIM(D206)),3,1))+VALUE(MID(UPPER(TRIM(D206)),5,1))+VALUE(MID(UPPER(TRIM(D206)),7,1)))+(INT(2*VALUE(MID(UPPER(TRIM(D206)),2,1))/10)+MOD(2*VALUE(MID(UPPER(TRIM(D206)),2,1)),10))+(INT(2*VALUE(MID(UPPER(TRIM(D206)),4,1))/10)+MOD(2*VALUE(MID(UPPER(TRIM(D206)),4,1)),10))+(INT(2*VALUE(MID(UPPER(TRIM(D206)),6,1))/10)+MOD(2*VALUE(MID(UPPER(TRIM(D206)),6,1)),10))+(INT(2*VALUE(MID(UPPER(TRIM(D206)),8,1))/10)+MOD(2*VALUE(MID(UPPER(TRIM(D206)),8,1)),10)),10),10),"0"),RIGHT(UPPER(TRIM(D206)),1)=MID("JABCDEFGHI",MOD(10-MOD((VALUE(MID(UPPER(TRIM(D206)),3,1))+VALUE(MID(UPPER(TRIM(D206)),5,1))+VALUE(MID(UPPER(TRIM(D206)),7,1)))+(INT(2*VALUE(MID(UPPER(TRIM(D206)),2,1))/10)+MOD(2*VALUE(MID(UPPER(TRIM(D206)),2,1)),10))+(INT(2*VALUE(MID(UPPER(TRIM(D206)),4,1))/10)+MOD(2*VALUE(MID(UPPER(TRIM(D206)),4,1)),10))+(INT(2*VALUE(MID(UPPER(TRIM(D206)),6,1))/10)+MOD(2*VALUE(MID(UPPER(TRIM(D206)),6,1)),10))+(INT(2*VALUE(MID(UPPER(TRIM(D206)),8,1))/10)+MOD(2*VALUE(MID(UPPER(TRIM(D206)),8,1)),10)),10),10)+1,1)),"OK","REVISAR")),"REVISAR")))</f>
        <v/>
      </c>
      <c r="Q206">
        <f>IF(B206="","",IF(COUNTIFS($B$2:$B$501,B206,$D$2:$D$501,D206)&gt;1,"DUPLICADA",""))</f>
        <v/>
      </c>
      <c r="R206">
        <f>IF(A206="","",ROUNDUP(MONTH(A206)/3,0))</f>
        <v/>
      </c>
      <c r="S206" s="3" t="n"/>
    </row>
    <row r="207">
      <c r="A207" s="2" t="n"/>
      <c r="B207" s="3" t="n"/>
      <c r="C207" s="3" t="n"/>
      <c r="D207" s="3" t="n"/>
      <c r="E207" s="4" t="n"/>
      <c r="F207" s="4" t="n"/>
      <c r="G207" s="4" t="n"/>
      <c r="H207" s="4" t="n"/>
      <c r="I207" s="5">
        <f>IF(E207="","",ROUND(E207*0.21,2))</f>
        <v/>
      </c>
      <c r="J207" s="5">
        <f>IF(F207="","",ROUND(F207*0.1,2))</f>
        <v/>
      </c>
      <c r="K207" s="5">
        <f>IF(G207="","",ROUND(G207*0.04,2))</f>
        <v/>
      </c>
      <c r="L207" s="4" t="n"/>
      <c r="M207" s="4" t="n"/>
      <c r="N207" s="5">
        <f>IF(A207="","",SUM(E207:K207)-N(L207))</f>
        <v/>
      </c>
      <c r="O207">
        <f>IF(OR(A207="",M207=""),"",IF(ABS(M207-N207)&lt;=0.02,"OK","REVISAR"))</f>
        <v/>
      </c>
      <c r="P207">
        <f>IF(D207="","",IF(LEN(TRIM(D207))&lt;&gt;9,"REVISAR",IFERROR(IF(OR(ISNUMBER(VALUE(LEFT(UPPER(TRIM(D207)),1))),LEFT(UPPER(TRIM(D207)),1)="X",LEFT(UPPER(TRIM(D207)),1)="Y",LEFT(UPPER(TRIM(D207)),1)="Z"),IF(MID("TRWAGMYFPDXBNJZSQVHLCKE",MOD(VALUE(SUBSTITUTE(SUBSTITUTE(SUBSTITUTE(LEFT(UPPER(TRIM(D207)),8),"X","0"),"Y","1"),"Z","2")),23)+1,1)=RIGHT(UPPER(TRIM(D207)),1),"OK","REVISAR"),IF(OR(RIGHT(UPPER(TRIM(D207)),1)=TEXT(MOD(10-MOD((VALUE(MID(UPPER(TRIM(D207)),3,1))+VALUE(MID(UPPER(TRIM(D207)),5,1))+VALUE(MID(UPPER(TRIM(D207)),7,1)))+(INT(2*VALUE(MID(UPPER(TRIM(D207)),2,1))/10)+MOD(2*VALUE(MID(UPPER(TRIM(D207)),2,1)),10))+(INT(2*VALUE(MID(UPPER(TRIM(D207)),4,1))/10)+MOD(2*VALUE(MID(UPPER(TRIM(D207)),4,1)),10))+(INT(2*VALUE(MID(UPPER(TRIM(D207)),6,1))/10)+MOD(2*VALUE(MID(UPPER(TRIM(D207)),6,1)),10))+(INT(2*VALUE(MID(UPPER(TRIM(D207)),8,1))/10)+MOD(2*VALUE(MID(UPPER(TRIM(D207)),8,1)),10)),10),10),"0"),RIGHT(UPPER(TRIM(D207)),1)=MID("JABCDEFGHI",MOD(10-MOD((VALUE(MID(UPPER(TRIM(D207)),3,1))+VALUE(MID(UPPER(TRIM(D207)),5,1))+VALUE(MID(UPPER(TRIM(D207)),7,1)))+(INT(2*VALUE(MID(UPPER(TRIM(D207)),2,1))/10)+MOD(2*VALUE(MID(UPPER(TRIM(D207)),2,1)),10))+(INT(2*VALUE(MID(UPPER(TRIM(D207)),4,1))/10)+MOD(2*VALUE(MID(UPPER(TRIM(D207)),4,1)),10))+(INT(2*VALUE(MID(UPPER(TRIM(D207)),6,1))/10)+MOD(2*VALUE(MID(UPPER(TRIM(D207)),6,1)),10))+(INT(2*VALUE(MID(UPPER(TRIM(D207)),8,1))/10)+MOD(2*VALUE(MID(UPPER(TRIM(D207)),8,1)),10)),10),10)+1,1)),"OK","REVISAR")),"REVISAR")))</f>
        <v/>
      </c>
      <c r="Q207">
        <f>IF(B207="","",IF(COUNTIFS($B$2:$B$501,B207,$D$2:$D$501,D207)&gt;1,"DUPLICADA",""))</f>
        <v/>
      </c>
      <c r="R207">
        <f>IF(A207="","",ROUNDUP(MONTH(A207)/3,0))</f>
        <v/>
      </c>
      <c r="S207" s="3" t="n"/>
    </row>
    <row r="208">
      <c r="A208" s="2" t="n"/>
      <c r="B208" s="3" t="n"/>
      <c r="C208" s="3" t="n"/>
      <c r="D208" s="3" t="n"/>
      <c r="E208" s="4" t="n"/>
      <c r="F208" s="4" t="n"/>
      <c r="G208" s="4" t="n"/>
      <c r="H208" s="4" t="n"/>
      <c r="I208" s="5">
        <f>IF(E208="","",ROUND(E208*0.21,2))</f>
        <v/>
      </c>
      <c r="J208" s="5">
        <f>IF(F208="","",ROUND(F208*0.1,2))</f>
        <v/>
      </c>
      <c r="K208" s="5">
        <f>IF(G208="","",ROUND(G208*0.04,2))</f>
        <v/>
      </c>
      <c r="L208" s="4" t="n"/>
      <c r="M208" s="4" t="n"/>
      <c r="N208" s="5">
        <f>IF(A208="","",SUM(E208:K208)-N(L208))</f>
        <v/>
      </c>
      <c r="O208">
        <f>IF(OR(A208="",M208=""),"",IF(ABS(M208-N208)&lt;=0.02,"OK","REVISAR"))</f>
        <v/>
      </c>
      <c r="P208">
        <f>IF(D208="","",IF(LEN(TRIM(D208))&lt;&gt;9,"REVISAR",IFERROR(IF(OR(ISNUMBER(VALUE(LEFT(UPPER(TRIM(D208)),1))),LEFT(UPPER(TRIM(D208)),1)="X",LEFT(UPPER(TRIM(D208)),1)="Y",LEFT(UPPER(TRIM(D208)),1)="Z"),IF(MID("TRWAGMYFPDXBNJZSQVHLCKE",MOD(VALUE(SUBSTITUTE(SUBSTITUTE(SUBSTITUTE(LEFT(UPPER(TRIM(D208)),8),"X","0"),"Y","1"),"Z","2")),23)+1,1)=RIGHT(UPPER(TRIM(D208)),1),"OK","REVISAR"),IF(OR(RIGHT(UPPER(TRIM(D208)),1)=TEXT(MOD(10-MOD((VALUE(MID(UPPER(TRIM(D208)),3,1))+VALUE(MID(UPPER(TRIM(D208)),5,1))+VALUE(MID(UPPER(TRIM(D208)),7,1)))+(INT(2*VALUE(MID(UPPER(TRIM(D208)),2,1))/10)+MOD(2*VALUE(MID(UPPER(TRIM(D208)),2,1)),10))+(INT(2*VALUE(MID(UPPER(TRIM(D208)),4,1))/10)+MOD(2*VALUE(MID(UPPER(TRIM(D208)),4,1)),10))+(INT(2*VALUE(MID(UPPER(TRIM(D208)),6,1))/10)+MOD(2*VALUE(MID(UPPER(TRIM(D208)),6,1)),10))+(INT(2*VALUE(MID(UPPER(TRIM(D208)),8,1))/10)+MOD(2*VALUE(MID(UPPER(TRIM(D208)),8,1)),10)),10),10),"0"),RIGHT(UPPER(TRIM(D208)),1)=MID("JABCDEFGHI",MOD(10-MOD((VALUE(MID(UPPER(TRIM(D208)),3,1))+VALUE(MID(UPPER(TRIM(D208)),5,1))+VALUE(MID(UPPER(TRIM(D208)),7,1)))+(INT(2*VALUE(MID(UPPER(TRIM(D208)),2,1))/10)+MOD(2*VALUE(MID(UPPER(TRIM(D208)),2,1)),10))+(INT(2*VALUE(MID(UPPER(TRIM(D208)),4,1))/10)+MOD(2*VALUE(MID(UPPER(TRIM(D208)),4,1)),10))+(INT(2*VALUE(MID(UPPER(TRIM(D208)),6,1))/10)+MOD(2*VALUE(MID(UPPER(TRIM(D208)),6,1)),10))+(INT(2*VALUE(MID(UPPER(TRIM(D208)),8,1))/10)+MOD(2*VALUE(MID(UPPER(TRIM(D208)),8,1)),10)),10),10)+1,1)),"OK","REVISAR")),"REVISAR")))</f>
        <v/>
      </c>
      <c r="Q208">
        <f>IF(B208="","",IF(COUNTIFS($B$2:$B$501,B208,$D$2:$D$501,D208)&gt;1,"DUPLICADA",""))</f>
        <v/>
      </c>
      <c r="R208">
        <f>IF(A208="","",ROUNDUP(MONTH(A208)/3,0))</f>
        <v/>
      </c>
      <c r="S208" s="3" t="n"/>
    </row>
    <row r="209">
      <c r="A209" s="2" t="n"/>
      <c r="B209" s="3" t="n"/>
      <c r="C209" s="3" t="n"/>
      <c r="D209" s="3" t="n"/>
      <c r="E209" s="4" t="n"/>
      <c r="F209" s="4" t="n"/>
      <c r="G209" s="4" t="n"/>
      <c r="H209" s="4" t="n"/>
      <c r="I209" s="5">
        <f>IF(E209="","",ROUND(E209*0.21,2))</f>
        <v/>
      </c>
      <c r="J209" s="5">
        <f>IF(F209="","",ROUND(F209*0.1,2))</f>
        <v/>
      </c>
      <c r="K209" s="5">
        <f>IF(G209="","",ROUND(G209*0.04,2))</f>
        <v/>
      </c>
      <c r="L209" s="4" t="n"/>
      <c r="M209" s="4" t="n"/>
      <c r="N209" s="5">
        <f>IF(A209="","",SUM(E209:K209)-N(L209))</f>
        <v/>
      </c>
      <c r="O209">
        <f>IF(OR(A209="",M209=""),"",IF(ABS(M209-N209)&lt;=0.02,"OK","REVISAR"))</f>
        <v/>
      </c>
      <c r="P209">
        <f>IF(D209="","",IF(LEN(TRIM(D209))&lt;&gt;9,"REVISAR",IFERROR(IF(OR(ISNUMBER(VALUE(LEFT(UPPER(TRIM(D209)),1))),LEFT(UPPER(TRIM(D209)),1)="X",LEFT(UPPER(TRIM(D209)),1)="Y",LEFT(UPPER(TRIM(D209)),1)="Z"),IF(MID("TRWAGMYFPDXBNJZSQVHLCKE",MOD(VALUE(SUBSTITUTE(SUBSTITUTE(SUBSTITUTE(LEFT(UPPER(TRIM(D209)),8),"X","0"),"Y","1"),"Z","2")),23)+1,1)=RIGHT(UPPER(TRIM(D209)),1),"OK","REVISAR"),IF(OR(RIGHT(UPPER(TRIM(D209)),1)=TEXT(MOD(10-MOD((VALUE(MID(UPPER(TRIM(D209)),3,1))+VALUE(MID(UPPER(TRIM(D209)),5,1))+VALUE(MID(UPPER(TRIM(D209)),7,1)))+(INT(2*VALUE(MID(UPPER(TRIM(D209)),2,1))/10)+MOD(2*VALUE(MID(UPPER(TRIM(D209)),2,1)),10))+(INT(2*VALUE(MID(UPPER(TRIM(D209)),4,1))/10)+MOD(2*VALUE(MID(UPPER(TRIM(D209)),4,1)),10))+(INT(2*VALUE(MID(UPPER(TRIM(D209)),6,1))/10)+MOD(2*VALUE(MID(UPPER(TRIM(D209)),6,1)),10))+(INT(2*VALUE(MID(UPPER(TRIM(D209)),8,1))/10)+MOD(2*VALUE(MID(UPPER(TRIM(D209)),8,1)),10)),10),10),"0"),RIGHT(UPPER(TRIM(D209)),1)=MID("JABCDEFGHI",MOD(10-MOD((VALUE(MID(UPPER(TRIM(D209)),3,1))+VALUE(MID(UPPER(TRIM(D209)),5,1))+VALUE(MID(UPPER(TRIM(D209)),7,1)))+(INT(2*VALUE(MID(UPPER(TRIM(D209)),2,1))/10)+MOD(2*VALUE(MID(UPPER(TRIM(D209)),2,1)),10))+(INT(2*VALUE(MID(UPPER(TRIM(D209)),4,1))/10)+MOD(2*VALUE(MID(UPPER(TRIM(D209)),4,1)),10))+(INT(2*VALUE(MID(UPPER(TRIM(D209)),6,1))/10)+MOD(2*VALUE(MID(UPPER(TRIM(D209)),6,1)),10))+(INT(2*VALUE(MID(UPPER(TRIM(D209)),8,1))/10)+MOD(2*VALUE(MID(UPPER(TRIM(D209)),8,1)),10)),10),10)+1,1)),"OK","REVISAR")),"REVISAR")))</f>
        <v/>
      </c>
      <c r="Q209">
        <f>IF(B209="","",IF(COUNTIFS($B$2:$B$501,B209,$D$2:$D$501,D209)&gt;1,"DUPLICADA",""))</f>
        <v/>
      </c>
      <c r="R209">
        <f>IF(A209="","",ROUNDUP(MONTH(A209)/3,0))</f>
        <v/>
      </c>
      <c r="S209" s="3" t="n"/>
    </row>
    <row r="210">
      <c r="A210" s="2" t="n"/>
      <c r="B210" s="3" t="n"/>
      <c r="C210" s="3" t="n"/>
      <c r="D210" s="3" t="n"/>
      <c r="E210" s="4" t="n"/>
      <c r="F210" s="4" t="n"/>
      <c r="G210" s="4" t="n"/>
      <c r="H210" s="4" t="n"/>
      <c r="I210" s="5">
        <f>IF(E210="","",ROUND(E210*0.21,2))</f>
        <v/>
      </c>
      <c r="J210" s="5">
        <f>IF(F210="","",ROUND(F210*0.1,2))</f>
        <v/>
      </c>
      <c r="K210" s="5">
        <f>IF(G210="","",ROUND(G210*0.04,2))</f>
        <v/>
      </c>
      <c r="L210" s="4" t="n"/>
      <c r="M210" s="4" t="n"/>
      <c r="N210" s="5">
        <f>IF(A210="","",SUM(E210:K210)-N(L210))</f>
        <v/>
      </c>
      <c r="O210">
        <f>IF(OR(A210="",M210=""),"",IF(ABS(M210-N210)&lt;=0.02,"OK","REVISAR"))</f>
        <v/>
      </c>
      <c r="P210">
        <f>IF(D210="","",IF(LEN(TRIM(D210))&lt;&gt;9,"REVISAR",IFERROR(IF(OR(ISNUMBER(VALUE(LEFT(UPPER(TRIM(D210)),1))),LEFT(UPPER(TRIM(D210)),1)="X",LEFT(UPPER(TRIM(D210)),1)="Y",LEFT(UPPER(TRIM(D210)),1)="Z"),IF(MID("TRWAGMYFPDXBNJZSQVHLCKE",MOD(VALUE(SUBSTITUTE(SUBSTITUTE(SUBSTITUTE(LEFT(UPPER(TRIM(D210)),8),"X","0"),"Y","1"),"Z","2")),23)+1,1)=RIGHT(UPPER(TRIM(D210)),1),"OK","REVISAR"),IF(OR(RIGHT(UPPER(TRIM(D210)),1)=TEXT(MOD(10-MOD((VALUE(MID(UPPER(TRIM(D210)),3,1))+VALUE(MID(UPPER(TRIM(D210)),5,1))+VALUE(MID(UPPER(TRIM(D210)),7,1)))+(INT(2*VALUE(MID(UPPER(TRIM(D210)),2,1))/10)+MOD(2*VALUE(MID(UPPER(TRIM(D210)),2,1)),10))+(INT(2*VALUE(MID(UPPER(TRIM(D210)),4,1))/10)+MOD(2*VALUE(MID(UPPER(TRIM(D210)),4,1)),10))+(INT(2*VALUE(MID(UPPER(TRIM(D210)),6,1))/10)+MOD(2*VALUE(MID(UPPER(TRIM(D210)),6,1)),10))+(INT(2*VALUE(MID(UPPER(TRIM(D210)),8,1))/10)+MOD(2*VALUE(MID(UPPER(TRIM(D210)),8,1)),10)),10),10),"0"),RIGHT(UPPER(TRIM(D210)),1)=MID("JABCDEFGHI",MOD(10-MOD((VALUE(MID(UPPER(TRIM(D210)),3,1))+VALUE(MID(UPPER(TRIM(D210)),5,1))+VALUE(MID(UPPER(TRIM(D210)),7,1)))+(INT(2*VALUE(MID(UPPER(TRIM(D210)),2,1))/10)+MOD(2*VALUE(MID(UPPER(TRIM(D210)),2,1)),10))+(INT(2*VALUE(MID(UPPER(TRIM(D210)),4,1))/10)+MOD(2*VALUE(MID(UPPER(TRIM(D210)),4,1)),10))+(INT(2*VALUE(MID(UPPER(TRIM(D210)),6,1))/10)+MOD(2*VALUE(MID(UPPER(TRIM(D210)),6,1)),10))+(INT(2*VALUE(MID(UPPER(TRIM(D210)),8,1))/10)+MOD(2*VALUE(MID(UPPER(TRIM(D210)),8,1)),10)),10),10)+1,1)),"OK","REVISAR")),"REVISAR")))</f>
        <v/>
      </c>
      <c r="Q210">
        <f>IF(B210="","",IF(COUNTIFS($B$2:$B$501,B210,$D$2:$D$501,D210)&gt;1,"DUPLICADA",""))</f>
        <v/>
      </c>
      <c r="R210">
        <f>IF(A210="","",ROUNDUP(MONTH(A210)/3,0))</f>
        <v/>
      </c>
      <c r="S210" s="3" t="n"/>
    </row>
    <row r="211">
      <c r="A211" s="2" t="n"/>
      <c r="B211" s="3" t="n"/>
      <c r="C211" s="3" t="n"/>
      <c r="D211" s="3" t="n"/>
      <c r="E211" s="4" t="n"/>
      <c r="F211" s="4" t="n"/>
      <c r="G211" s="4" t="n"/>
      <c r="H211" s="4" t="n"/>
      <c r="I211" s="5">
        <f>IF(E211="","",ROUND(E211*0.21,2))</f>
        <v/>
      </c>
      <c r="J211" s="5">
        <f>IF(F211="","",ROUND(F211*0.1,2))</f>
        <v/>
      </c>
      <c r="K211" s="5">
        <f>IF(G211="","",ROUND(G211*0.04,2))</f>
        <v/>
      </c>
      <c r="L211" s="4" t="n"/>
      <c r="M211" s="4" t="n"/>
      <c r="N211" s="5">
        <f>IF(A211="","",SUM(E211:K211)-N(L211))</f>
        <v/>
      </c>
      <c r="O211">
        <f>IF(OR(A211="",M211=""),"",IF(ABS(M211-N211)&lt;=0.02,"OK","REVISAR"))</f>
        <v/>
      </c>
      <c r="P211">
        <f>IF(D211="","",IF(LEN(TRIM(D211))&lt;&gt;9,"REVISAR",IFERROR(IF(OR(ISNUMBER(VALUE(LEFT(UPPER(TRIM(D211)),1))),LEFT(UPPER(TRIM(D211)),1)="X",LEFT(UPPER(TRIM(D211)),1)="Y",LEFT(UPPER(TRIM(D211)),1)="Z"),IF(MID("TRWAGMYFPDXBNJZSQVHLCKE",MOD(VALUE(SUBSTITUTE(SUBSTITUTE(SUBSTITUTE(LEFT(UPPER(TRIM(D211)),8),"X","0"),"Y","1"),"Z","2")),23)+1,1)=RIGHT(UPPER(TRIM(D211)),1),"OK","REVISAR"),IF(OR(RIGHT(UPPER(TRIM(D211)),1)=TEXT(MOD(10-MOD((VALUE(MID(UPPER(TRIM(D211)),3,1))+VALUE(MID(UPPER(TRIM(D211)),5,1))+VALUE(MID(UPPER(TRIM(D211)),7,1)))+(INT(2*VALUE(MID(UPPER(TRIM(D211)),2,1))/10)+MOD(2*VALUE(MID(UPPER(TRIM(D211)),2,1)),10))+(INT(2*VALUE(MID(UPPER(TRIM(D211)),4,1))/10)+MOD(2*VALUE(MID(UPPER(TRIM(D211)),4,1)),10))+(INT(2*VALUE(MID(UPPER(TRIM(D211)),6,1))/10)+MOD(2*VALUE(MID(UPPER(TRIM(D211)),6,1)),10))+(INT(2*VALUE(MID(UPPER(TRIM(D211)),8,1))/10)+MOD(2*VALUE(MID(UPPER(TRIM(D211)),8,1)),10)),10),10),"0"),RIGHT(UPPER(TRIM(D211)),1)=MID("JABCDEFGHI",MOD(10-MOD((VALUE(MID(UPPER(TRIM(D211)),3,1))+VALUE(MID(UPPER(TRIM(D211)),5,1))+VALUE(MID(UPPER(TRIM(D211)),7,1)))+(INT(2*VALUE(MID(UPPER(TRIM(D211)),2,1))/10)+MOD(2*VALUE(MID(UPPER(TRIM(D211)),2,1)),10))+(INT(2*VALUE(MID(UPPER(TRIM(D211)),4,1))/10)+MOD(2*VALUE(MID(UPPER(TRIM(D211)),4,1)),10))+(INT(2*VALUE(MID(UPPER(TRIM(D211)),6,1))/10)+MOD(2*VALUE(MID(UPPER(TRIM(D211)),6,1)),10))+(INT(2*VALUE(MID(UPPER(TRIM(D211)),8,1))/10)+MOD(2*VALUE(MID(UPPER(TRIM(D211)),8,1)),10)),10),10)+1,1)),"OK","REVISAR")),"REVISAR")))</f>
        <v/>
      </c>
      <c r="Q211">
        <f>IF(B211="","",IF(COUNTIFS($B$2:$B$501,B211,$D$2:$D$501,D211)&gt;1,"DUPLICADA",""))</f>
        <v/>
      </c>
      <c r="R211">
        <f>IF(A211="","",ROUNDUP(MONTH(A211)/3,0))</f>
        <v/>
      </c>
      <c r="S211" s="3" t="n"/>
    </row>
    <row r="212">
      <c r="A212" s="2" t="n"/>
      <c r="B212" s="3" t="n"/>
      <c r="C212" s="3" t="n"/>
      <c r="D212" s="3" t="n"/>
      <c r="E212" s="4" t="n"/>
      <c r="F212" s="4" t="n"/>
      <c r="G212" s="4" t="n"/>
      <c r="H212" s="4" t="n"/>
      <c r="I212" s="5">
        <f>IF(E212="","",ROUND(E212*0.21,2))</f>
        <v/>
      </c>
      <c r="J212" s="5">
        <f>IF(F212="","",ROUND(F212*0.1,2))</f>
        <v/>
      </c>
      <c r="K212" s="5">
        <f>IF(G212="","",ROUND(G212*0.04,2))</f>
        <v/>
      </c>
      <c r="L212" s="4" t="n"/>
      <c r="M212" s="4" t="n"/>
      <c r="N212" s="5">
        <f>IF(A212="","",SUM(E212:K212)-N(L212))</f>
        <v/>
      </c>
      <c r="O212">
        <f>IF(OR(A212="",M212=""),"",IF(ABS(M212-N212)&lt;=0.02,"OK","REVISAR"))</f>
        <v/>
      </c>
      <c r="P212">
        <f>IF(D212="","",IF(LEN(TRIM(D212))&lt;&gt;9,"REVISAR",IFERROR(IF(OR(ISNUMBER(VALUE(LEFT(UPPER(TRIM(D212)),1))),LEFT(UPPER(TRIM(D212)),1)="X",LEFT(UPPER(TRIM(D212)),1)="Y",LEFT(UPPER(TRIM(D212)),1)="Z"),IF(MID("TRWAGMYFPDXBNJZSQVHLCKE",MOD(VALUE(SUBSTITUTE(SUBSTITUTE(SUBSTITUTE(LEFT(UPPER(TRIM(D212)),8),"X","0"),"Y","1"),"Z","2")),23)+1,1)=RIGHT(UPPER(TRIM(D212)),1),"OK","REVISAR"),IF(OR(RIGHT(UPPER(TRIM(D212)),1)=TEXT(MOD(10-MOD((VALUE(MID(UPPER(TRIM(D212)),3,1))+VALUE(MID(UPPER(TRIM(D212)),5,1))+VALUE(MID(UPPER(TRIM(D212)),7,1)))+(INT(2*VALUE(MID(UPPER(TRIM(D212)),2,1))/10)+MOD(2*VALUE(MID(UPPER(TRIM(D212)),2,1)),10))+(INT(2*VALUE(MID(UPPER(TRIM(D212)),4,1))/10)+MOD(2*VALUE(MID(UPPER(TRIM(D212)),4,1)),10))+(INT(2*VALUE(MID(UPPER(TRIM(D212)),6,1))/10)+MOD(2*VALUE(MID(UPPER(TRIM(D212)),6,1)),10))+(INT(2*VALUE(MID(UPPER(TRIM(D212)),8,1))/10)+MOD(2*VALUE(MID(UPPER(TRIM(D212)),8,1)),10)),10),10),"0"),RIGHT(UPPER(TRIM(D212)),1)=MID("JABCDEFGHI",MOD(10-MOD((VALUE(MID(UPPER(TRIM(D212)),3,1))+VALUE(MID(UPPER(TRIM(D212)),5,1))+VALUE(MID(UPPER(TRIM(D212)),7,1)))+(INT(2*VALUE(MID(UPPER(TRIM(D212)),2,1))/10)+MOD(2*VALUE(MID(UPPER(TRIM(D212)),2,1)),10))+(INT(2*VALUE(MID(UPPER(TRIM(D212)),4,1))/10)+MOD(2*VALUE(MID(UPPER(TRIM(D212)),4,1)),10))+(INT(2*VALUE(MID(UPPER(TRIM(D212)),6,1))/10)+MOD(2*VALUE(MID(UPPER(TRIM(D212)),6,1)),10))+(INT(2*VALUE(MID(UPPER(TRIM(D212)),8,1))/10)+MOD(2*VALUE(MID(UPPER(TRIM(D212)),8,1)),10)),10),10)+1,1)),"OK","REVISAR")),"REVISAR")))</f>
        <v/>
      </c>
      <c r="Q212">
        <f>IF(B212="","",IF(COUNTIFS($B$2:$B$501,B212,$D$2:$D$501,D212)&gt;1,"DUPLICADA",""))</f>
        <v/>
      </c>
      <c r="R212">
        <f>IF(A212="","",ROUNDUP(MONTH(A212)/3,0))</f>
        <v/>
      </c>
      <c r="S212" s="3" t="n"/>
    </row>
    <row r="213">
      <c r="A213" s="2" t="n"/>
      <c r="B213" s="3" t="n"/>
      <c r="C213" s="3" t="n"/>
      <c r="D213" s="3" t="n"/>
      <c r="E213" s="4" t="n"/>
      <c r="F213" s="4" t="n"/>
      <c r="G213" s="4" t="n"/>
      <c r="H213" s="4" t="n"/>
      <c r="I213" s="5">
        <f>IF(E213="","",ROUND(E213*0.21,2))</f>
        <v/>
      </c>
      <c r="J213" s="5">
        <f>IF(F213="","",ROUND(F213*0.1,2))</f>
        <v/>
      </c>
      <c r="K213" s="5">
        <f>IF(G213="","",ROUND(G213*0.04,2))</f>
        <v/>
      </c>
      <c r="L213" s="4" t="n"/>
      <c r="M213" s="4" t="n"/>
      <c r="N213" s="5">
        <f>IF(A213="","",SUM(E213:K213)-N(L213))</f>
        <v/>
      </c>
      <c r="O213">
        <f>IF(OR(A213="",M213=""),"",IF(ABS(M213-N213)&lt;=0.02,"OK","REVISAR"))</f>
        <v/>
      </c>
      <c r="P213">
        <f>IF(D213="","",IF(LEN(TRIM(D213))&lt;&gt;9,"REVISAR",IFERROR(IF(OR(ISNUMBER(VALUE(LEFT(UPPER(TRIM(D213)),1))),LEFT(UPPER(TRIM(D213)),1)="X",LEFT(UPPER(TRIM(D213)),1)="Y",LEFT(UPPER(TRIM(D213)),1)="Z"),IF(MID("TRWAGMYFPDXBNJZSQVHLCKE",MOD(VALUE(SUBSTITUTE(SUBSTITUTE(SUBSTITUTE(LEFT(UPPER(TRIM(D213)),8),"X","0"),"Y","1"),"Z","2")),23)+1,1)=RIGHT(UPPER(TRIM(D213)),1),"OK","REVISAR"),IF(OR(RIGHT(UPPER(TRIM(D213)),1)=TEXT(MOD(10-MOD((VALUE(MID(UPPER(TRIM(D213)),3,1))+VALUE(MID(UPPER(TRIM(D213)),5,1))+VALUE(MID(UPPER(TRIM(D213)),7,1)))+(INT(2*VALUE(MID(UPPER(TRIM(D213)),2,1))/10)+MOD(2*VALUE(MID(UPPER(TRIM(D213)),2,1)),10))+(INT(2*VALUE(MID(UPPER(TRIM(D213)),4,1))/10)+MOD(2*VALUE(MID(UPPER(TRIM(D213)),4,1)),10))+(INT(2*VALUE(MID(UPPER(TRIM(D213)),6,1))/10)+MOD(2*VALUE(MID(UPPER(TRIM(D213)),6,1)),10))+(INT(2*VALUE(MID(UPPER(TRIM(D213)),8,1))/10)+MOD(2*VALUE(MID(UPPER(TRIM(D213)),8,1)),10)),10),10),"0"),RIGHT(UPPER(TRIM(D213)),1)=MID("JABCDEFGHI",MOD(10-MOD((VALUE(MID(UPPER(TRIM(D213)),3,1))+VALUE(MID(UPPER(TRIM(D213)),5,1))+VALUE(MID(UPPER(TRIM(D213)),7,1)))+(INT(2*VALUE(MID(UPPER(TRIM(D213)),2,1))/10)+MOD(2*VALUE(MID(UPPER(TRIM(D213)),2,1)),10))+(INT(2*VALUE(MID(UPPER(TRIM(D213)),4,1))/10)+MOD(2*VALUE(MID(UPPER(TRIM(D213)),4,1)),10))+(INT(2*VALUE(MID(UPPER(TRIM(D213)),6,1))/10)+MOD(2*VALUE(MID(UPPER(TRIM(D213)),6,1)),10))+(INT(2*VALUE(MID(UPPER(TRIM(D213)),8,1))/10)+MOD(2*VALUE(MID(UPPER(TRIM(D213)),8,1)),10)),10),10)+1,1)),"OK","REVISAR")),"REVISAR")))</f>
        <v/>
      </c>
      <c r="Q213">
        <f>IF(B213="","",IF(COUNTIFS($B$2:$B$501,B213,$D$2:$D$501,D213)&gt;1,"DUPLICADA",""))</f>
        <v/>
      </c>
      <c r="R213">
        <f>IF(A213="","",ROUNDUP(MONTH(A213)/3,0))</f>
        <v/>
      </c>
      <c r="S213" s="3" t="n"/>
    </row>
    <row r="214">
      <c r="A214" s="2" t="n"/>
      <c r="B214" s="3" t="n"/>
      <c r="C214" s="3" t="n"/>
      <c r="D214" s="3" t="n"/>
      <c r="E214" s="4" t="n"/>
      <c r="F214" s="4" t="n"/>
      <c r="G214" s="4" t="n"/>
      <c r="H214" s="4" t="n"/>
      <c r="I214" s="5">
        <f>IF(E214="","",ROUND(E214*0.21,2))</f>
        <v/>
      </c>
      <c r="J214" s="5">
        <f>IF(F214="","",ROUND(F214*0.1,2))</f>
        <v/>
      </c>
      <c r="K214" s="5">
        <f>IF(G214="","",ROUND(G214*0.04,2))</f>
        <v/>
      </c>
      <c r="L214" s="4" t="n"/>
      <c r="M214" s="4" t="n"/>
      <c r="N214" s="5">
        <f>IF(A214="","",SUM(E214:K214)-N(L214))</f>
        <v/>
      </c>
      <c r="O214">
        <f>IF(OR(A214="",M214=""),"",IF(ABS(M214-N214)&lt;=0.02,"OK","REVISAR"))</f>
        <v/>
      </c>
      <c r="P214">
        <f>IF(D214="","",IF(LEN(TRIM(D214))&lt;&gt;9,"REVISAR",IFERROR(IF(OR(ISNUMBER(VALUE(LEFT(UPPER(TRIM(D214)),1))),LEFT(UPPER(TRIM(D214)),1)="X",LEFT(UPPER(TRIM(D214)),1)="Y",LEFT(UPPER(TRIM(D214)),1)="Z"),IF(MID("TRWAGMYFPDXBNJZSQVHLCKE",MOD(VALUE(SUBSTITUTE(SUBSTITUTE(SUBSTITUTE(LEFT(UPPER(TRIM(D214)),8),"X","0"),"Y","1"),"Z","2")),23)+1,1)=RIGHT(UPPER(TRIM(D214)),1),"OK","REVISAR"),IF(OR(RIGHT(UPPER(TRIM(D214)),1)=TEXT(MOD(10-MOD((VALUE(MID(UPPER(TRIM(D214)),3,1))+VALUE(MID(UPPER(TRIM(D214)),5,1))+VALUE(MID(UPPER(TRIM(D214)),7,1)))+(INT(2*VALUE(MID(UPPER(TRIM(D214)),2,1))/10)+MOD(2*VALUE(MID(UPPER(TRIM(D214)),2,1)),10))+(INT(2*VALUE(MID(UPPER(TRIM(D214)),4,1))/10)+MOD(2*VALUE(MID(UPPER(TRIM(D214)),4,1)),10))+(INT(2*VALUE(MID(UPPER(TRIM(D214)),6,1))/10)+MOD(2*VALUE(MID(UPPER(TRIM(D214)),6,1)),10))+(INT(2*VALUE(MID(UPPER(TRIM(D214)),8,1))/10)+MOD(2*VALUE(MID(UPPER(TRIM(D214)),8,1)),10)),10),10),"0"),RIGHT(UPPER(TRIM(D214)),1)=MID("JABCDEFGHI",MOD(10-MOD((VALUE(MID(UPPER(TRIM(D214)),3,1))+VALUE(MID(UPPER(TRIM(D214)),5,1))+VALUE(MID(UPPER(TRIM(D214)),7,1)))+(INT(2*VALUE(MID(UPPER(TRIM(D214)),2,1))/10)+MOD(2*VALUE(MID(UPPER(TRIM(D214)),2,1)),10))+(INT(2*VALUE(MID(UPPER(TRIM(D214)),4,1))/10)+MOD(2*VALUE(MID(UPPER(TRIM(D214)),4,1)),10))+(INT(2*VALUE(MID(UPPER(TRIM(D214)),6,1))/10)+MOD(2*VALUE(MID(UPPER(TRIM(D214)),6,1)),10))+(INT(2*VALUE(MID(UPPER(TRIM(D214)),8,1))/10)+MOD(2*VALUE(MID(UPPER(TRIM(D214)),8,1)),10)),10),10)+1,1)),"OK","REVISAR")),"REVISAR")))</f>
        <v/>
      </c>
      <c r="Q214">
        <f>IF(B214="","",IF(COUNTIFS($B$2:$B$501,B214,$D$2:$D$501,D214)&gt;1,"DUPLICADA",""))</f>
        <v/>
      </c>
      <c r="R214">
        <f>IF(A214="","",ROUNDUP(MONTH(A214)/3,0))</f>
        <v/>
      </c>
      <c r="S214" s="3" t="n"/>
    </row>
    <row r="215">
      <c r="A215" s="2" t="n"/>
      <c r="B215" s="3" t="n"/>
      <c r="C215" s="3" t="n"/>
      <c r="D215" s="3" t="n"/>
      <c r="E215" s="4" t="n"/>
      <c r="F215" s="4" t="n"/>
      <c r="G215" s="4" t="n"/>
      <c r="H215" s="4" t="n"/>
      <c r="I215" s="5">
        <f>IF(E215="","",ROUND(E215*0.21,2))</f>
        <v/>
      </c>
      <c r="J215" s="5">
        <f>IF(F215="","",ROUND(F215*0.1,2))</f>
        <v/>
      </c>
      <c r="K215" s="5">
        <f>IF(G215="","",ROUND(G215*0.04,2))</f>
        <v/>
      </c>
      <c r="L215" s="4" t="n"/>
      <c r="M215" s="4" t="n"/>
      <c r="N215" s="5">
        <f>IF(A215="","",SUM(E215:K215)-N(L215))</f>
        <v/>
      </c>
      <c r="O215">
        <f>IF(OR(A215="",M215=""),"",IF(ABS(M215-N215)&lt;=0.02,"OK","REVISAR"))</f>
        <v/>
      </c>
      <c r="P215">
        <f>IF(D215="","",IF(LEN(TRIM(D215))&lt;&gt;9,"REVISAR",IFERROR(IF(OR(ISNUMBER(VALUE(LEFT(UPPER(TRIM(D215)),1))),LEFT(UPPER(TRIM(D215)),1)="X",LEFT(UPPER(TRIM(D215)),1)="Y",LEFT(UPPER(TRIM(D215)),1)="Z"),IF(MID("TRWAGMYFPDXBNJZSQVHLCKE",MOD(VALUE(SUBSTITUTE(SUBSTITUTE(SUBSTITUTE(LEFT(UPPER(TRIM(D215)),8),"X","0"),"Y","1"),"Z","2")),23)+1,1)=RIGHT(UPPER(TRIM(D215)),1),"OK","REVISAR"),IF(OR(RIGHT(UPPER(TRIM(D215)),1)=TEXT(MOD(10-MOD((VALUE(MID(UPPER(TRIM(D215)),3,1))+VALUE(MID(UPPER(TRIM(D215)),5,1))+VALUE(MID(UPPER(TRIM(D215)),7,1)))+(INT(2*VALUE(MID(UPPER(TRIM(D215)),2,1))/10)+MOD(2*VALUE(MID(UPPER(TRIM(D215)),2,1)),10))+(INT(2*VALUE(MID(UPPER(TRIM(D215)),4,1))/10)+MOD(2*VALUE(MID(UPPER(TRIM(D215)),4,1)),10))+(INT(2*VALUE(MID(UPPER(TRIM(D215)),6,1))/10)+MOD(2*VALUE(MID(UPPER(TRIM(D215)),6,1)),10))+(INT(2*VALUE(MID(UPPER(TRIM(D215)),8,1))/10)+MOD(2*VALUE(MID(UPPER(TRIM(D215)),8,1)),10)),10),10),"0"),RIGHT(UPPER(TRIM(D215)),1)=MID("JABCDEFGHI",MOD(10-MOD((VALUE(MID(UPPER(TRIM(D215)),3,1))+VALUE(MID(UPPER(TRIM(D215)),5,1))+VALUE(MID(UPPER(TRIM(D215)),7,1)))+(INT(2*VALUE(MID(UPPER(TRIM(D215)),2,1))/10)+MOD(2*VALUE(MID(UPPER(TRIM(D215)),2,1)),10))+(INT(2*VALUE(MID(UPPER(TRIM(D215)),4,1))/10)+MOD(2*VALUE(MID(UPPER(TRIM(D215)),4,1)),10))+(INT(2*VALUE(MID(UPPER(TRIM(D215)),6,1))/10)+MOD(2*VALUE(MID(UPPER(TRIM(D215)),6,1)),10))+(INT(2*VALUE(MID(UPPER(TRIM(D215)),8,1))/10)+MOD(2*VALUE(MID(UPPER(TRIM(D215)),8,1)),10)),10),10)+1,1)),"OK","REVISAR")),"REVISAR")))</f>
        <v/>
      </c>
      <c r="Q215">
        <f>IF(B215="","",IF(COUNTIFS($B$2:$B$501,B215,$D$2:$D$501,D215)&gt;1,"DUPLICADA",""))</f>
        <v/>
      </c>
      <c r="R215">
        <f>IF(A215="","",ROUNDUP(MONTH(A215)/3,0))</f>
        <v/>
      </c>
      <c r="S215" s="3" t="n"/>
    </row>
    <row r="216">
      <c r="A216" s="2" t="n"/>
      <c r="B216" s="3" t="n"/>
      <c r="C216" s="3" t="n"/>
      <c r="D216" s="3" t="n"/>
      <c r="E216" s="4" t="n"/>
      <c r="F216" s="4" t="n"/>
      <c r="G216" s="4" t="n"/>
      <c r="H216" s="4" t="n"/>
      <c r="I216" s="5">
        <f>IF(E216="","",ROUND(E216*0.21,2))</f>
        <v/>
      </c>
      <c r="J216" s="5">
        <f>IF(F216="","",ROUND(F216*0.1,2))</f>
        <v/>
      </c>
      <c r="K216" s="5">
        <f>IF(G216="","",ROUND(G216*0.04,2))</f>
        <v/>
      </c>
      <c r="L216" s="4" t="n"/>
      <c r="M216" s="4" t="n"/>
      <c r="N216" s="5">
        <f>IF(A216="","",SUM(E216:K216)-N(L216))</f>
        <v/>
      </c>
      <c r="O216">
        <f>IF(OR(A216="",M216=""),"",IF(ABS(M216-N216)&lt;=0.02,"OK","REVISAR"))</f>
        <v/>
      </c>
      <c r="P216">
        <f>IF(D216="","",IF(LEN(TRIM(D216))&lt;&gt;9,"REVISAR",IFERROR(IF(OR(ISNUMBER(VALUE(LEFT(UPPER(TRIM(D216)),1))),LEFT(UPPER(TRIM(D216)),1)="X",LEFT(UPPER(TRIM(D216)),1)="Y",LEFT(UPPER(TRIM(D216)),1)="Z"),IF(MID("TRWAGMYFPDXBNJZSQVHLCKE",MOD(VALUE(SUBSTITUTE(SUBSTITUTE(SUBSTITUTE(LEFT(UPPER(TRIM(D216)),8),"X","0"),"Y","1"),"Z","2")),23)+1,1)=RIGHT(UPPER(TRIM(D216)),1),"OK","REVISAR"),IF(OR(RIGHT(UPPER(TRIM(D216)),1)=TEXT(MOD(10-MOD((VALUE(MID(UPPER(TRIM(D216)),3,1))+VALUE(MID(UPPER(TRIM(D216)),5,1))+VALUE(MID(UPPER(TRIM(D216)),7,1)))+(INT(2*VALUE(MID(UPPER(TRIM(D216)),2,1))/10)+MOD(2*VALUE(MID(UPPER(TRIM(D216)),2,1)),10))+(INT(2*VALUE(MID(UPPER(TRIM(D216)),4,1))/10)+MOD(2*VALUE(MID(UPPER(TRIM(D216)),4,1)),10))+(INT(2*VALUE(MID(UPPER(TRIM(D216)),6,1))/10)+MOD(2*VALUE(MID(UPPER(TRIM(D216)),6,1)),10))+(INT(2*VALUE(MID(UPPER(TRIM(D216)),8,1))/10)+MOD(2*VALUE(MID(UPPER(TRIM(D216)),8,1)),10)),10),10),"0"),RIGHT(UPPER(TRIM(D216)),1)=MID("JABCDEFGHI",MOD(10-MOD((VALUE(MID(UPPER(TRIM(D216)),3,1))+VALUE(MID(UPPER(TRIM(D216)),5,1))+VALUE(MID(UPPER(TRIM(D216)),7,1)))+(INT(2*VALUE(MID(UPPER(TRIM(D216)),2,1))/10)+MOD(2*VALUE(MID(UPPER(TRIM(D216)),2,1)),10))+(INT(2*VALUE(MID(UPPER(TRIM(D216)),4,1))/10)+MOD(2*VALUE(MID(UPPER(TRIM(D216)),4,1)),10))+(INT(2*VALUE(MID(UPPER(TRIM(D216)),6,1))/10)+MOD(2*VALUE(MID(UPPER(TRIM(D216)),6,1)),10))+(INT(2*VALUE(MID(UPPER(TRIM(D216)),8,1))/10)+MOD(2*VALUE(MID(UPPER(TRIM(D216)),8,1)),10)),10),10)+1,1)),"OK","REVISAR")),"REVISAR")))</f>
        <v/>
      </c>
      <c r="Q216">
        <f>IF(B216="","",IF(COUNTIFS($B$2:$B$501,B216,$D$2:$D$501,D216)&gt;1,"DUPLICADA",""))</f>
        <v/>
      </c>
      <c r="R216">
        <f>IF(A216="","",ROUNDUP(MONTH(A216)/3,0))</f>
        <v/>
      </c>
      <c r="S216" s="3" t="n"/>
    </row>
    <row r="217">
      <c r="A217" s="2" t="n"/>
      <c r="B217" s="3" t="n"/>
      <c r="C217" s="3" t="n"/>
      <c r="D217" s="3" t="n"/>
      <c r="E217" s="4" t="n"/>
      <c r="F217" s="4" t="n"/>
      <c r="G217" s="4" t="n"/>
      <c r="H217" s="4" t="n"/>
      <c r="I217" s="5">
        <f>IF(E217="","",ROUND(E217*0.21,2))</f>
        <v/>
      </c>
      <c r="J217" s="5">
        <f>IF(F217="","",ROUND(F217*0.1,2))</f>
        <v/>
      </c>
      <c r="K217" s="5">
        <f>IF(G217="","",ROUND(G217*0.04,2))</f>
        <v/>
      </c>
      <c r="L217" s="4" t="n"/>
      <c r="M217" s="4" t="n"/>
      <c r="N217" s="5">
        <f>IF(A217="","",SUM(E217:K217)-N(L217))</f>
        <v/>
      </c>
      <c r="O217">
        <f>IF(OR(A217="",M217=""),"",IF(ABS(M217-N217)&lt;=0.02,"OK","REVISAR"))</f>
        <v/>
      </c>
      <c r="P217">
        <f>IF(D217="","",IF(LEN(TRIM(D217))&lt;&gt;9,"REVISAR",IFERROR(IF(OR(ISNUMBER(VALUE(LEFT(UPPER(TRIM(D217)),1))),LEFT(UPPER(TRIM(D217)),1)="X",LEFT(UPPER(TRIM(D217)),1)="Y",LEFT(UPPER(TRIM(D217)),1)="Z"),IF(MID("TRWAGMYFPDXBNJZSQVHLCKE",MOD(VALUE(SUBSTITUTE(SUBSTITUTE(SUBSTITUTE(LEFT(UPPER(TRIM(D217)),8),"X","0"),"Y","1"),"Z","2")),23)+1,1)=RIGHT(UPPER(TRIM(D217)),1),"OK","REVISAR"),IF(OR(RIGHT(UPPER(TRIM(D217)),1)=TEXT(MOD(10-MOD((VALUE(MID(UPPER(TRIM(D217)),3,1))+VALUE(MID(UPPER(TRIM(D217)),5,1))+VALUE(MID(UPPER(TRIM(D217)),7,1)))+(INT(2*VALUE(MID(UPPER(TRIM(D217)),2,1))/10)+MOD(2*VALUE(MID(UPPER(TRIM(D217)),2,1)),10))+(INT(2*VALUE(MID(UPPER(TRIM(D217)),4,1))/10)+MOD(2*VALUE(MID(UPPER(TRIM(D217)),4,1)),10))+(INT(2*VALUE(MID(UPPER(TRIM(D217)),6,1))/10)+MOD(2*VALUE(MID(UPPER(TRIM(D217)),6,1)),10))+(INT(2*VALUE(MID(UPPER(TRIM(D217)),8,1))/10)+MOD(2*VALUE(MID(UPPER(TRIM(D217)),8,1)),10)),10),10),"0"),RIGHT(UPPER(TRIM(D217)),1)=MID("JABCDEFGHI",MOD(10-MOD((VALUE(MID(UPPER(TRIM(D217)),3,1))+VALUE(MID(UPPER(TRIM(D217)),5,1))+VALUE(MID(UPPER(TRIM(D217)),7,1)))+(INT(2*VALUE(MID(UPPER(TRIM(D217)),2,1))/10)+MOD(2*VALUE(MID(UPPER(TRIM(D217)),2,1)),10))+(INT(2*VALUE(MID(UPPER(TRIM(D217)),4,1))/10)+MOD(2*VALUE(MID(UPPER(TRIM(D217)),4,1)),10))+(INT(2*VALUE(MID(UPPER(TRIM(D217)),6,1))/10)+MOD(2*VALUE(MID(UPPER(TRIM(D217)),6,1)),10))+(INT(2*VALUE(MID(UPPER(TRIM(D217)),8,1))/10)+MOD(2*VALUE(MID(UPPER(TRIM(D217)),8,1)),10)),10),10)+1,1)),"OK","REVISAR")),"REVISAR")))</f>
        <v/>
      </c>
      <c r="Q217">
        <f>IF(B217="","",IF(COUNTIFS($B$2:$B$501,B217,$D$2:$D$501,D217)&gt;1,"DUPLICADA",""))</f>
        <v/>
      </c>
      <c r="R217">
        <f>IF(A217="","",ROUNDUP(MONTH(A217)/3,0))</f>
        <v/>
      </c>
      <c r="S217" s="3" t="n"/>
    </row>
    <row r="218">
      <c r="A218" s="2" t="n"/>
      <c r="B218" s="3" t="n"/>
      <c r="C218" s="3" t="n"/>
      <c r="D218" s="3" t="n"/>
      <c r="E218" s="4" t="n"/>
      <c r="F218" s="4" t="n"/>
      <c r="G218" s="4" t="n"/>
      <c r="H218" s="4" t="n"/>
      <c r="I218" s="5">
        <f>IF(E218="","",ROUND(E218*0.21,2))</f>
        <v/>
      </c>
      <c r="J218" s="5">
        <f>IF(F218="","",ROUND(F218*0.1,2))</f>
        <v/>
      </c>
      <c r="K218" s="5">
        <f>IF(G218="","",ROUND(G218*0.04,2))</f>
        <v/>
      </c>
      <c r="L218" s="4" t="n"/>
      <c r="M218" s="4" t="n"/>
      <c r="N218" s="5">
        <f>IF(A218="","",SUM(E218:K218)-N(L218))</f>
        <v/>
      </c>
      <c r="O218">
        <f>IF(OR(A218="",M218=""),"",IF(ABS(M218-N218)&lt;=0.02,"OK","REVISAR"))</f>
        <v/>
      </c>
      <c r="P218">
        <f>IF(D218="","",IF(LEN(TRIM(D218))&lt;&gt;9,"REVISAR",IFERROR(IF(OR(ISNUMBER(VALUE(LEFT(UPPER(TRIM(D218)),1))),LEFT(UPPER(TRIM(D218)),1)="X",LEFT(UPPER(TRIM(D218)),1)="Y",LEFT(UPPER(TRIM(D218)),1)="Z"),IF(MID("TRWAGMYFPDXBNJZSQVHLCKE",MOD(VALUE(SUBSTITUTE(SUBSTITUTE(SUBSTITUTE(LEFT(UPPER(TRIM(D218)),8),"X","0"),"Y","1"),"Z","2")),23)+1,1)=RIGHT(UPPER(TRIM(D218)),1),"OK","REVISAR"),IF(OR(RIGHT(UPPER(TRIM(D218)),1)=TEXT(MOD(10-MOD((VALUE(MID(UPPER(TRIM(D218)),3,1))+VALUE(MID(UPPER(TRIM(D218)),5,1))+VALUE(MID(UPPER(TRIM(D218)),7,1)))+(INT(2*VALUE(MID(UPPER(TRIM(D218)),2,1))/10)+MOD(2*VALUE(MID(UPPER(TRIM(D218)),2,1)),10))+(INT(2*VALUE(MID(UPPER(TRIM(D218)),4,1))/10)+MOD(2*VALUE(MID(UPPER(TRIM(D218)),4,1)),10))+(INT(2*VALUE(MID(UPPER(TRIM(D218)),6,1))/10)+MOD(2*VALUE(MID(UPPER(TRIM(D218)),6,1)),10))+(INT(2*VALUE(MID(UPPER(TRIM(D218)),8,1))/10)+MOD(2*VALUE(MID(UPPER(TRIM(D218)),8,1)),10)),10),10),"0"),RIGHT(UPPER(TRIM(D218)),1)=MID("JABCDEFGHI",MOD(10-MOD((VALUE(MID(UPPER(TRIM(D218)),3,1))+VALUE(MID(UPPER(TRIM(D218)),5,1))+VALUE(MID(UPPER(TRIM(D218)),7,1)))+(INT(2*VALUE(MID(UPPER(TRIM(D218)),2,1))/10)+MOD(2*VALUE(MID(UPPER(TRIM(D218)),2,1)),10))+(INT(2*VALUE(MID(UPPER(TRIM(D218)),4,1))/10)+MOD(2*VALUE(MID(UPPER(TRIM(D218)),4,1)),10))+(INT(2*VALUE(MID(UPPER(TRIM(D218)),6,1))/10)+MOD(2*VALUE(MID(UPPER(TRIM(D218)),6,1)),10))+(INT(2*VALUE(MID(UPPER(TRIM(D218)),8,1))/10)+MOD(2*VALUE(MID(UPPER(TRIM(D218)),8,1)),10)),10),10)+1,1)),"OK","REVISAR")),"REVISAR")))</f>
        <v/>
      </c>
      <c r="Q218">
        <f>IF(B218="","",IF(COUNTIFS($B$2:$B$501,B218,$D$2:$D$501,D218)&gt;1,"DUPLICADA",""))</f>
        <v/>
      </c>
      <c r="R218">
        <f>IF(A218="","",ROUNDUP(MONTH(A218)/3,0))</f>
        <v/>
      </c>
      <c r="S218" s="3" t="n"/>
    </row>
    <row r="219">
      <c r="A219" s="2" t="n"/>
      <c r="B219" s="3" t="n"/>
      <c r="C219" s="3" t="n"/>
      <c r="D219" s="3" t="n"/>
      <c r="E219" s="4" t="n"/>
      <c r="F219" s="4" t="n"/>
      <c r="G219" s="4" t="n"/>
      <c r="H219" s="4" t="n"/>
      <c r="I219" s="5">
        <f>IF(E219="","",ROUND(E219*0.21,2))</f>
        <v/>
      </c>
      <c r="J219" s="5">
        <f>IF(F219="","",ROUND(F219*0.1,2))</f>
        <v/>
      </c>
      <c r="K219" s="5">
        <f>IF(G219="","",ROUND(G219*0.04,2))</f>
        <v/>
      </c>
      <c r="L219" s="4" t="n"/>
      <c r="M219" s="4" t="n"/>
      <c r="N219" s="5">
        <f>IF(A219="","",SUM(E219:K219)-N(L219))</f>
        <v/>
      </c>
      <c r="O219">
        <f>IF(OR(A219="",M219=""),"",IF(ABS(M219-N219)&lt;=0.02,"OK","REVISAR"))</f>
        <v/>
      </c>
      <c r="P219">
        <f>IF(D219="","",IF(LEN(TRIM(D219))&lt;&gt;9,"REVISAR",IFERROR(IF(OR(ISNUMBER(VALUE(LEFT(UPPER(TRIM(D219)),1))),LEFT(UPPER(TRIM(D219)),1)="X",LEFT(UPPER(TRIM(D219)),1)="Y",LEFT(UPPER(TRIM(D219)),1)="Z"),IF(MID("TRWAGMYFPDXBNJZSQVHLCKE",MOD(VALUE(SUBSTITUTE(SUBSTITUTE(SUBSTITUTE(LEFT(UPPER(TRIM(D219)),8),"X","0"),"Y","1"),"Z","2")),23)+1,1)=RIGHT(UPPER(TRIM(D219)),1),"OK","REVISAR"),IF(OR(RIGHT(UPPER(TRIM(D219)),1)=TEXT(MOD(10-MOD((VALUE(MID(UPPER(TRIM(D219)),3,1))+VALUE(MID(UPPER(TRIM(D219)),5,1))+VALUE(MID(UPPER(TRIM(D219)),7,1)))+(INT(2*VALUE(MID(UPPER(TRIM(D219)),2,1))/10)+MOD(2*VALUE(MID(UPPER(TRIM(D219)),2,1)),10))+(INT(2*VALUE(MID(UPPER(TRIM(D219)),4,1))/10)+MOD(2*VALUE(MID(UPPER(TRIM(D219)),4,1)),10))+(INT(2*VALUE(MID(UPPER(TRIM(D219)),6,1))/10)+MOD(2*VALUE(MID(UPPER(TRIM(D219)),6,1)),10))+(INT(2*VALUE(MID(UPPER(TRIM(D219)),8,1))/10)+MOD(2*VALUE(MID(UPPER(TRIM(D219)),8,1)),10)),10),10),"0"),RIGHT(UPPER(TRIM(D219)),1)=MID("JABCDEFGHI",MOD(10-MOD((VALUE(MID(UPPER(TRIM(D219)),3,1))+VALUE(MID(UPPER(TRIM(D219)),5,1))+VALUE(MID(UPPER(TRIM(D219)),7,1)))+(INT(2*VALUE(MID(UPPER(TRIM(D219)),2,1))/10)+MOD(2*VALUE(MID(UPPER(TRIM(D219)),2,1)),10))+(INT(2*VALUE(MID(UPPER(TRIM(D219)),4,1))/10)+MOD(2*VALUE(MID(UPPER(TRIM(D219)),4,1)),10))+(INT(2*VALUE(MID(UPPER(TRIM(D219)),6,1))/10)+MOD(2*VALUE(MID(UPPER(TRIM(D219)),6,1)),10))+(INT(2*VALUE(MID(UPPER(TRIM(D219)),8,1))/10)+MOD(2*VALUE(MID(UPPER(TRIM(D219)),8,1)),10)),10),10)+1,1)),"OK","REVISAR")),"REVISAR")))</f>
        <v/>
      </c>
      <c r="Q219">
        <f>IF(B219="","",IF(COUNTIFS($B$2:$B$501,B219,$D$2:$D$501,D219)&gt;1,"DUPLICADA",""))</f>
        <v/>
      </c>
      <c r="R219">
        <f>IF(A219="","",ROUNDUP(MONTH(A219)/3,0))</f>
        <v/>
      </c>
      <c r="S219" s="3" t="n"/>
    </row>
    <row r="220">
      <c r="A220" s="2" t="n"/>
      <c r="B220" s="3" t="n"/>
      <c r="C220" s="3" t="n"/>
      <c r="D220" s="3" t="n"/>
      <c r="E220" s="4" t="n"/>
      <c r="F220" s="4" t="n"/>
      <c r="G220" s="4" t="n"/>
      <c r="H220" s="4" t="n"/>
      <c r="I220" s="5">
        <f>IF(E220="","",ROUND(E220*0.21,2))</f>
        <v/>
      </c>
      <c r="J220" s="5">
        <f>IF(F220="","",ROUND(F220*0.1,2))</f>
        <v/>
      </c>
      <c r="K220" s="5">
        <f>IF(G220="","",ROUND(G220*0.04,2))</f>
        <v/>
      </c>
      <c r="L220" s="4" t="n"/>
      <c r="M220" s="4" t="n"/>
      <c r="N220" s="5">
        <f>IF(A220="","",SUM(E220:K220)-N(L220))</f>
        <v/>
      </c>
      <c r="O220">
        <f>IF(OR(A220="",M220=""),"",IF(ABS(M220-N220)&lt;=0.02,"OK","REVISAR"))</f>
        <v/>
      </c>
      <c r="P220">
        <f>IF(D220="","",IF(LEN(TRIM(D220))&lt;&gt;9,"REVISAR",IFERROR(IF(OR(ISNUMBER(VALUE(LEFT(UPPER(TRIM(D220)),1))),LEFT(UPPER(TRIM(D220)),1)="X",LEFT(UPPER(TRIM(D220)),1)="Y",LEFT(UPPER(TRIM(D220)),1)="Z"),IF(MID("TRWAGMYFPDXBNJZSQVHLCKE",MOD(VALUE(SUBSTITUTE(SUBSTITUTE(SUBSTITUTE(LEFT(UPPER(TRIM(D220)),8),"X","0"),"Y","1"),"Z","2")),23)+1,1)=RIGHT(UPPER(TRIM(D220)),1),"OK","REVISAR"),IF(OR(RIGHT(UPPER(TRIM(D220)),1)=TEXT(MOD(10-MOD((VALUE(MID(UPPER(TRIM(D220)),3,1))+VALUE(MID(UPPER(TRIM(D220)),5,1))+VALUE(MID(UPPER(TRIM(D220)),7,1)))+(INT(2*VALUE(MID(UPPER(TRIM(D220)),2,1))/10)+MOD(2*VALUE(MID(UPPER(TRIM(D220)),2,1)),10))+(INT(2*VALUE(MID(UPPER(TRIM(D220)),4,1))/10)+MOD(2*VALUE(MID(UPPER(TRIM(D220)),4,1)),10))+(INT(2*VALUE(MID(UPPER(TRIM(D220)),6,1))/10)+MOD(2*VALUE(MID(UPPER(TRIM(D220)),6,1)),10))+(INT(2*VALUE(MID(UPPER(TRIM(D220)),8,1))/10)+MOD(2*VALUE(MID(UPPER(TRIM(D220)),8,1)),10)),10),10),"0"),RIGHT(UPPER(TRIM(D220)),1)=MID("JABCDEFGHI",MOD(10-MOD((VALUE(MID(UPPER(TRIM(D220)),3,1))+VALUE(MID(UPPER(TRIM(D220)),5,1))+VALUE(MID(UPPER(TRIM(D220)),7,1)))+(INT(2*VALUE(MID(UPPER(TRIM(D220)),2,1))/10)+MOD(2*VALUE(MID(UPPER(TRIM(D220)),2,1)),10))+(INT(2*VALUE(MID(UPPER(TRIM(D220)),4,1))/10)+MOD(2*VALUE(MID(UPPER(TRIM(D220)),4,1)),10))+(INT(2*VALUE(MID(UPPER(TRIM(D220)),6,1))/10)+MOD(2*VALUE(MID(UPPER(TRIM(D220)),6,1)),10))+(INT(2*VALUE(MID(UPPER(TRIM(D220)),8,1))/10)+MOD(2*VALUE(MID(UPPER(TRIM(D220)),8,1)),10)),10),10)+1,1)),"OK","REVISAR")),"REVISAR")))</f>
        <v/>
      </c>
      <c r="Q220">
        <f>IF(B220="","",IF(COUNTIFS($B$2:$B$501,B220,$D$2:$D$501,D220)&gt;1,"DUPLICADA",""))</f>
        <v/>
      </c>
      <c r="R220">
        <f>IF(A220="","",ROUNDUP(MONTH(A220)/3,0))</f>
        <v/>
      </c>
      <c r="S220" s="3" t="n"/>
    </row>
    <row r="221">
      <c r="A221" s="2" t="n"/>
      <c r="B221" s="3" t="n"/>
      <c r="C221" s="3" t="n"/>
      <c r="D221" s="3" t="n"/>
      <c r="E221" s="4" t="n"/>
      <c r="F221" s="4" t="n"/>
      <c r="G221" s="4" t="n"/>
      <c r="H221" s="4" t="n"/>
      <c r="I221" s="5">
        <f>IF(E221="","",ROUND(E221*0.21,2))</f>
        <v/>
      </c>
      <c r="J221" s="5">
        <f>IF(F221="","",ROUND(F221*0.1,2))</f>
        <v/>
      </c>
      <c r="K221" s="5">
        <f>IF(G221="","",ROUND(G221*0.04,2))</f>
        <v/>
      </c>
      <c r="L221" s="4" t="n"/>
      <c r="M221" s="4" t="n"/>
      <c r="N221" s="5">
        <f>IF(A221="","",SUM(E221:K221)-N(L221))</f>
        <v/>
      </c>
      <c r="O221">
        <f>IF(OR(A221="",M221=""),"",IF(ABS(M221-N221)&lt;=0.02,"OK","REVISAR"))</f>
        <v/>
      </c>
      <c r="P221">
        <f>IF(D221="","",IF(LEN(TRIM(D221))&lt;&gt;9,"REVISAR",IFERROR(IF(OR(ISNUMBER(VALUE(LEFT(UPPER(TRIM(D221)),1))),LEFT(UPPER(TRIM(D221)),1)="X",LEFT(UPPER(TRIM(D221)),1)="Y",LEFT(UPPER(TRIM(D221)),1)="Z"),IF(MID("TRWAGMYFPDXBNJZSQVHLCKE",MOD(VALUE(SUBSTITUTE(SUBSTITUTE(SUBSTITUTE(LEFT(UPPER(TRIM(D221)),8),"X","0"),"Y","1"),"Z","2")),23)+1,1)=RIGHT(UPPER(TRIM(D221)),1),"OK","REVISAR"),IF(OR(RIGHT(UPPER(TRIM(D221)),1)=TEXT(MOD(10-MOD((VALUE(MID(UPPER(TRIM(D221)),3,1))+VALUE(MID(UPPER(TRIM(D221)),5,1))+VALUE(MID(UPPER(TRIM(D221)),7,1)))+(INT(2*VALUE(MID(UPPER(TRIM(D221)),2,1))/10)+MOD(2*VALUE(MID(UPPER(TRIM(D221)),2,1)),10))+(INT(2*VALUE(MID(UPPER(TRIM(D221)),4,1))/10)+MOD(2*VALUE(MID(UPPER(TRIM(D221)),4,1)),10))+(INT(2*VALUE(MID(UPPER(TRIM(D221)),6,1))/10)+MOD(2*VALUE(MID(UPPER(TRIM(D221)),6,1)),10))+(INT(2*VALUE(MID(UPPER(TRIM(D221)),8,1))/10)+MOD(2*VALUE(MID(UPPER(TRIM(D221)),8,1)),10)),10),10),"0"),RIGHT(UPPER(TRIM(D221)),1)=MID("JABCDEFGHI",MOD(10-MOD((VALUE(MID(UPPER(TRIM(D221)),3,1))+VALUE(MID(UPPER(TRIM(D221)),5,1))+VALUE(MID(UPPER(TRIM(D221)),7,1)))+(INT(2*VALUE(MID(UPPER(TRIM(D221)),2,1))/10)+MOD(2*VALUE(MID(UPPER(TRIM(D221)),2,1)),10))+(INT(2*VALUE(MID(UPPER(TRIM(D221)),4,1))/10)+MOD(2*VALUE(MID(UPPER(TRIM(D221)),4,1)),10))+(INT(2*VALUE(MID(UPPER(TRIM(D221)),6,1))/10)+MOD(2*VALUE(MID(UPPER(TRIM(D221)),6,1)),10))+(INT(2*VALUE(MID(UPPER(TRIM(D221)),8,1))/10)+MOD(2*VALUE(MID(UPPER(TRIM(D221)),8,1)),10)),10),10)+1,1)),"OK","REVISAR")),"REVISAR")))</f>
        <v/>
      </c>
      <c r="Q221">
        <f>IF(B221="","",IF(COUNTIFS($B$2:$B$501,B221,$D$2:$D$501,D221)&gt;1,"DUPLICADA",""))</f>
        <v/>
      </c>
      <c r="R221">
        <f>IF(A221="","",ROUNDUP(MONTH(A221)/3,0))</f>
        <v/>
      </c>
      <c r="S221" s="3" t="n"/>
    </row>
    <row r="222">
      <c r="A222" s="2" t="n"/>
      <c r="B222" s="3" t="n"/>
      <c r="C222" s="3" t="n"/>
      <c r="D222" s="3" t="n"/>
      <c r="E222" s="4" t="n"/>
      <c r="F222" s="4" t="n"/>
      <c r="G222" s="4" t="n"/>
      <c r="H222" s="4" t="n"/>
      <c r="I222" s="5">
        <f>IF(E222="","",ROUND(E222*0.21,2))</f>
        <v/>
      </c>
      <c r="J222" s="5">
        <f>IF(F222="","",ROUND(F222*0.1,2))</f>
        <v/>
      </c>
      <c r="K222" s="5">
        <f>IF(G222="","",ROUND(G222*0.04,2))</f>
        <v/>
      </c>
      <c r="L222" s="4" t="n"/>
      <c r="M222" s="4" t="n"/>
      <c r="N222" s="5">
        <f>IF(A222="","",SUM(E222:K222)-N(L222))</f>
        <v/>
      </c>
      <c r="O222">
        <f>IF(OR(A222="",M222=""),"",IF(ABS(M222-N222)&lt;=0.02,"OK","REVISAR"))</f>
        <v/>
      </c>
      <c r="P222">
        <f>IF(D222="","",IF(LEN(TRIM(D222))&lt;&gt;9,"REVISAR",IFERROR(IF(OR(ISNUMBER(VALUE(LEFT(UPPER(TRIM(D222)),1))),LEFT(UPPER(TRIM(D222)),1)="X",LEFT(UPPER(TRIM(D222)),1)="Y",LEFT(UPPER(TRIM(D222)),1)="Z"),IF(MID("TRWAGMYFPDXBNJZSQVHLCKE",MOD(VALUE(SUBSTITUTE(SUBSTITUTE(SUBSTITUTE(LEFT(UPPER(TRIM(D222)),8),"X","0"),"Y","1"),"Z","2")),23)+1,1)=RIGHT(UPPER(TRIM(D222)),1),"OK","REVISAR"),IF(OR(RIGHT(UPPER(TRIM(D222)),1)=TEXT(MOD(10-MOD((VALUE(MID(UPPER(TRIM(D222)),3,1))+VALUE(MID(UPPER(TRIM(D222)),5,1))+VALUE(MID(UPPER(TRIM(D222)),7,1)))+(INT(2*VALUE(MID(UPPER(TRIM(D222)),2,1))/10)+MOD(2*VALUE(MID(UPPER(TRIM(D222)),2,1)),10))+(INT(2*VALUE(MID(UPPER(TRIM(D222)),4,1))/10)+MOD(2*VALUE(MID(UPPER(TRIM(D222)),4,1)),10))+(INT(2*VALUE(MID(UPPER(TRIM(D222)),6,1))/10)+MOD(2*VALUE(MID(UPPER(TRIM(D222)),6,1)),10))+(INT(2*VALUE(MID(UPPER(TRIM(D222)),8,1))/10)+MOD(2*VALUE(MID(UPPER(TRIM(D222)),8,1)),10)),10),10),"0"),RIGHT(UPPER(TRIM(D222)),1)=MID("JABCDEFGHI",MOD(10-MOD((VALUE(MID(UPPER(TRIM(D222)),3,1))+VALUE(MID(UPPER(TRIM(D222)),5,1))+VALUE(MID(UPPER(TRIM(D222)),7,1)))+(INT(2*VALUE(MID(UPPER(TRIM(D222)),2,1))/10)+MOD(2*VALUE(MID(UPPER(TRIM(D222)),2,1)),10))+(INT(2*VALUE(MID(UPPER(TRIM(D222)),4,1))/10)+MOD(2*VALUE(MID(UPPER(TRIM(D222)),4,1)),10))+(INT(2*VALUE(MID(UPPER(TRIM(D222)),6,1))/10)+MOD(2*VALUE(MID(UPPER(TRIM(D222)),6,1)),10))+(INT(2*VALUE(MID(UPPER(TRIM(D222)),8,1))/10)+MOD(2*VALUE(MID(UPPER(TRIM(D222)),8,1)),10)),10),10)+1,1)),"OK","REVISAR")),"REVISAR")))</f>
        <v/>
      </c>
      <c r="Q222">
        <f>IF(B222="","",IF(COUNTIFS($B$2:$B$501,B222,$D$2:$D$501,D222)&gt;1,"DUPLICADA",""))</f>
        <v/>
      </c>
      <c r="R222">
        <f>IF(A222="","",ROUNDUP(MONTH(A222)/3,0))</f>
        <v/>
      </c>
      <c r="S222" s="3" t="n"/>
    </row>
    <row r="223">
      <c r="A223" s="2" t="n"/>
      <c r="B223" s="3" t="n"/>
      <c r="C223" s="3" t="n"/>
      <c r="D223" s="3" t="n"/>
      <c r="E223" s="4" t="n"/>
      <c r="F223" s="4" t="n"/>
      <c r="G223" s="4" t="n"/>
      <c r="H223" s="4" t="n"/>
      <c r="I223" s="5">
        <f>IF(E223="","",ROUND(E223*0.21,2))</f>
        <v/>
      </c>
      <c r="J223" s="5">
        <f>IF(F223="","",ROUND(F223*0.1,2))</f>
        <v/>
      </c>
      <c r="K223" s="5">
        <f>IF(G223="","",ROUND(G223*0.04,2))</f>
        <v/>
      </c>
      <c r="L223" s="4" t="n"/>
      <c r="M223" s="4" t="n"/>
      <c r="N223" s="5">
        <f>IF(A223="","",SUM(E223:K223)-N(L223))</f>
        <v/>
      </c>
      <c r="O223">
        <f>IF(OR(A223="",M223=""),"",IF(ABS(M223-N223)&lt;=0.02,"OK","REVISAR"))</f>
        <v/>
      </c>
      <c r="P223">
        <f>IF(D223="","",IF(LEN(TRIM(D223))&lt;&gt;9,"REVISAR",IFERROR(IF(OR(ISNUMBER(VALUE(LEFT(UPPER(TRIM(D223)),1))),LEFT(UPPER(TRIM(D223)),1)="X",LEFT(UPPER(TRIM(D223)),1)="Y",LEFT(UPPER(TRIM(D223)),1)="Z"),IF(MID("TRWAGMYFPDXBNJZSQVHLCKE",MOD(VALUE(SUBSTITUTE(SUBSTITUTE(SUBSTITUTE(LEFT(UPPER(TRIM(D223)),8),"X","0"),"Y","1"),"Z","2")),23)+1,1)=RIGHT(UPPER(TRIM(D223)),1),"OK","REVISAR"),IF(OR(RIGHT(UPPER(TRIM(D223)),1)=TEXT(MOD(10-MOD((VALUE(MID(UPPER(TRIM(D223)),3,1))+VALUE(MID(UPPER(TRIM(D223)),5,1))+VALUE(MID(UPPER(TRIM(D223)),7,1)))+(INT(2*VALUE(MID(UPPER(TRIM(D223)),2,1))/10)+MOD(2*VALUE(MID(UPPER(TRIM(D223)),2,1)),10))+(INT(2*VALUE(MID(UPPER(TRIM(D223)),4,1))/10)+MOD(2*VALUE(MID(UPPER(TRIM(D223)),4,1)),10))+(INT(2*VALUE(MID(UPPER(TRIM(D223)),6,1))/10)+MOD(2*VALUE(MID(UPPER(TRIM(D223)),6,1)),10))+(INT(2*VALUE(MID(UPPER(TRIM(D223)),8,1))/10)+MOD(2*VALUE(MID(UPPER(TRIM(D223)),8,1)),10)),10),10),"0"),RIGHT(UPPER(TRIM(D223)),1)=MID("JABCDEFGHI",MOD(10-MOD((VALUE(MID(UPPER(TRIM(D223)),3,1))+VALUE(MID(UPPER(TRIM(D223)),5,1))+VALUE(MID(UPPER(TRIM(D223)),7,1)))+(INT(2*VALUE(MID(UPPER(TRIM(D223)),2,1))/10)+MOD(2*VALUE(MID(UPPER(TRIM(D223)),2,1)),10))+(INT(2*VALUE(MID(UPPER(TRIM(D223)),4,1))/10)+MOD(2*VALUE(MID(UPPER(TRIM(D223)),4,1)),10))+(INT(2*VALUE(MID(UPPER(TRIM(D223)),6,1))/10)+MOD(2*VALUE(MID(UPPER(TRIM(D223)),6,1)),10))+(INT(2*VALUE(MID(UPPER(TRIM(D223)),8,1))/10)+MOD(2*VALUE(MID(UPPER(TRIM(D223)),8,1)),10)),10),10)+1,1)),"OK","REVISAR")),"REVISAR")))</f>
        <v/>
      </c>
      <c r="Q223">
        <f>IF(B223="","",IF(COUNTIFS($B$2:$B$501,B223,$D$2:$D$501,D223)&gt;1,"DUPLICADA",""))</f>
        <v/>
      </c>
      <c r="R223">
        <f>IF(A223="","",ROUNDUP(MONTH(A223)/3,0))</f>
        <v/>
      </c>
      <c r="S223" s="3" t="n"/>
    </row>
    <row r="224">
      <c r="A224" s="2" t="n"/>
      <c r="B224" s="3" t="n"/>
      <c r="C224" s="3" t="n"/>
      <c r="D224" s="3" t="n"/>
      <c r="E224" s="4" t="n"/>
      <c r="F224" s="4" t="n"/>
      <c r="G224" s="4" t="n"/>
      <c r="H224" s="4" t="n"/>
      <c r="I224" s="5">
        <f>IF(E224="","",ROUND(E224*0.21,2))</f>
        <v/>
      </c>
      <c r="J224" s="5">
        <f>IF(F224="","",ROUND(F224*0.1,2))</f>
        <v/>
      </c>
      <c r="K224" s="5">
        <f>IF(G224="","",ROUND(G224*0.04,2))</f>
        <v/>
      </c>
      <c r="L224" s="4" t="n"/>
      <c r="M224" s="4" t="n"/>
      <c r="N224" s="5">
        <f>IF(A224="","",SUM(E224:K224)-N(L224))</f>
        <v/>
      </c>
      <c r="O224">
        <f>IF(OR(A224="",M224=""),"",IF(ABS(M224-N224)&lt;=0.02,"OK","REVISAR"))</f>
        <v/>
      </c>
      <c r="P224">
        <f>IF(D224="","",IF(LEN(TRIM(D224))&lt;&gt;9,"REVISAR",IFERROR(IF(OR(ISNUMBER(VALUE(LEFT(UPPER(TRIM(D224)),1))),LEFT(UPPER(TRIM(D224)),1)="X",LEFT(UPPER(TRIM(D224)),1)="Y",LEFT(UPPER(TRIM(D224)),1)="Z"),IF(MID("TRWAGMYFPDXBNJZSQVHLCKE",MOD(VALUE(SUBSTITUTE(SUBSTITUTE(SUBSTITUTE(LEFT(UPPER(TRIM(D224)),8),"X","0"),"Y","1"),"Z","2")),23)+1,1)=RIGHT(UPPER(TRIM(D224)),1),"OK","REVISAR"),IF(OR(RIGHT(UPPER(TRIM(D224)),1)=TEXT(MOD(10-MOD((VALUE(MID(UPPER(TRIM(D224)),3,1))+VALUE(MID(UPPER(TRIM(D224)),5,1))+VALUE(MID(UPPER(TRIM(D224)),7,1)))+(INT(2*VALUE(MID(UPPER(TRIM(D224)),2,1))/10)+MOD(2*VALUE(MID(UPPER(TRIM(D224)),2,1)),10))+(INT(2*VALUE(MID(UPPER(TRIM(D224)),4,1))/10)+MOD(2*VALUE(MID(UPPER(TRIM(D224)),4,1)),10))+(INT(2*VALUE(MID(UPPER(TRIM(D224)),6,1))/10)+MOD(2*VALUE(MID(UPPER(TRIM(D224)),6,1)),10))+(INT(2*VALUE(MID(UPPER(TRIM(D224)),8,1))/10)+MOD(2*VALUE(MID(UPPER(TRIM(D224)),8,1)),10)),10),10),"0"),RIGHT(UPPER(TRIM(D224)),1)=MID("JABCDEFGHI",MOD(10-MOD((VALUE(MID(UPPER(TRIM(D224)),3,1))+VALUE(MID(UPPER(TRIM(D224)),5,1))+VALUE(MID(UPPER(TRIM(D224)),7,1)))+(INT(2*VALUE(MID(UPPER(TRIM(D224)),2,1))/10)+MOD(2*VALUE(MID(UPPER(TRIM(D224)),2,1)),10))+(INT(2*VALUE(MID(UPPER(TRIM(D224)),4,1))/10)+MOD(2*VALUE(MID(UPPER(TRIM(D224)),4,1)),10))+(INT(2*VALUE(MID(UPPER(TRIM(D224)),6,1))/10)+MOD(2*VALUE(MID(UPPER(TRIM(D224)),6,1)),10))+(INT(2*VALUE(MID(UPPER(TRIM(D224)),8,1))/10)+MOD(2*VALUE(MID(UPPER(TRIM(D224)),8,1)),10)),10),10)+1,1)),"OK","REVISAR")),"REVISAR")))</f>
        <v/>
      </c>
      <c r="Q224">
        <f>IF(B224="","",IF(COUNTIFS($B$2:$B$501,B224,$D$2:$D$501,D224)&gt;1,"DUPLICADA",""))</f>
        <v/>
      </c>
      <c r="R224">
        <f>IF(A224="","",ROUNDUP(MONTH(A224)/3,0))</f>
        <v/>
      </c>
      <c r="S224" s="3" t="n"/>
    </row>
    <row r="225">
      <c r="A225" s="2" t="n"/>
      <c r="B225" s="3" t="n"/>
      <c r="C225" s="3" t="n"/>
      <c r="D225" s="3" t="n"/>
      <c r="E225" s="4" t="n"/>
      <c r="F225" s="4" t="n"/>
      <c r="G225" s="4" t="n"/>
      <c r="H225" s="4" t="n"/>
      <c r="I225" s="5">
        <f>IF(E225="","",ROUND(E225*0.21,2))</f>
        <v/>
      </c>
      <c r="J225" s="5">
        <f>IF(F225="","",ROUND(F225*0.1,2))</f>
        <v/>
      </c>
      <c r="K225" s="5">
        <f>IF(G225="","",ROUND(G225*0.04,2))</f>
        <v/>
      </c>
      <c r="L225" s="4" t="n"/>
      <c r="M225" s="4" t="n"/>
      <c r="N225" s="5">
        <f>IF(A225="","",SUM(E225:K225)-N(L225))</f>
        <v/>
      </c>
      <c r="O225">
        <f>IF(OR(A225="",M225=""),"",IF(ABS(M225-N225)&lt;=0.02,"OK","REVISAR"))</f>
        <v/>
      </c>
      <c r="P225">
        <f>IF(D225="","",IF(LEN(TRIM(D225))&lt;&gt;9,"REVISAR",IFERROR(IF(OR(ISNUMBER(VALUE(LEFT(UPPER(TRIM(D225)),1))),LEFT(UPPER(TRIM(D225)),1)="X",LEFT(UPPER(TRIM(D225)),1)="Y",LEFT(UPPER(TRIM(D225)),1)="Z"),IF(MID("TRWAGMYFPDXBNJZSQVHLCKE",MOD(VALUE(SUBSTITUTE(SUBSTITUTE(SUBSTITUTE(LEFT(UPPER(TRIM(D225)),8),"X","0"),"Y","1"),"Z","2")),23)+1,1)=RIGHT(UPPER(TRIM(D225)),1),"OK","REVISAR"),IF(OR(RIGHT(UPPER(TRIM(D225)),1)=TEXT(MOD(10-MOD((VALUE(MID(UPPER(TRIM(D225)),3,1))+VALUE(MID(UPPER(TRIM(D225)),5,1))+VALUE(MID(UPPER(TRIM(D225)),7,1)))+(INT(2*VALUE(MID(UPPER(TRIM(D225)),2,1))/10)+MOD(2*VALUE(MID(UPPER(TRIM(D225)),2,1)),10))+(INT(2*VALUE(MID(UPPER(TRIM(D225)),4,1))/10)+MOD(2*VALUE(MID(UPPER(TRIM(D225)),4,1)),10))+(INT(2*VALUE(MID(UPPER(TRIM(D225)),6,1))/10)+MOD(2*VALUE(MID(UPPER(TRIM(D225)),6,1)),10))+(INT(2*VALUE(MID(UPPER(TRIM(D225)),8,1))/10)+MOD(2*VALUE(MID(UPPER(TRIM(D225)),8,1)),10)),10),10),"0"),RIGHT(UPPER(TRIM(D225)),1)=MID("JABCDEFGHI",MOD(10-MOD((VALUE(MID(UPPER(TRIM(D225)),3,1))+VALUE(MID(UPPER(TRIM(D225)),5,1))+VALUE(MID(UPPER(TRIM(D225)),7,1)))+(INT(2*VALUE(MID(UPPER(TRIM(D225)),2,1))/10)+MOD(2*VALUE(MID(UPPER(TRIM(D225)),2,1)),10))+(INT(2*VALUE(MID(UPPER(TRIM(D225)),4,1))/10)+MOD(2*VALUE(MID(UPPER(TRIM(D225)),4,1)),10))+(INT(2*VALUE(MID(UPPER(TRIM(D225)),6,1))/10)+MOD(2*VALUE(MID(UPPER(TRIM(D225)),6,1)),10))+(INT(2*VALUE(MID(UPPER(TRIM(D225)),8,1))/10)+MOD(2*VALUE(MID(UPPER(TRIM(D225)),8,1)),10)),10),10)+1,1)),"OK","REVISAR")),"REVISAR")))</f>
        <v/>
      </c>
      <c r="Q225">
        <f>IF(B225="","",IF(COUNTIFS($B$2:$B$501,B225,$D$2:$D$501,D225)&gt;1,"DUPLICADA",""))</f>
        <v/>
      </c>
      <c r="R225">
        <f>IF(A225="","",ROUNDUP(MONTH(A225)/3,0))</f>
        <v/>
      </c>
      <c r="S225" s="3" t="n"/>
    </row>
    <row r="226">
      <c r="A226" s="2" t="n"/>
      <c r="B226" s="3" t="n"/>
      <c r="C226" s="3" t="n"/>
      <c r="D226" s="3" t="n"/>
      <c r="E226" s="4" t="n"/>
      <c r="F226" s="4" t="n"/>
      <c r="G226" s="4" t="n"/>
      <c r="H226" s="4" t="n"/>
      <c r="I226" s="5">
        <f>IF(E226="","",ROUND(E226*0.21,2))</f>
        <v/>
      </c>
      <c r="J226" s="5">
        <f>IF(F226="","",ROUND(F226*0.1,2))</f>
        <v/>
      </c>
      <c r="K226" s="5">
        <f>IF(G226="","",ROUND(G226*0.04,2))</f>
        <v/>
      </c>
      <c r="L226" s="4" t="n"/>
      <c r="M226" s="4" t="n"/>
      <c r="N226" s="5">
        <f>IF(A226="","",SUM(E226:K226)-N(L226))</f>
        <v/>
      </c>
      <c r="O226">
        <f>IF(OR(A226="",M226=""),"",IF(ABS(M226-N226)&lt;=0.02,"OK","REVISAR"))</f>
        <v/>
      </c>
      <c r="P226">
        <f>IF(D226="","",IF(LEN(TRIM(D226))&lt;&gt;9,"REVISAR",IFERROR(IF(OR(ISNUMBER(VALUE(LEFT(UPPER(TRIM(D226)),1))),LEFT(UPPER(TRIM(D226)),1)="X",LEFT(UPPER(TRIM(D226)),1)="Y",LEFT(UPPER(TRIM(D226)),1)="Z"),IF(MID("TRWAGMYFPDXBNJZSQVHLCKE",MOD(VALUE(SUBSTITUTE(SUBSTITUTE(SUBSTITUTE(LEFT(UPPER(TRIM(D226)),8),"X","0"),"Y","1"),"Z","2")),23)+1,1)=RIGHT(UPPER(TRIM(D226)),1),"OK","REVISAR"),IF(OR(RIGHT(UPPER(TRIM(D226)),1)=TEXT(MOD(10-MOD((VALUE(MID(UPPER(TRIM(D226)),3,1))+VALUE(MID(UPPER(TRIM(D226)),5,1))+VALUE(MID(UPPER(TRIM(D226)),7,1)))+(INT(2*VALUE(MID(UPPER(TRIM(D226)),2,1))/10)+MOD(2*VALUE(MID(UPPER(TRIM(D226)),2,1)),10))+(INT(2*VALUE(MID(UPPER(TRIM(D226)),4,1))/10)+MOD(2*VALUE(MID(UPPER(TRIM(D226)),4,1)),10))+(INT(2*VALUE(MID(UPPER(TRIM(D226)),6,1))/10)+MOD(2*VALUE(MID(UPPER(TRIM(D226)),6,1)),10))+(INT(2*VALUE(MID(UPPER(TRIM(D226)),8,1))/10)+MOD(2*VALUE(MID(UPPER(TRIM(D226)),8,1)),10)),10),10),"0"),RIGHT(UPPER(TRIM(D226)),1)=MID("JABCDEFGHI",MOD(10-MOD((VALUE(MID(UPPER(TRIM(D226)),3,1))+VALUE(MID(UPPER(TRIM(D226)),5,1))+VALUE(MID(UPPER(TRIM(D226)),7,1)))+(INT(2*VALUE(MID(UPPER(TRIM(D226)),2,1))/10)+MOD(2*VALUE(MID(UPPER(TRIM(D226)),2,1)),10))+(INT(2*VALUE(MID(UPPER(TRIM(D226)),4,1))/10)+MOD(2*VALUE(MID(UPPER(TRIM(D226)),4,1)),10))+(INT(2*VALUE(MID(UPPER(TRIM(D226)),6,1))/10)+MOD(2*VALUE(MID(UPPER(TRIM(D226)),6,1)),10))+(INT(2*VALUE(MID(UPPER(TRIM(D226)),8,1))/10)+MOD(2*VALUE(MID(UPPER(TRIM(D226)),8,1)),10)),10),10)+1,1)),"OK","REVISAR")),"REVISAR")))</f>
        <v/>
      </c>
      <c r="Q226">
        <f>IF(B226="","",IF(COUNTIFS($B$2:$B$501,B226,$D$2:$D$501,D226)&gt;1,"DUPLICADA",""))</f>
        <v/>
      </c>
      <c r="R226">
        <f>IF(A226="","",ROUNDUP(MONTH(A226)/3,0))</f>
        <v/>
      </c>
      <c r="S226" s="3" t="n"/>
    </row>
    <row r="227">
      <c r="A227" s="2" t="n"/>
      <c r="B227" s="3" t="n"/>
      <c r="C227" s="3" t="n"/>
      <c r="D227" s="3" t="n"/>
      <c r="E227" s="4" t="n"/>
      <c r="F227" s="4" t="n"/>
      <c r="G227" s="4" t="n"/>
      <c r="H227" s="4" t="n"/>
      <c r="I227" s="5">
        <f>IF(E227="","",ROUND(E227*0.21,2))</f>
        <v/>
      </c>
      <c r="J227" s="5">
        <f>IF(F227="","",ROUND(F227*0.1,2))</f>
        <v/>
      </c>
      <c r="K227" s="5">
        <f>IF(G227="","",ROUND(G227*0.04,2))</f>
        <v/>
      </c>
      <c r="L227" s="4" t="n"/>
      <c r="M227" s="4" t="n"/>
      <c r="N227" s="5">
        <f>IF(A227="","",SUM(E227:K227)-N(L227))</f>
        <v/>
      </c>
      <c r="O227">
        <f>IF(OR(A227="",M227=""),"",IF(ABS(M227-N227)&lt;=0.02,"OK","REVISAR"))</f>
        <v/>
      </c>
      <c r="P227">
        <f>IF(D227="","",IF(LEN(TRIM(D227))&lt;&gt;9,"REVISAR",IFERROR(IF(OR(ISNUMBER(VALUE(LEFT(UPPER(TRIM(D227)),1))),LEFT(UPPER(TRIM(D227)),1)="X",LEFT(UPPER(TRIM(D227)),1)="Y",LEFT(UPPER(TRIM(D227)),1)="Z"),IF(MID("TRWAGMYFPDXBNJZSQVHLCKE",MOD(VALUE(SUBSTITUTE(SUBSTITUTE(SUBSTITUTE(LEFT(UPPER(TRIM(D227)),8),"X","0"),"Y","1"),"Z","2")),23)+1,1)=RIGHT(UPPER(TRIM(D227)),1),"OK","REVISAR"),IF(OR(RIGHT(UPPER(TRIM(D227)),1)=TEXT(MOD(10-MOD((VALUE(MID(UPPER(TRIM(D227)),3,1))+VALUE(MID(UPPER(TRIM(D227)),5,1))+VALUE(MID(UPPER(TRIM(D227)),7,1)))+(INT(2*VALUE(MID(UPPER(TRIM(D227)),2,1))/10)+MOD(2*VALUE(MID(UPPER(TRIM(D227)),2,1)),10))+(INT(2*VALUE(MID(UPPER(TRIM(D227)),4,1))/10)+MOD(2*VALUE(MID(UPPER(TRIM(D227)),4,1)),10))+(INT(2*VALUE(MID(UPPER(TRIM(D227)),6,1))/10)+MOD(2*VALUE(MID(UPPER(TRIM(D227)),6,1)),10))+(INT(2*VALUE(MID(UPPER(TRIM(D227)),8,1))/10)+MOD(2*VALUE(MID(UPPER(TRIM(D227)),8,1)),10)),10),10),"0"),RIGHT(UPPER(TRIM(D227)),1)=MID("JABCDEFGHI",MOD(10-MOD((VALUE(MID(UPPER(TRIM(D227)),3,1))+VALUE(MID(UPPER(TRIM(D227)),5,1))+VALUE(MID(UPPER(TRIM(D227)),7,1)))+(INT(2*VALUE(MID(UPPER(TRIM(D227)),2,1))/10)+MOD(2*VALUE(MID(UPPER(TRIM(D227)),2,1)),10))+(INT(2*VALUE(MID(UPPER(TRIM(D227)),4,1))/10)+MOD(2*VALUE(MID(UPPER(TRIM(D227)),4,1)),10))+(INT(2*VALUE(MID(UPPER(TRIM(D227)),6,1))/10)+MOD(2*VALUE(MID(UPPER(TRIM(D227)),6,1)),10))+(INT(2*VALUE(MID(UPPER(TRIM(D227)),8,1))/10)+MOD(2*VALUE(MID(UPPER(TRIM(D227)),8,1)),10)),10),10)+1,1)),"OK","REVISAR")),"REVISAR")))</f>
        <v/>
      </c>
      <c r="Q227">
        <f>IF(B227="","",IF(COUNTIFS($B$2:$B$501,B227,$D$2:$D$501,D227)&gt;1,"DUPLICADA",""))</f>
        <v/>
      </c>
      <c r="R227">
        <f>IF(A227="","",ROUNDUP(MONTH(A227)/3,0))</f>
        <v/>
      </c>
      <c r="S227" s="3" t="n"/>
    </row>
    <row r="228">
      <c r="A228" s="2" t="n"/>
      <c r="B228" s="3" t="n"/>
      <c r="C228" s="3" t="n"/>
      <c r="D228" s="3" t="n"/>
      <c r="E228" s="4" t="n"/>
      <c r="F228" s="4" t="n"/>
      <c r="G228" s="4" t="n"/>
      <c r="H228" s="4" t="n"/>
      <c r="I228" s="5">
        <f>IF(E228="","",ROUND(E228*0.21,2))</f>
        <v/>
      </c>
      <c r="J228" s="5">
        <f>IF(F228="","",ROUND(F228*0.1,2))</f>
        <v/>
      </c>
      <c r="K228" s="5">
        <f>IF(G228="","",ROUND(G228*0.04,2))</f>
        <v/>
      </c>
      <c r="L228" s="4" t="n"/>
      <c r="M228" s="4" t="n"/>
      <c r="N228" s="5">
        <f>IF(A228="","",SUM(E228:K228)-N(L228))</f>
        <v/>
      </c>
      <c r="O228">
        <f>IF(OR(A228="",M228=""),"",IF(ABS(M228-N228)&lt;=0.02,"OK","REVISAR"))</f>
        <v/>
      </c>
      <c r="P228">
        <f>IF(D228="","",IF(LEN(TRIM(D228))&lt;&gt;9,"REVISAR",IFERROR(IF(OR(ISNUMBER(VALUE(LEFT(UPPER(TRIM(D228)),1))),LEFT(UPPER(TRIM(D228)),1)="X",LEFT(UPPER(TRIM(D228)),1)="Y",LEFT(UPPER(TRIM(D228)),1)="Z"),IF(MID("TRWAGMYFPDXBNJZSQVHLCKE",MOD(VALUE(SUBSTITUTE(SUBSTITUTE(SUBSTITUTE(LEFT(UPPER(TRIM(D228)),8),"X","0"),"Y","1"),"Z","2")),23)+1,1)=RIGHT(UPPER(TRIM(D228)),1),"OK","REVISAR"),IF(OR(RIGHT(UPPER(TRIM(D228)),1)=TEXT(MOD(10-MOD((VALUE(MID(UPPER(TRIM(D228)),3,1))+VALUE(MID(UPPER(TRIM(D228)),5,1))+VALUE(MID(UPPER(TRIM(D228)),7,1)))+(INT(2*VALUE(MID(UPPER(TRIM(D228)),2,1))/10)+MOD(2*VALUE(MID(UPPER(TRIM(D228)),2,1)),10))+(INT(2*VALUE(MID(UPPER(TRIM(D228)),4,1))/10)+MOD(2*VALUE(MID(UPPER(TRIM(D228)),4,1)),10))+(INT(2*VALUE(MID(UPPER(TRIM(D228)),6,1))/10)+MOD(2*VALUE(MID(UPPER(TRIM(D228)),6,1)),10))+(INT(2*VALUE(MID(UPPER(TRIM(D228)),8,1))/10)+MOD(2*VALUE(MID(UPPER(TRIM(D228)),8,1)),10)),10),10),"0"),RIGHT(UPPER(TRIM(D228)),1)=MID("JABCDEFGHI",MOD(10-MOD((VALUE(MID(UPPER(TRIM(D228)),3,1))+VALUE(MID(UPPER(TRIM(D228)),5,1))+VALUE(MID(UPPER(TRIM(D228)),7,1)))+(INT(2*VALUE(MID(UPPER(TRIM(D228)),2,1))/10)+MOD(2*VALUE(MID(UPPER(TRIM(D228)),2,1)),10))+(INT(2*VALUE(MID(UPPER(TRIM(D228)),4,1))/10)+MOD(2*VALUE(MID(UPPER(TRIM(D228)),4,1)),10))+(INT(2*VALUE(MID(UPPER(TRIM(D228)),6,1))/10)+MOD(2*VALUE(MID(UPPER(TRIM(D228)),6,1)),10))+(INT(2*VALUE(MID(UPPER(TRIM(D228)),8,1))/10)+MOD(2*VALUE(MID(UPPER(TRIM(D228)),8,1)),10)),10),10)+1,1)),"OK","REVISAR")),"REVISAR")))</f>
        <v/>
      </c>
      <c r="Q228">
        <f>IF(B228="","",IF(COUNTIFS($B$2:$B$501,B228,$D$2:$D$501,D228)&gt;1,"DUPLICADA",""))</f>
        <v/>
      </c>
      <c r="R228">
        <f>IF(A228="","",ROUNDUP(MONTH(A228)/3,0))</f>
        <v/>
      </c>
      <c r="S228" s="3" t="n"/>
    </row>
    <row r="229">
      <c r="A229" s="2" t="n"/>
      <c r="B229" s="3" t="n"/>
      <c r="C229" s="3" t="n"/>
      <c r="D229" s="3" t="n"/>
      <c r="E229" s="4" t="n"/>
      <c r="F229" s="4" t="n"/>
      <c r="G229" s="4" t="n"/>
      <c r="H229" s="4" t="n"/>
      <c r="I229" s="5">
        <f>IF(E229="","",ROUND(E229*0.21,2))</f>
        <v/>
      </c>
      <c r="J229" s="5">
        <f>IF(F229="","",ROUND(F229*0.1,2))</f>
        <v/>
      </c>
      <c r="K229" s="5">
        <f>IF(G229="","",ROUND(G229*0.04,2))</f>
        <v/>
      </c>
      <c r="L229" s="4" t="n"/>
      <c r="M229" s="4" t="n"/>
      <c r="N229" s="5">
        <f>IF(A229="","",SUM(E229:K229)-N(L229))</f>
        <v/>
      </c>
      <c r="O229">
        <f>IF(OR(A229="",M229=""),"",IF(ABS(M229-N229)&lt;=0.02,"OK","REVISAR"))</f>
        <v/>
      </c>
      <c r="P229">
        <f>IF(D229="","",IF(LEN(TRIM(D229))&lt;&gt;9,"REVISAR",IFERROR(IF(OR(ISNUMBER(VALUE(LEFT(UPPER(TRIM(D229)),1))),LEFT(UPPER(TRIM(D229)),1)="X",LEFT(UPPER(TRIM(D229)),1)="Y",LEFT(UPPER(TRIM(D229)),1)="Z"),IF(MID("TRWAGMYFPDXBNJZSQVHLCKE",MOD(VALUE(SUBSTITUTE(SUBSTITUTE(SUBSTITUTE(LEFT(UPPER(TRIM(D229)),8),"X","0"),"Y","1"),"Z","2")),23)+1,1)=RIGHT(UPPER(TRIM(D229)),1),"OK","REVISAR"),IF(OR(RIGHT(UPPER(TRIM(D229)),1)=TEXT(MOD(10-MOD((VALUE(MID(UPPER(TRIM(D229)),3,1))+VALUE(MID(UPPER(TRIM(D229)),5,1))+VALUE(MID(UPPER(TRIM(D229)),7,1)))+(INT(2*VALUE(MID(UPPER(TRIM(D229)),2,1))/10)+MOD(2*VALUE(MID(UPPER(TRIM(D229)),2,1)),10))+(INT(2*VALUE(MID(UPPER(TRIM(D229)),4,1))/10)+MOD(2*VALUE(MID(UPPER(TRIM(D229)),4,1)),10))+(INT(2*VALUE(MID(UPPER(TRIM(D229)),6,1))/10)+MOD(2*VALUE(MID(UPPER(TRIM(D229)),6,1)),10))+(INT(2*VALUE(MID(UPPER(TRIM(D229)),8,1))/10)+MOD(2*VALUE(MID(UPPER(TRIM(D229)),8,1)),10)),10),10),"0"),RIGHT(UPPER(TRIM(D229)),1)=MID("JABCDEFGHI",MOD(10-MOD((VALUE(MID(UPPER(TRIM(D229)),3,1))+VALUE(MID(UPPER(TRIM(D229)),5,1))+VALUE(MID(UPPER(TRIM(D229)),7,1)))+(INT(2*VALUE(MID(UPPER(TRIM(D229)),2,1))/10)+MOD(2*VALUE(MID(UPPER(TRIM(D229)),2,1)),10))+(INT(2*VALUE(MID(UPPER(TRIM(D229)),4,1))/10)+MOD(2*VALUE(MID(UPPER(TRIM(D229)),4,1)),10))+(INT(2*VALUE(MID(UPPER(TRIM(D229)),6,1))/10)+MOD(2*VALUE(MID(UPPER(TRIM(D229)),6,1)),10))+(INT(2*VALUE(MID(UPPER(TRIM(D229)),8,1))/10)+MOD(2*VALUE(MID(UPPER(TRIM(D229)),8,1)),10)),10),10)+1,1)),"OK","REVISAR")),"REVISAR")))</f>
        <v/>
      </c>
      <c r="Q229">
        <f>IF(B229="","",IF(COUNTIFS($B$2:$B$501,B229,$D$2:$D$501,D229)&gt;1,"DUPLICADA",""))</f>
        <v/>
      </c>
      <c r="R229">
        <f>IF(A229="","",ROUNDUP(MONTH(A229)/3,0))</f>
        <v/>
      </c>
      <c r="S229" s="3" t="n"/>
    </row>
    <row r="230">
      <c r="A230" s="2" t="n"/>
      <c r="B230" s="3" t="n"/>
      <c r="C230" s="3" t="n"/>
      <c r="D230" s="3" t="n"/>
      <c r="E230" s="4" t="n"/>
      <c r="F230" s="4" t="n"/>
      <c r="G230" s="4" t="n"/>
      <c r="H230" s="4" t="n"/>
      <c r="I230" s="5">
        <f>IF(E230="","",ROUND(E230*0.21,2))</f>
        <v/>
      </c>
      <c r="J230" s="5">
        <f>IF(F230="","",ROUND(F230*0.1,2))</f>
        <v/>
      </c>
      <c r="K230" s="5">
        <f>IF(G230="","",ROUND(G230*0.04,2))</f>
        <v/>
      </c>
      <c r="L230" s="4" t="n"/>
      <c r="M230" s="4" t="n"/>
      <c r="N230" s="5">
        <f>IF(A230="","",SUM(E230:K230)-N(L230))</f>
        <v/>
      </c>
      <c r="O230">
        <f>IF(OR(A230="",M230=""),"",IF(ABS(M230-N230)&lt;=0.02,"OK","REVISAR"))</f>
        <v/>
      </c>
      <c r="P230">
        <f>IF(D230="","",IF(LEN(TRIM(D230))&lt;&gt;9,"REVISAR",IFERROR(IF(OR(ISNUMBER(VALUE(LEFT(UPPER(TRIM(D230)),1))),LEFT(UPPER(TRIM(D230)),1)="X",LEFT(UPPER(TRIM(D230)),1)="Y",LEFT(UPPER(TRIM(D230)),1)="Z"),IF(MID("TRWAGMYFPDXBNJZSQVHLCKE",MOD(VALUE(SUBSTITUTE(SUBSTITUTE(SUBSTITUTE(LEFT(UPPER(TRIM(D230)),8),"X","0"),"Y","1"),"Z","2")),23)+1,1)=RIGHT(UPPER(TRIM(D230)),1),"OK","REVISAR"),IF(OR(RIGHT(UPPER(TRIM(D230)),1)=TEXT(MOD(10-MOD((VALUE(MID(UPPER(TRIM(D230)),3,1))+VALUE(MID(UPPER(TRIM(D230)),5,1))+VALUE(MID(UPPER(TRIM(D230)),7,1)))+(INT(2*VALUE(MID(UPPER(TRIM(D230)),2,1))/10)+MOD(2*VALUE(MID(UPPER(TRIM(D230)),2,1)),10))+(INT(2*VALUE(MID(UPPER(TRIM(D230)),4,1))/10)+MOD(2*VALUE(MID(UPPER(TRIM(D230)),4,1)),10))+(INT(2*VALUE(MID(UPPER(TRIM(D230)),6,1))/10)+MOD(2*VALUE(MID(UPPER(TRIM(D230)),6,1)),10))+(INT(2*VALUE(MID(UPPER(TRIM(D230)),8,1))/10)+MOD(2*VALUE(MID(UPPER(TRIM(D230)),8,1)),10)),10),10),"0"),RIGHT(UPPER(TRIM(D230)),1)=MID("JABCDEFGHI",MOD(10-MOD((VALUE(MID(UPPER(TRIM(D230)),3,1))+VALUE(MID(UPPER(TRIM(D230)),5,1))+VALUE(MID(UPPER(TRIM(D230)),7,1)))+(INT(2*VALUE(MID(UPPER(TRIM(D230)),2,1))/10)+MOD(2*VALUE(MID(UPPER(TRIM(D230)),2,1)),10))+(INT(2*VALUE(MID(UPPER(TRIM(D230)),4,1))/10)+MOD(2*VALUE(MID(UPPER(TRIM(D230)),4,1)),10))+(INT(2*VALUE(MID(UPPER(TRIM(D230)),6,1))/10)+MOD(2*VALUE(MID(UPPER(TRIM(D230)),6,1)),10))+(INT(2*VALUE(MID(UPPER(TRIM(D230)),8,1))/10)+MOD(2*VALUE(MID(UPPER(TRIM(D230)),8,1)),10)),10),10)+1,1)),"OK","REVISAR")),"REVISAR")))</f>
        <v/>
      </c>
      <c r="Q230">
        <f>IF(B230="","",IF(COUNTIFS($B$2:$B$501,B230,$D$2:$D$501,D230)&gt;1,"DUPLICADA",""))</f>
        <v/>
      </c>
      <c r="R230">
        <f>IF(A230="","",ROUNDUP(MONTH(A230)/3,0))</f>
        <v/>
      </c>
      <c r="S230" s="3" t="n"/>
    </row>
    <row r="231">
      <c r="A231" s="2" t="n"/>
      <c r="B231" s="3" t="n"/>
      <c r="C231" s="3" t="n"/>
      <c r="D231" s="3" t="n"/>
      <c r="E231" s="4" t="n"/>
      <c r="F231" s="4" t="n"/>
      <c r="G231" s="4" t="n"/>
      <c r="H231" s="4" t="n"/>
      <c r="I231" s="5">
        <f>IF(E231="","",ROUND(E231*0.21,2))</f>
        <v/>
      </c>
      <c r="J231" s="5">
        <f>IF(F231="","",ROUND(F231*0.1,2))</f>
        <v/>
      </c>
      <c r="K231" s="5">
        <f>IF(G231="","",ROUND(G231*0.04,2))</f>
        <v/>
      </c>
      <c r="L231" s="4" t="n"/>
      <c r="M231" s="4" t="n"/>
      <c r="N231" s="5">
        <f>IF(A231="","",SUM(E231:K231)-N(L231))</f>
        <v/>
      </c>
      <c r="O231">
        <f>IF(OR(A231="",M231=""),"",IF(ABS(M231-N231)&lt;=0.02,"OK","REVISAR"))</f>
        <v/>
      </c>
      <c r="P231">
        <f>IF(D231="","",IF(LEN(TRIM(D231))&lt;&gt;9,"REVISAR",IFERROR(IF(OR(ISNUMBER(VALUE(LEFT(UPPER(TRIM(D231)),1))),LEFT(UPPER(TRIM(D231)),1)="X",LEFT(UPPER(TRIM(D231)),1)="Y",LEFT(UPPER(TRIM(D231)),1)="Z"),IF(MID("TRWAGMYFPDXBNJZSQVHLCKE",MOD(VALUE(SUBSTITUTE(SUBSTITUTE(SUBSTITUTE(LEFT(UPPER(TRIM(D231)),8),"X","0"),"Y","1"),"Z","2")),23)+1,1)=RIGHT(UPPER(TRIM(D231)),1),"OK","REVISAR"),IF(OR(RIGHT(UPPER(TRIM(D231)),1)=TEXT(MOD(10-MOD((VALUE(MID(UPPER(TRIM(D231)),3,1))+VALUE(MID(UPPER(TRIM(D231)),5,1))+VALUE(MID(UPPER(TRIM(D231)),7,1)))+(INT(2*VALUE(MID(UPPER(TRIM(D231)),2,1))/10)+MOD(2*VALUE(MID(UPPER(TRIM(D231)),2,1)),10))+(INT(2*VALUE(MID(UPPER(TRIM(D231)),4,1))/10)+MOD(2*VALUE(MID(UPPER(TRIM(D231)),4,1)),10))+(INT(2*VALUE(MID(UPPER(TRIM(D231)),6,1))/10)+MOD(2*VALUE(MID(UPPER(TRIM(D231)),6,1)),10))+(INT(2*VALUE(MID(UPPER(TRIM(D231)),8,1))/10)+MOD(2*VALUE(MID(UPPER(TRIM(D231)),8,1)),10)),10),10),"0"),RIGHT(UPPER(TRIM(D231)),1)=MID("JABCDEFGHI",MOD(10-MOD((VALUE(MID(UPPER(TRIM(D231)),3,1))+VALUE(MID(UPPER(TRIM(D231)),5,1))+VALUE(MID(UPPER(TRIM(D231)),7,1)))+(INT(2*VALUE(MID(UPPER(TRIM(D231)),2,1))/10)+MOD(2*VALUE(MID(UPPER(TRIM(D231)),2,1)),10))+(INT(2*VALUE(MID(UPPER(TRIM(D231)),4,1))/10)+MOD(2*VALUE(MID(UPPER(TRIM(D231)),4,1)),10))+(INT(2*VALUE(MID(UPPER(TRIM(D231)),6,1))/10)+MOD(2*VALUE(MID(UPPER(TRIM(D231)),6,1)),10))+(INT(2*VALUE(MID(UPPER(TRIM(D231)),8,1))/10)+MOD(2*VALUE(MID(UPPER(TRIM(D231)),8,1)),10)),10),10)+1,1)),"OK","REVISAR")),"REVISAR")))</f>
        <v/>
      </c>
      <c r="Q231">
        <f>IF(B231="","",IF(COUNTIFS($B$2:$B$501,B231,$D$2:$D$501,D231)&gt;1,"DUPLICADA",""))</f>
        <v/>
      </c>
      <c r="R231">
        <f>IF(A231="","",ROUNDUP(MONTH(A231)/3,0))</f>
        <v/>
      </c>
      <c r="S231" s="3" t="n"/>
    </row>
    <row r="232">
      <c r="A232" s="2" t="n"/>
      <c r="B232" s="3" t="n"/>
      <c r="C232" s="3" t="n"/>
      <c r="D232" s="3" t="n"/>
      <c r="E232" s="4" t="n"/>
      <c r="F232" s="4" t="n"/>
      <c r="G232" s="4" t="n"/>
      <c r="H232" s="4" t="n"/>
      <c r="I232" s="5">
        <f>IF(E232="","",ROUND(E232*0.21,2))</f>
        <v/>
      </c>
      <c r="J232" s="5">
        <f>IF(F232="","",ROUND(F232*0.1,2))</f>
        <v/>
      </c>
      <c r="K232" s="5">
        <f>IF(G232="","",ROUND(G232*0.04,2))</f>
        <v/>
      </c>
      <c r="L232" s="4" t="n"/>
      <c r="M232" s="4" t="n"/>
      <c r="N232" s="5">
        <f>IF(A232="","",SUM(E232:K232)-N(L232))</f>
        <v/>
      </c>
      <c r="O232">
        <f>IF(OR(A232="",M232=""),"",IF(ABS(M232-N232)&lt;=0.02,"OK","REVISAR"))</f>
        <v/>
      </c>
      <c r="P232">
        <f>IF(D232="","",IF(LEN(TRIM(D232))&lt;&gt;9,"REVISAR",IFERROR(IF(OR(ISNUMBER(VALUE(LEFT(UPPER(TRIM(D232)),1))),LEFT(UPPER(TRIM(D232)),1)="X",LEFT(UPPER(TRIM(D232)),1)="Y",LEFT(UPPER(TRIM(D232)),1)="Z"),IF(MID("TRWAGMYFPDXBNJZSQVHLCKE",MOD(VALUE(SUBSTITUTE(SUBSTITUTE(SUBSTITUTE(LEFT(UPPER(TRIM(D232)),8),"X","0"),"Y","1"),"Z","2")),23)+1,1)=RIGHT(UPPER(TRIM(D232)),1),"OK","REVISAR"),IF(OR(RIGHT(UPPER(TRIM(D232)),1)=TEXT(MOD(10-MOD((VALUE(MID(UPPER(TRIM(D232)),3,1))+VALUE(MID(UPPER(TRIM(D232)),5,1))+VALUE(MID(UPPER(TRIM(D232)),7,1)))+(INT(2*VALUE(MID(UPPER(TRIM(D232)),2,1))/10)+MOD(2*VALUE(MID(UPPER(TRIM(D232)),2,1)),10))+(INT(2*VALUE(MID(UPPER(TRIM(D232)),4,1))/10)+MOD(2*VALUE(MID(UPPER(TRIM(D232)),4,1)),10))+(INT(2*VALUE(MID(UPPER(TRIM(D232)),6,1))/10)+MOD(2*VALUE(MID(UPPER(TRIM(D232)),6,1)),10))+(INT(2*VALUE(MID(UPPER(TRIM(D232)),8,1))/10)+MOD(2*VALUE(MID(UPPER(TRIM(D232)),8,1)),10)),10),10),"0"),RIGHT(UPPER(TRIM(D232)),1)=MID("JABCDEFGHI",MOD(10-MOD((VALUE(MID(UPPER(TRIM(D232)),3,1))+VALUE(MID(UPPER(TRIM(D232)),5,1))+VALUE(MID(UPPER(TRIM(D232)),7,1)))+(INT(2*VALUE(MID(UPPER(TRIM(D232)),2,1))/10)+MOD(2*VALUE(MID(UPPER(TRIM(D232)),2,1)),10))+(INT(2*VALUE(MID(UPPER(TRIM(D232)),4,1))/10)+MOD(2*VALUE(MID(UPPER(TRIM(D232)),4,1)),10))+(INT(2*VALUE(MID(UPPER(TRIM(D232)),6,1))/10)+MOD(2*VALUE(MID(UPPER(TRIM(D232)),6,1)),10))+(INT(2*VALUE(MID(UPPER(TRIM(D232)),8,1))/10)+MOD(2*VALUE(MID(UPPER(TRIM(D232)),8,1)),10)),10),10)+1,1)),"OK","REVISAR")),"REVISAR")))</f>
        <v/>
      </c>
      <c r="Q232">
        <f>IF(B232="","",IF(COUNTIFS($B$2:$B$501,B232,$D$2:$D$501,D232)&gt;1,"DUPLICADA",""))</f>
        <v/>
      </c>
      <c r="R232">
        <f>IF(A232="","",ROUNDUP(MONTH(A232)/3,0))</f>
        <v/>
      </c>
      <c r="S232" s="3" t="n"/>
    </row>
    <row r="233">
      <c r="A233" s="2" t="n"/>
      <c r="B233" s="3" t="n"/>
      <c r="C233" s="3" t="n"/>
      <c r="D233" s="3" t="n"/>
      <c r="E233" s="4" t="n"/>
      <c r="F233" s="4" t="n"/>
      <c r="G233" s="4" t="n"/>
      <c r="H233" s="4" t="n"/>
      <c r="I233" s="5">
        <f>IF(E233="","",ROUND(E233*0.21,2))</f>
        <v/>
      </c>
      <c r="J233" s="5">
        <f>IF(F233="","",ROUND(F233*0.1,2))</f>
        <v/>
      </c>
      <c r="K233" s="5">
        <f>IF(G233="","",ROUND(G233*0.04,2))</f>
        <v/>
      </c>
      <c r="L233" s="4" t="n"/>
      <c r="M233" s="4" t="n"/>
      <c r="N233" s="5">
        <f>IF(A233="","",SUM(E233:K233)-N(L233))</f>
        <v/>
      </c>
      <c r="O233">
        <f>IF(OR(A233="",M233=""),"",IF(ABS(M233-N233)&lt;=0.02,"OK","REVISAR"))</f>
        <v/>
      </c>
      <c r="P233">
        <f>IF(D233="","",IF(LEN(TRIM(D233))&lt;&gt;9,"REVISAR",IFERROR(IF(OR(ISNUMBER(VALUE(LEFT(UPPER(TRIM(D233)),1))),LEFT(UPPER(TRIM(D233)),1)="X",LEFT(UPPER(TRIM(D233)),1)="Y",LEFT(UPPER(TRIM(D233)),1)="Z"),IF(MID("TRWAGMYFPDXBNJZSQVHLCKE",MOD(VALUE(SUBSTITUTE(SUBSTITUTE(SUBSTITUTE(LEFT(UPPER(TRIM(D233)),8),"X","0"),"Y","1"),"Z","2")),23)+1,1)=RIGHT(UPPER(TRIM(D233)),1),"OK","REVISAR"),IF(OR(RIGHT(UPPER(TRIM(D233)),1)=TEXT(MOD(10-MOD((VALUE(MID(UPPER(TRIM(D233)),3,1))+VALUE(MID(UPPER(TRIM(D233)),5,1))+VALUE(MID(UPPER(TRIM(D233)),7,1)))+(INT(2*VALUE(MID(UPPER(TRIM(D233)),2,1))/10)+MOD(2*VALUE(MID(UPPER(TRIM(D233)),2,1)),10))+(INT(2*VALUE(MID(UPPER(TRIM(D233)),4,1))/10)+MOD(2*VALUE(MID(UPPER(TRIM(D233)),4,1)),10))+(INT(2*VALUE(MID(UPPER(TRIM(D233)),6,1))/10)+MOD(2*VALUE(MID(UPPER(TRIM(D233)),6,1)),10))+(INT(2*VALUE(MID(UPPER(TRIM(D233)),8,1))/10)+MOD(2*VALUE(MID(UPPER(TRIM(D233)),8,1)),10)),10),10),"0"),RIGHT(UPPER(TRIM(D233)),1)=MID("JABCDEFGHI",MOD(10-MOD((VALUE(MID(UPPER(TRIM(D233)),3,1))+VALUE(MID(UPPER(TRIM(D233)),5,1))+VALUE(MID(UPPER(TRIM(D233)),7,1)))+(INT(2*VALUE(MID(UPPER(TRIM(D233)),2,1))/10)+MOD(2*VALUE(MID(UPPER(TRIM(D233)),2,1)),10))+(INT(2*VALUE(MID(UPPER(TRIM(D233)),4,1))/10)+MOD(2*VALUE(MID(UPPER(TRIM(D233)),4,1)),10))+(INT(2*VALUE(MID(UPPER(TRIM(D233)),6,1))/10)+MOD(2*VALUE(MID(UPPER(TRIM(D233)),6,1)),10))+(INT(2*VALUE(MID(UPPER(TRIM(D233)),8,1))/10)+MOD(2*VALUE(MID(UPPER(TRIM(D233)),8,1)),10)),10),10)+1,1)),"OK","REVISAR")),"REVISAR")))</f>
        <v/>
      </c>
      <c r="Q233">
        <f>IF(B233="","",IF(COUNTIFS($B$2:$B$501,B233,$D$2:$D$501,D233)&gt;1,"DUPLICADA",""))</f>
        <v/>
      </c>
      <c r="R233">
        <f>IF(A233="","",ROUNDUP(MONTH(A233)/3,0))</f>
        <v/>
      </c>
      <c r="S233" s="3" t="n"/>
    </row>
    <row r="234">
      <c r="A234" s="2" t="n"/>
      <c r="B234" s="3" t="n"/>
      <c r="C234" s="3" t="n"/>
      <c r="D234" s="3" t="n"/>
      <c r="E234" s="4" t="n"/>
      <c r="F234" s="4" t="n"/>
      <c r="G234" s="4" t="n"/>
      <c r="H234" s="4" t="n"/>
      <c r="I234" s="5">
        <f>IF(E234="","",ROUND(E234*0.21,2))</f>
        <v/>
      </c>
      <c r="J234" s="5">
        <f>IF(F234="","",ROUND(F234*0.1,2))</f>
        <v/>
      </c>
      <c r="K234" s="5">
        <f>IF(G234="","",ROUND(G234*0.04,2))</f>
        <v/>
      </c>
      <c r="L234" s="4" t="n"/>
      <c r="M234" s="4" t="n"/>
      <c r="N234" s="5">
        <f>IF(A234="","",SUM(E234:K234)-N(L234))</f>
        <v/>
      </c>
      <c r="O234">
        <f>IF(OR(A234="",M234=""),"",IF(ABS(M234-N234)&lt;=0.02,"OK","REVISAR"))</f>
        <v/>
      </c>
      <c r="P234">
        <f>IF(D234="","",IF(LEN(TRIM(D234))&lt;&gt;9,"REVISAR",IFERROR(IF(OR(ISNUMBER(VALUE(LEFT(UPPER(TRIM(D234)),1))),LEFT(UPPER(TRIM(D234)),1)="X",LEFT(UPPER(TRIM(D234)),1)="Y",LEFT(UPPER(TRIM(D234)),1)="Z"),IF(MID("TRWAGMYFPDXBNJZSQVHLCKE",MOD(VALUE(SUBSTITUTE(SUBSTITUTE(SUBSTITUTE(LEFT(UPPER(TRIM(D234)),8),"X","0"),"Y","1"),"Z","2")),23)+1,1)=RIGHT(UPPER(TRIM(D234)),1),"OK","REVISAR"),IF(OR(RIGHT(UPPER(TRIM(D234)),1)=TEXT(MOD(10-MOD((VALUE(MID(UPPER(TRIM(D234)),3,1))+VALUE(MID(UPPER(TRIM(D234)),5,1))+VALUE(MID(UPPER(TRIM(D234)),7,1)))+(INT(2*VALUE(MID(UPPER(TRIM(D234)),2,1))/10)+MOD(2*VALUE(MID(UPPER(TRIM(D234)),2,1)),10))+(INT(2*VALUE(MID(UPPER(TRIM(D234)),4,1))/10)+MOD(2*VALUE(MID(UPPER(TRIM(D234)),4,1)),10))+(INT(2*VALUE(MID(UPPER(TRIM(D234)),6,1))/10)+MOD(2*VALUE(MID(UPPER(TRIM(D234)),6,1)),10))+(INT(2*VALUE(MID(UPPER(TRIM(D234)),8,1))/10)+MOD(2*VALUE(MID(UPPER(TRIM(D234)),8,1)),10)),10),10),"0"),RIGHT(UPPER(TRIM(D234)),1)=MID("JABCDEFGHI",MOD(10-MOD((VALUE(MID(UPPER(TRIM(D234)),3,1))+VALUE(MID(UPPER(TRIM(D234)),5,1))+VALUE(MID(UPPER(TRIM(D234)),7,1)))+(INT(2*VALUE(MID(UPPER(TRIM(D234)),2,1))/10)+MOD(2*VALUE(MID(UPPER(TRIM(D234)),2,1)),10))+(INT(2*VALUE(MID(UPPER(TRIM(D234)),4,1))/10)+MOD(2*VALUE(MID(UPPER(TRIM(D234)),4,1)),10))+(INT(2*VALUE(MID(UPPER(TRIM(D234)),6,1))/10)+MOD(2*VALUE(MID(UPPER(TRIM(D234)),6,1)),10))+(INT(2*VALUE(MID(UPPER(TRIM(D234)),8,1))/10)+MOD(2*VALUE(MID(UPPER(TRIM(D234)),8,1)),10)),10),10)+1,1)),"OK","REVISAR")),"REVISAR")))</f>
        <v/>
      </c>
      <c r="Q234">
        <f>IF(B234="","",IF(COUNTIFS($B$2:$B$501,B234,$D$2:$D$501,D234)&gt;1,"DUPLICADA",""))</f>
        <v/>
      </c>
      <c r="R234">
        <f>IF(A234="","",ROUNDUP(MONTH(A234)/3,0))</f>
        <v/>
      </c>
      <c r="S234" s="3" t="n"/>
    </row>
    <row r="235">
      <c r="A235" s="2" t="n"/>
      <c r="B235" s="3" t="n"/>
      <c r="C235" s="3" t="n"/>
      <c r="D235" s="3" t="n"/>
      <c r="E235" s="4" t="n"/>
      <c r="F235" s="4" t="n"/>
      <c r="G235" s="4" t="n"/>
      <c r="H235" s="4" t="n"/>
      <c r="I235" s="5">
        <f>IF(E235="","",ROUND(E235*0.21,2))</f>
        <v/>
      </c>
      <c r="J235" s="5">
        <f>IF(F235="","",ROUND(F235*0.1,2))</f>
        <v/>
      </c>
      <c r="K235" s="5">
        <f>IF(G235="","",ROUND(G235*0.04,2))</f>
        <v/>
      </c>
      <c r="L235" s="4" t="n"/>
      <c r="M235" s="4" t="n"/>
      <c r="N235" s="5">
        <f>IF(A235="","",SUM(E235:K235)-N(L235))</f>
        <v/>
      </c>
      <c r="O235">
        <f>IF(OR(A235="",M235=""),"",IF(ABS(M235-N235)&lt;=0.02,"OK","REVISAR"))</f>
        <v/>
      </c>
      <c r="P235">
        <f>IF(D235="","",IF(LEN(TRIM(D235))&lt;&gt;9,"REVISAR",IFERROR(IF(OR(ISNUMBER(VALUE(LEFT(UPPER(TRIM(D235)),1))),LEFT(UPPER(TRIM(D235)),1)="X",LEFT(UPPER(TRIM(D235)),1)="Y",LEFT(UPPER(TRIM(D235)),1)="Z"),IF(MID("TRWAGMYFPDXBNJZSQVHLCKE",MOD(VALUE(SUBSTITUTE(SUBSTITUTE(SUBSTITUTE(LEFT(UPPER(TRIM(D235)),8),"X","0"),"Y","1"),"Z","2")),23)+1,1)=RIGHT(UPPER(TRIM(D235)),1),"OK","REVISAR"),IF(OR(RIGHT(UPPER(TRIM(D235)),1)=TEXT(MOD(10-MOD((VALUE(MID(UPPER(TRIM(D235)),3,1))+VALUE(MID(UPPER(TRIM(D235)),5,1))+VALUE(MID(UPPER(TRIM(D235)),7,1)))+(INT(2*VALUE(MID(UPPER(TRIM(D235)),2,1))/10)+MOD(2*VALUE(MID(UPPER(TRIM(D235)),2,1)),10))+(INT(2*VALUE(MID(UPPER(TRIM(D235)),4,1))/10)+MOD(2*VALUE(MID(UPPER(TRIM(D235)),4,1)),10))+(INT(2*VALUE(MID(UPPER(TRIM(D235)),6,1))/10)+MOD(2*VALUE(MID(UPPER(TRIM(D235)),6,1)),10))+(INT(2*VALUE(MID(UPPER(TRIM(D235)),8,1))/10)+MOD(2*VALUE(MID(UPPER(TRIM(D235)),8,1)),10)),10),10),"0"),RIGHT(UPPER(TRIM(D235)),1)=MID("JABCDEFGHI",MOD(10-MOD((VALUE(MID(UPPER(TRIM(D235)),3,1))+VALUE(MID(UPPER(TRIM(D235)),5,1))+VALUE(MID(UPPER(TRIM(D235)),7,1)))+(INT(2*VALUE(MID(UPPER(TRIM(D235)),2,1))/10)+MOD(2*VALUE(MID(UPPER(TRIM(D235)),2,1)),10))+(INT(2*VALUE(MID(UPPER(TRIM(D235)),4,1))/10)+MOD(2*VALUE(MID(UPPER(TRIM(D235)),4,1)),10))+(INT(2*VALUE(MID(UPPER(TRIM(D235)),6,1))/10)+MOD(2*VALUE(MID(UPPER(TRIM(D235)),6,1)),10))+(INT(2*VALUE(MID(UPPER(TRIM(D235)),8,1))/10)+MOD(2*VALUE(MID(UPPER(TRIM(D235)),8,1)),10)),10),10)+1,1)),"OK","REVISAR")),"REVISAR")))</f>
        <v/>
      </c>
      <c r="Q235">
        <f>IF(B235="","",IF(COUNTIFS($B$2:$B$501,B235,$D$2:$D$501,D235)&gt;1,"DUPLICADA",""))</f>
        <v/>
      </c>
      <c r="R235">
        <f>IF(A235="","",ROUNDUP(MONTH(A235)/3,0))</f>
        <v/>
      </c>
      <c r="S235" s="3" t="n"/>
    </row>
    <row r="236">
      <c r="A236" s="2" t="n"/>
      <c r="B236" s="3" t="n"/>
      <c r="C236" s="3" t="n"/>
      <c r="D236" s="3" t="n"/>
      <c r="E236" s="4" t="n"/>
      <c r="F236" s="4" t="n"/>
      <c r="G236" s="4" t="n"/>
      <c r="H236" s="4" t="n"/>
      <c r="I236" s="5">
        <f>IF(E236="","",ROUND(E236*0.21,2))</f>
        <v/>
      </c>
      <c r="J236" s="5">
        <f>IF(F236="","",ROUND(F236*0.1,2))</f>
        <v/>
      </c>
      <c r="K236" s="5">
        <f>IF(G236="","",ROUND(G236*0.04,2))</f>
        <v/>
      </c>
      <c r="L236" s="4" t="n"/>
      <c r="M236" s="4" t="n"/>
      <c r="N236" s="5">
        <f>IF(A236="","",SUM(E236:K236)-N(L236))</f>
        <v/>
      </c>
      <c r="O236">
        <f>IF(OR(A236="",M236=""),"",IF(ABS(M236-N236)&lt;=0.02,"OK","REVISAR"))</f>
        <v/>
      </c>
      <c r="P236">
        <f>IF(D236="","",IF(LEN(TRIM(D236))&lt;&gt;9,"REVISAR",IFERROR(IF(OR(ISNUMBER(VALUE(LEFT(UPPER(TRIM(D236)),1))),LEFT(UPPER(TRIM(D236)),1)="X",LEFT(UPPER(TRIM(D236)),1)="Y",LEFT(UPPER(TRIM(D236)),1)="Z"),IF(MID("TRWAGMYFPDXBNJZSQVHLCKE",MOD(VALUE(SUBSTITUTE(SUBSTITUTE(SUBSTITUTE(LEFT(UPPER(TRIM(D236)),8),"X","0"),"Y","1"),"Z","2")),23)+1,1)=RIGHT(UPPER(TRIM(D236)),1),"OK","REVISAR"),IF(OR(RIGHT(UPPER(TRIM(D236)),1)=TEXT(MOD(10-MOD((VALUE(MID(UPPER(TRIM(D236)),3,1))+VALUE(MID(UPPER(TRIM(D236)),5,1))+VALUE(MID(UPPER(TRIM(D236)),7,1)))+(INT(2*VALUE(MID(UPPER(TRIM(D236)),2,1))/10)+MOD(2*VALUE(MID(UPPER(TRIM(D236)),2,1)),10))+(INT(2*VALUE(MID(UPPER(TRIM(D236)),4,1))/10)+MOD(2*VALUE(MID(UPPER(TRIM(D236)),4,1)),10))+(INT(2*VALUE(MID(UPPER(TRIM(D236)),6,1))/10)+MOD(2*VALUE(MID(UPPER(TRIM(D236)),6,1)),10))+(INT(2*VALUE(MID(UPPER(TRIM(D236)),8,1))/10)+MOD(2*VALUE(MID(UPPER(TRIM(D236)),8,1)),10)),10),10),"0"),RIGHT(UPPER(TRIM(D236)),1)=MID("JABCDEFGHI",MOD(10-MOD((VALUE(MID(UPPER(TRIM(D236)),3,1))+VALUE(MID(UPPER(TRIM(D236)),5,1))+VALUE(MID(UPPER(TRIM(D236)),7,1)))+(INT(2*VALUE(MID(UPPER(TRIM(D236)),2,1))/10)+MOD(2*VALUE(MID(UPPER(TRIM(D236)),2,1)),10))+(INT(2*VALUE(MID(UPPER(TRIM(D236)),4,1))/10)+MOD(2*VALUE(MID(UPPER(TRIM(D236)),4,1)),10))+(INT(2*VALUE(MID(UPPER(TRIM(D236)),6,1))/10)+MOD(2*VALUE(MID(UPPER(TRIM(D236)),6,1)),10))+(INT(2*VALUE(MID(UPPER(TRIM(D236)),8,1))/10)+MOD(2*VALUE(MID(UPPER(TRIM(D236)),8,1)),10)),10),10)+1,1)),"OK","REVISAR")),"REVISAR")))</f>
        <v/>
      </c>
      <c r="Q236">
        <f>IF(B236="","",IF(COUNTIFS($B$2:$B$501,B236,$D$2:$D$501,D236)&gt;1,"DUPLICADA",""))</f>
        <v/>
      </c>
      <c r="R236">
        <f>IF(A236="","",ROUNDUP(MONTH(A236)/3,0))</f>
        <v/>
      </c>
      <c r="S236" s="3" t="n"/>
    </row>
    <row r="237">
      <c r="A237" s="2" t="n"/>
      <c r="B237" s="3" t="n"/>
      <c r="C237" s="3" t="n"/>
      <c r="D237" s="3" t="n"/>
      <c r="E237" s="4" t="n"/>
      <c r="F237" s="4" t="n"/>
      <c r="G237" s="4" t="n"/>
      <c r="H237" s="4" t="n"/>
      <c r="I237" s="5">
        <f>IF(E237="","",ROUND(E237*0.21,2))</f>
        <v/>
      </c>
      <c r="J237" s="5">
        <f>IF(F237="","",ROUND(F237*0.1,2))</f>
        <v/>
      </c>
      <c r="K237" s="5">
        <f>IF(G237="","",ROUND(G237*0.04,2))</f>
        <v/>
      </c>
      <c r="L237" s="4" t="n"/>
      <c r="M237" s="4" t="n"/>
      <c r="N237" s="5">
        <f>IF(A237="","",SUM(E237:K237)-N(L237))</f>
        <v/>
      </c>
      <c r="O237">
        <f>IF(OR(A237="",M237=""),"",IF(ABS(M237-N237)&lt;=0.02,"OK","REVISAR"))</f>
        <v/>
      </c>
      <c r="P237">
        <f>IF(D237="","",IF(LEN(TRIM(D237))&lt;&gt;9,"REVISAR",IFERROR(IF(OR(ISNUMBER(VALUE(LEFT(UPPER(TRIM(D237)),1))),LEFT(UPPER(TRIM(D237)),1)="X",LEFT(UPPER(TRIM(D237)),1)="Y",LEFT(UPPER(TRIM(D237)),1)="Z"),IF(MID("TRWAGMYFPDXBNJZSQVHLCKE",MOD(VALUE(SUBSTITUTE(SUBSTITUTE(SUBSTITUTE(LEFT(UPPER(TRIM(D237)),8),"X","0"),"Y","1"),"Z","2")),23)+1,1)=RIGHT(UPPER(TRIM(D237)),1),"OK","REVISAR"),IF(OR(RIGHT(UPPER(TRIM(D237)),1)=TEXT(MOD(10-MOD((VALUE(MID(UPPER(TRIM(D237)),3,1))+VALUE(MID(UPPER(TRIM(D237)),5,1))+VALUE(MID(UPPER(TRIM(D237)),7,1)))+(INT(2*VALUE(MID(UPPER(TRIM(D237)),2,1))/10)+MOD(2*VALUE(MID(UPPER(TRIM(D237)),2,1)),10))+(INT(2*VALUE(MID(UPPER(TRIM(D237)),4,1))/10)+MOD(2*VALUE(MID(UPPER(TRIM(D237)),4,1)),10))+(INT(2*VALUE(MID(UPPER(TRIM(D237)),6,1))/10)+MOD(2*VALUE(MID(UPPER(TRIM(D237)),6,1)),10))+(INT(2*VALUE(MID(UPPER(TRIM(D237)),8,1))/10)+MOD(2*VALUE(MID(UPPER(TRIM(D237)),8,1)),10)),10),10),"0"),RIGHT(UPPER(TRIM(D237)),1)=MID("JABCDEFGHI",MOD(10-MOD((VALUE(MID(UPPER(TRIM(D237)),3,1))+VALUE(MID(UPPER(TRIM(D237)),5,1))+VALUE(MID(UPPER(TRIM(D237)),7,1)))+(INT(2*VALUE(MID(UPPER(TRIM(D237)),2,1))/10)+MOD(2*VALUE(MID(UPPER(TRIM(D237)),2,1)),10))+(INT(2*VALUE(MID(UPPER(TRIM(D237)),4,1))/10)+MOD(2*VALUE(MID(UPPER(TRIM(D237)),4,1)),10))+(INT(2*VALUE(MID(UPPER(TRIM(D237)),6,1))/10)+MOD(2*VALUE(MID(UPPER(TRIM(D237)),6,1)),10))+(INT(2*VALUE(MID(UPPER(TRIM(D237)),8,1))/10)+MOD(2*VALUE(MID(UPPER(TRIM(D237)),8,1)),10)),10),10)+1,1)),"OK","REVISAR")),"REVISAR")))</f>
        <v/>
      </c>
      <c r="Q237">
        <f>IF(B237="","",IF(COUNTIFS($B$2:$B$501,B237,$D$2:$D$501,D237)&gt;1,"DUPLICADA",""))</f>
        <v/>
      </c>
      <c r="R237">
        <f>IF(A237="","",ROUNDUP(MONTH(A237)/3,0))</f>
        <v/>
      </c>
      <c r="S237" s="3" t="n"/>
    </row>
    <row r="238">
      <c r="A238" s="2" t="n"/>
      <c r="B238" s="3" t="n"/>
      <c r="C238" s="3" t="n"/>
      <c r="D238" s="3" t="n"/>
      <c r="E238" s="4" t="n"/>
      <c r="F238" s="4" t="n"/>
      <c r="G238" s="4" t="n"/>
      <c r="H238" s="4" t="n"/>
      <c r="I238" s="5">
        <f>IF(E238="","",ROUND(E238*0.21,2))</f>
        <v/>
      </c>
      <c r="J238" s="5">
        <f>IF(F238="","",ROUND(F238*0.1,2))</f>
        <v/>
      </c>
      <c r="K238" s="5">
        <f>IF(G238="","",ROUND(G238*0.04,2))</f>
        <v/>
      </c>
      <c r="L238" s="4" t="n"/>
      <c r="M238" s="4" t="n"/>
      <c r="N238" s="5">
        <f>IF(A238="","",SUM(E238:K238)-N(L238))</f>
        <v/>
      </c>
      <c r="O238">
        <f>IF(OR(A238="",M238=""),"",IF(ABS(M238-N238)&lt;=0.02,"OK","REVISAR"))</f>
        <v/>
      </c>
      <c r="P238">
        <f>IF(D238="","",IF(LEN(TRIM(D238))&lt;&gt;9,"REVISAR",IFERROR(IF(OR(ISNUMBER(VALUE(LEFT(UPPER(TRIM(D238)),1))),LEFT(UPPER(TRIM(D238)),1)="X",LEFT(UPPER(TRIM(D238)),1)="Y",LEFT(UPPER(TRIM(D238)),1)="Z"),IF(MID("TRWAGMYFPDXBNJZSQVHLCKE",MOD(VALUE(SUBSTITUTE(SUBSTITUTE(SUBSTITUTE(LEFT(UPPER(TRIM(D238)),8),"X","0"),"Y","1"),"Z","2")),23)+1,1)=RIGHT(UPPER(TRIM(D238)),1),"OK","REVISAR"),IF(OR(RIGHT(UPPER(TRIM(D238)),1)=TEXT(MOD(10-MOD((VALUE(MID(UPPER(TRIM(D238)),3,1))+VALUE(MID(UPPER(TRIM(D238)),5,1))+VALUE(MID(UPPER(TRIM(D238)),7,1)))+(INT(2*VALUE(MID(UPPER(TRIM(D238)),2,1))/10)+MOD(2*VALUE(MID(UPPER(TRIM(D238)),2,1)),10))+(INT(2*VALUE(MID(UPPER(TRIM(D238)),4,1))/10)+MOD(2*VALUE(MID(UPPER(TRIM(D238)),4,1)),10))+(INT(2*VALUE(MID(UPPER(TRIM(D238)),6,1))/10)+MOD(2*VALUE(MID(UPPER(TRIM(D238)),6,1)),10))+(INT(2*VALUE(MID(UPPER(TRIM(D238)),8,1))/10)+MOD(2*VALUE(MID(UPPER(TRIM(D238)),8,1)),10)),10),10),"0"),RIGHT(UPPER(TRIM(D238)),1)=MID("JABCDEFGHI",MOD(10-MOD((VALUE(MID(UPPER(TRIM(D238)),3,1))+VALUE(MID(UPPER(TRIM(D238)),5,1))+VALUE(MID(UPPER(TRIM(D238)),7,1)))+(INT(2*VALUE(MID(UPPER(TRIM(D238)),2,1))/10)+MOD(2*VALUE(MID(UPPER(TRIM(D238)),2,1)),10))+(INT(2*VALUE(MID(UPPER(TRIM(D238)),4,1))/10)+MOD(2*VALUE(MID(UPPER(TRIM(D238)),4,1)),10))+(INT(2*VALUE(MID(UPPER(TRIM(D238)),6,1))/10)+MOD(2*VALUE(MID(UPPER(TRIM(D238)),6,1)),10))+(INT(2*VALUE(MID(UPPER(TRIM(D238)),8,1))/10)+MOD(2*VALUE(MID(UPPER(TRIM(D238)),8,1)),10)),10),10)+1,1)),"OK","REVISAR")),"REVISAR")))</f>
        <v/>
      </c>
      <c r="Q238">
        <f>IF(B238="","",IF(COUNTIFS($B$2:$B$501,B238,$D$2:$D$501,D238)&gt;1,"DUPLICADA",""))</f>
        <v/>
      </c>
      <c r="R238">
        <f>IF(A238="","",ROUNDUP(MONTH(A238)/3,0))</f>
        <v/>
      </c>
      <c r="S238" s="3" t="n"/>
    </row>
    <row r="239">
      <c r="A239" s="2" t="n"/>
      <c r="B239" s="3" t="n"/>
      <c r="C239" s="3" t="n"/>
      <c r="D239" s="3" t="n"/>
      <c r="E239" s="4" t="n"/>
      <c r="F239" s="4" t="n"/>
      <c r="G239" s="4" t="n"/>
      <c r="H239" s="4" t="n"/>
      <c r="I239" s="5">
        <f>IF(E239="","",ROUND(E239*0.21,2))</f>
        <v/>
      </c>
      <c r="J239" s="5">
        <f>IF(F239="","",ROUND(F239*0.1,2))</f>
        <v/>
      </c>
      <c r="K239" s="5">
        <f>IF(G239="","",ROUND(G239*0.04,2))</f>
        <v/>
      </c>
      <c r="L239" s="4" t="n"/>
      <c r="M239" s="4" t="n"/>
      <c r="N239" s="5">
        <f>IF(A239="","",SUM(E239:K239)-N(L239))</f>
        <v/>
      </c>
      <c r="O239">
        <f>IF(OR(A239="",M239=""),"",IF(ABS(M239-N239)&lt;=0.02,"OK","REVISAR"))</f>
        <v/>
      </c>
      <c r="P239">
        <f>IF(D239="","",IF(LEN(TRIM(D239))&lt;&gt;9,"REVISAR",IFERROR(IF(OR(ISNUMBER(VALUE(LEFT(UPPER(TRIM(D239)),1))),LEFT(UPPER(TRIM(D239)),1)="X",LEFT(UPPER(TRIM(D239)),1)="Y",LEFT(UPPER(TRIM(D239)),1)="Z"),IF(MID("TRWAGMYFPDXBNJZSQVHLCKE",MOD(VALUE(SUBSTITUTE(SUBSTITUTE(SUBSTITUTE(LEFT(UPPER(TRIM(D239)),8),"X","0"),"Y","1"),"Z","2")),23)+1,1)=RIGHT(UPPER(TRIM(D239)),1),"OK","REVISAR"),IF(OR(RIGHT(UPPER(TRIM(D239)),1)=TEXT(MOD(10-MOD((VALUE(MID(UPPER(TRIM(D239)),3,1))+VALUE(MID(UPPER(TRIM(D239)),5,1))+VALUE(MID(UPPER(TRIM(D239)),7,1)))+(INT(2*VALUE(MID(UPPER(TRIM(D239)),2,1))/10)+MOD(2*VALUE(MID(UPPER(TRIM(D239)),2,1)),10))+(INT(2*VALUE(MID(UPPER(TRIM(D239)),4,1))/10)+MOD(2*VALUE(MID(UPPER(TRIM(D239)),4,1)),10))+(INT(2*VALUE(MID(UPPER(TRIM(D239)),6,1))/10)+MOD(2*VALUE(MID(UPPER(TRIM(D239)),6,1)),10))+(INT(2*VALUE(MID(UPPER(TRIM(D239)),8,1))/10)+MOD(2*VALUE(MID(UPPER(TRIM(D239)),8,1)),10)),10),10),"0"),RIGHT(UPPER(TRIM(D239)),1)=MID("JABCDEFGHI",MOD(10-MOD((VALUE(MID(UPPER(TRIM(D239)),3,1))+VALUE(MID(UPPER(TRIM(D239)),5,1))+VALUE(MID(UPPER(TRIM(D239)),7,1)))+(INT(2*VALUE(MID(UPPER(TRIM(D239)),2,1))/10)+MOD(2*VALUE(MID(UPPER(TRIM(D239)),2,1)),10))+(INT(2*VALUE(MID(UPPER(TRIM(D239)),4,1))/10)+MOD(2*VALUE(MID(UPPER(TRIM(D239)),4,1)),10))+(INT(2*VALUE(MID(UPPER(TRIM(D239)),6,1))/10)+MOD(2*VALUE(MID(UPPER(TRIM(D239)),6,1)),10))+(INT(2*VALUE(MID(UPPER(TRIM(D239)),8,1))/10)+MOD(2*VALUE(MID(UPPER(TRIM(D239)),8,1)),10)),10),10)+1,1)),"OK","REVISAR")),"REVISAR")))</f>
        <v/>
      </c>
      <c r="Q239">
        <f>IF(B239="","",IF(COUNTIFS($B$2:$B$501,B239,$D$2:$D$501,D239)&gt;1,"DUPLICADA",""))</f>
        <v/>
      </c>
      <c r="R239">
        <f>IF(A239="","",ROUNDUP(MONTH(A239)/3,0))</f>
        <v/>
      </c>
      <c r="S239" s="3" t="n"/>
    </row>
    <row r="240">
      <c r="A240" s="2" t="n"/>
      <c r="B240" s="3" t="n"/>
      <c r="C240" s="3" t="n"/>
      <c r="D240" s="3" t="n"/>
      <c r="E240" s="4" t="n"/>
      <c r="F240" s="4" t="n"/>
      <c r="G240" s="4" t="n"/>
      <c r="H240" s="4" t="n"/>
      <c r="I240" s="5">
        <f>IF(E240="","",ROUND(E240*0.21,2))</f>
        <v/>
      </c>
      <c r="J240" s="5">
        <f>IF(F240="","",ROUND(F240*0.1,2))</f>
        <v/>
      </c>
      <c r="K240" s="5">
        <f>IF(G240="","",ROUND(G240*0.04,2))</f>
        <v/>
      </c>
      <c r="L240" s="4" t="n"/>
      <c r="M240" s="4" t="n"/>
      <c r="N240" s="5">
        <f>IF(A240="","",SUM(E240:K240)-N(L240))</f>
        <v/>
      </c>
      <c r="O240">
        <f>IF(OR(A240="",M240=""),"",IF(ABS(M240-N240)&lt;=0.02,"OK","REVISAR"))</f>
        <v/>
      </c>
      <c r="P240">
        <f>IF(D240="","",IF(LEN(TRIM(D240))&lt;&gt;9,"REVISAR",IFERROR(IF(OR(ISNUMBER(VALUE(LEFT(UPPER(TRIM(D240)),1))),LEFT(UPPER(TRIM(D240)),1)="X",LEFT(UPPER(TRIM(D240)),1)="Y",LEFT(UPPER(TRIM(D240)),1)="Z"),IF(MID("TRWAGMYFPDXBNJZSQVHLCKE",MOD(VALUE(SUBSTITUTE(SUBSTITUTE(SUBSTITUTE(LEFT(UPPER(TRIM(D240)),8),"X","0"),"Y","1"),"Z","2")),23)+1,1)=RIGHT(UPPER(TRIM(D240)),1),"OK","REVISAR"),IF(OR(RIGHT(UPPER(TRIM(D240)),1)=TEXT(MOD(10-MOD((VALUE(MID(UPPER(TRIM(D240)),3,1))+VALUE(MID(UPPER(TRIM(D240)),5,1))+VALUE(MID(UPPER(TRIM(D240)),7,1)))+(INT(2*VALUE(MID(UPPER(TRIM(D240)),2,1))/10)+MOD(2*VALUE(MID(UPPER(TRIM(D240)),2,1)),10))+(INT(2*VALUE(MID(UPPER(TRIM(D240)),4,1))/10)+MOD(2*VALUE(MID(UPPER(TRIM(D240)),4,1)),10))+(INT(2*VALUE(MID(UPPER(TRIM(D240)),6,1))/10)+MOD(2*VALUE(MID(UPPER(TRIM(D240)),6,1)),10))+(INT(2*VALUE(MID(UPPER(TRIM(D240)),8,1))/10)+MOD(2*VALUE(MID(UPPER(TRIM(D240)),8,1)),10)),10),10),"0"),RIGHT(UPPER(TRIM(D240)),1)=MID("JABCDEFGHI",MOD(10-MOD((VALUE(MID(UPPER(TRIM(D240)),3,1))+VALUE(MID(UPPER(TRIM(D240)),5,1))+VALUE(MID(UPPER(TRIM(D240)),7,1)))+(INT(2*VALUE(MID(UPPER(TRIM(D240)),2,1))/10)+MOD(2*VALUE(MID(UPPER(TRIM(D240)),2,1)),10))+(INT(2*VALUE(MID(UPPER(TRIM(D240)),4,1))/10)+MOD(2*VALUE(MID(UPPER(TRIM(D240)),4,1)),10))+(INT(2*VALUE(MID(UPPER(TRIM(D240)),6,1))/10)+MOD(2*VALUE(MID(UPPER(TRIM(D240)),6,1)),10))+(INT(2*VALUE(MID(UPPER(TRIM(D240)),8,1))/10)+MOD(2*VALUE(MID(UPPER(TRIM(D240)),8,1)),10)),10),10)+1,1)),"OK","REVISAR")),"REVISAR")))</f>
        <v/>
      </c>
      <c r="Q240">
        <f>IF(B240="","",IF(COUNTIFS($B$2:$B$501,B240,$D$2:$D$501,D240)&gt;1,"DUPLICADA",""))</f>
        <v/>
      </c>
      <c r="R240">
        <f>IF(A240="","",ROUNDUP(MONTH(A240)/3,0))</f>
        <v/>
      </c>
      <c r="S240" s="3" t="n"/>
    </row>
    <row r="241">
      <c r="A241" s="2" t="n"/>
      <c r="B241" s="3" t="n"/>
      <c r="C241" s="3" t="n"/>
      <c r="D241" s="3" t="n"/>
      <c r="E241" s="4" t="n"/>
      <c r="F241" s="4" t="n"/>
      <c r="G241" s="4" t="n"/>
      <c r="H241" s="4" t="n"/>
      <c r="I241" s="5">
        <f>IF(E241="","",ROUND(E241*0.21,2))</f>
        <v/>
      </c>
      <c r="J241" s="5">
        <f>IF(F241="","",ROUND(F241*0.1,2))</f>
        <v/>
      </c>
      <c r="K241" s="5">
        <f>IF(G241="","",ROUND(G241*0.04,2))</f>
        <v/>
      </c>
      <c r="L241" s="4" t="n"/>
      <c r="M241" s="4" t="n"/>
      <c r="N241" s="5">
        <f>IF(A241="","",SUM(E241:K241)-N(L241))</f>
        <v/>
      </c>
      <c r="O241">
        <f>IF(OR(A241="",M241=""),"",IF(ABS(M241-N241)&lt;=0.02,"OK","REVISAR"))</f>
        <v/>
      </c>
      <c r="P241">
        <f>IF(D241="","",IF(LEN(TRIM(D241))&lt;&gt;9,"REVISAR",IFERROR(IF(OR(ISNUMBER(VALUE(LEFT(UPPER(TRIM(D241)),1))),LEFT(UPPER(TRIM(D241)),1)="X",LEFT(UPPER(TRIM(D241)),1)="Y",LEFT(UPPER(TRIM(D241)),1)="Z"),IF(MID("TRWAGMYFPDXBNJZSQVHLCKE",MOD(VALUE(SUBSTITUTE(SUBSTITUTE(SUBSTITUTE(LEFT(UPPER(TRIM(D241)),8),"X","0"),"Y","1"),"Z","2")),23)+1,1)=RIGHT(UPPER(TRIM(D241)),1),"OK","REVISAR"),IF(OR(RIGHT(UPPER(TRIM(D241)),1)=TEXT(MOD(10-MOD((VALUE(MID(UPPER(TRIM(D241)),3,1))+VALUE(MID(UPPER(TRIM(D241)),5,1))+VALUE(MID(UPPER(TRIM(D241)),7,1)))+(INT(2*VALUE(MID(UPPER(TRIM(D241)),2,1))/10)+MOD(2*VALUE(MID(UPPER(TRIM(D241)),2,1)),10))+(INT(2*VALUE(MID(UPPER(TRIM(D241)),4,1))/10)+MOD(2*VALUE(MID(UPPER(TRIM(D241)),4,1)),10))+(INT(2*VALUE(MID(UPPER(TRIM(D241)),6,1))/10)+MOD(2*VALUE(MID(UPPER(TRIM(D241)),6,1)),10))+(INT(2*VALUE(MID(UPPER(TRIM(D241)),8,1))/10)+MOD(2*VALUE(MID(UPPER(TRIM(D241)),8,1)),10)),10),10),"0"),RIGHT(UPPER(TRIM(D241)),1)=MID("JABCDEFGHI",MOD(10-MOD((VALUE(MID(UPPER(TRIM(D241)),3,1))+VALUE(MID(UPPER(TRIM(D241)),5,1))+VALUE(MID(UPPER(TRIM(D241)),7,1)))+(INT(2*VALUE(MID(UPPER(TRIM(D241)),2,1))/10)+MOD(2*VALUE(MID(UPPER(TRIM(D241)),2,1)),10))+(INT(2*VALUE(MID(UPPER(TRIM(D241)),4,1))/10)+MOD(2*VALUE(MID(UPPER(TRIM(D241)),4,1)),10))+(INT(2*VALUE(MID(UPPER(TRIM(D241)),6,1))/10)+MOD(2*VALUE(MID(UPPER(TRIM(D241)),6,1)),10))+(INT(2*VALUE(MID(UPPER(TRIM(D241)),8,1))/10)+MOD(2*VALUE(MID(UPPER(TRIM(D241)),8,1)),10)),10),10)+1,1)),"OK","REVISAR")),"REVISAR")))</f>
        <v/>
      </c>
      <c r="Q241">
        <f>IF(B241="","",IF(COUNTIFS($B$2:$B$501,B241,$D$2:$D$501,D241)&gt;1,"DUPLICADA",""))</f>
        <v/>
      </c>
      <c r="R241">
        <f>IF(A241="","",ROUNDUP(MONTH(A241)/3,0))</f>
        <v/>
      </c>
      <c r="S241" s="3" t="n"/>
    </row>
    <row r="242">
      <c r="A242" s="2" t="n"/>
      <c r="B242" s="3" t="n"/>
      <c r="C242" s="3" t="n"/>
      <c r="D242" s="3" t="n"/>
      <c r="E242" s="4" t="n"/>
      <c r="F242" s="4" t="n"/>
      <c r="G242" s="4" t="n"/>
      <c r="H242" s="4" t="n"/>
      <c r="I242" s="5">
        <f>IF(E242="","",ROUND(E242*0.21,2))</f>
        <v/>
      </c>
      <c r="J242" s="5">
        <f>IF(F242="","",ROUND(F242*0.1,2))</f>
        <v/>
      </c>
      <c r="K242" s="5">
        <f>IF(G242="","",ROUND(G242*0.04,2))</f>
        <v/>
      </c>
      <c r="L242" s="4" t="n"/>
      <c r="M242" s="4" t="n"/>
      <c r="N242" s="5">
        <f>IF(A242="","",SUM(E242:K242)-N(L242))</f>
        <v/>
      </c>
      <c r="O242">
        <f>IF(OR(A242="",M242=""),"",IF(ABS(M242-N242)&lt;=0.02,"OK","REVISAR"))</f>
        <v/>
      </c>
      <c r="P242">
        <f>IF(D242="","",IF(LEN(TRIM(D242))&lt;&gt;9,"REVISAR",IFERROR(IF(OR(ISNUMBER(VALUE(LEFT(UPPER(TRIM(D242)),1))),LEFT(UPPER(TRIM(D242)),1)="X",LEFT(UPPER(TRIM(D242)),1)="Y",LEFT(UPPER(TRIM(D242)),1)="Z"),IF(MID("TRWAGMYFPDXBNJZSQVHLCKE",MOD(VALUE(SUBSTITUTE(SUBSTITUTE(SUBSTITUTE(LEFT(UPPER(TRIM(D242)),8),"X","0"),"Y","1"),"Z","2")),23)+1,1)=RIGHT(UPPER(TRIM(D242)),1),"OK","REVISAR"),IF(OR(RIGHT(UPPER(TRIM(D242)),1)=TEXT(MOD(10-MOD((VALUE(MID(UPPER(TRIM(D242)),3,1))+VALUE(MID(UPPER(TRIM(D242)),5,1))+VALUE(MID(UPPER(TRIM(D242)),7,1)))+(INT(2*VALUE(MID(UPPER(TRIM(D242)),2,1))/10)+MOD(2*VALUE(MID(UPPER(TRIM(D242)),2,1)),10))+(INT(2*VALUE(MID(UPPER(TRIM(D242)),4,1))/10)+MOD(2*VALUE(MID(UPPER(TRIM(D242)),4,1)),10))+(INT(2*VALUE(MID(UPPER(TRIM(D242)),6,1))/10)+MOD(2*VALUE(MID(UPPER(TRIM(D242)),6,1)),10))+(INT(2*VALUE(MID(UPPER(TRIM(D242)),8,1))/10)+MOD(2*VALUE(MID(UPPER(TRIM(D242)),8,1)),10)),10),10),"0"),RIGHT(UPPER(TRIM(D242)),1)=MID("JABCDEFGHI",MOD(10-MOD((VALUE(MID(UPPER(TRIM(D242)),3,1))+VALUE(MID(UPPER(TRIM(D242)),5,1))+VALUE(MID(UPPER(TRIM(D242)),7,1)))+(INT(2*VALUE(MID(UPPER(TRIM(D242)),2,1))/10)+MOD(2*VALUE(MID(UPPER(TRIM(D242)),2,1)),10))+(INT(2*VALUE(MID(UPPER(TRIM(D242)),4,1))/10)+MOD(2*VALUE(MID(UPPER(TRIM(D242)),4,1)),10))+(INT(2*VALUE(MID(UPPER(TRIM(D242)),6,1))/10)+MOD(2*VALUE(MID(UPPER(TRIM(D242)),6,1)),10))+(INT(2*VALUE(MID(UPPER(TRIM(D242)),8,1))/10)+MOD(2*VALUE(MID(UPPER(TRIM(D242)),8,1)),10)),10),10)+1,1)),"OK","REVISAR")),"REVISAR")))</f>
        <v/>
      </c>
      <c r="Q242">
        <f>IF(B242="","",IF(COUNTIFS($B$2:$B$501,B242,$D$2:$D$501,D242)&gt;1,"DUPLICADA",""))</f>
        <v/>
      </c>
      <c r="R242">
        <f>IF(A242="","",ROUNDUP(MONTH(A242)/3,0))</f>
        <v/>
      </c>
      <c r="S242" s="3" t="n"/>
    </row>
    <row r="243">
      <c r="A243" s="2" t="n"/>
      <c r="B243" s="3" t="n"/>
      <c r="C243" s="3" t="n"/>
      <c r="D243" s="3" t="n"/>
      <c r="E243" s="4" t="n"/>
      <c r="F243" s="4" t="n"/>
      <c r="G243" s="4" t="n"/>
      <c r="H243" s="4" t="n"/>
      <c r="I243" s="5">
        <f>IF(E243="","",ROUND(E243*0.21,2))</f>
        <v/>
      </c>
      <c r="J243" s="5">
        <f>IF(F243="","",ROUND(F243*0.1,2))</f>
        <v/>
      </c>
      <c r="K243" s="5">
        <f>IF(G243="","",ROUND(G243*0.04,2))</f>
        <v/>
      </c>
      <c r="L243" s="4" t="n"/>
      <c r="M243" s="4" t="n"/>
      <c r="N243" s="5">
        <f>IF(A243="","",SUM(E243:K243)-N(L243))</f>
        <v/>
      </c>
      <c r="O243">
        <f>IF(OR(A243="",M243=""),"",IF(ABS(M243-N243)&lt;=0.02,"OK","REVISAR"))</f>
        <v/>
      </c>
      <c r="P243">
        <f>IF(D243="","",IF(LEN(TRIM(D243))&lt;&gt;9,"REVISAR",IFERROR(IF(OR(ISNUMBER(VALUE(LEFT(UPPER(TRIM(D243)),1))),LEFT(UPPER(TRIM(D243)),1)="X",LEFT(UPPER(TRIM(D243)),1)="Y",LEFT(UPPER(TRIM(D243)),1)="Z"),IF(MID("TRWAGMYFPDXBNJZSQVHLCKE",MOD(VALUE(SUBSTITUTE(SUBSTITUTE(SUBSTITUTE(LEFT(UPPER(TRIM(D243)),8),"X","0"),"Y","1"),"Z","2")),23)+1,1)=RIGHT(UPPER(TRIM(D243)),1),"OK","REVISAR"),IF(OR(RIGHT(UPPER(TRIM(D243)),1)=TEXT(MOD(10-MOD((VALUE(MID(UPPER(TRIM(D243)),3,1))+VALUE(MID(UPPER(TRIM(D243)),5,1))+VALUE(MID(UPPER(TRIM(D243)),7,1)))+(INT(2*VALUE(MID(UPPER(TRIM(D243)),2,1))/10)+MOD(2*VALUE(MID(UPPER(TRIM(D243)),2,1)),10))+(INT(2*VALUE(MID(UPPER(TRIM(D243)),4,1))/10)+MOD(2*VALUE(MID(UPPER(TRIM(D243)),4,1)),10))+(INT(2*VALUE(MID(UPPER(TRIM(D243)),6,1))/10)+MOD(2*VALUE(MID(UPPER(TRIM(D243)),6,1)),10))+(INT(2*VALUE(MID(UPPER(TRIM(D243)),8,1))/10)+MOD(2*VALUE(MID(UPPER(TRIM(D243)),8,1)),10)),10),10),"0"),RIGHT(UPPER(TRIM(D243)),1)=MID("JABCDEFGHI",MOD(10-MOD((VALUE(MID(UPPER(TRIM(D243)),3,1))+VALUE(MID(UPPER(TRIM(D243)),5,1))+VALUE(MID(UPPER(TRIM(D243)),7,1)))+(INT(2*VALUE(MID(UPPER(TRIM(D243)),2,1))/10)+MOD(2*VALUE(MID(UPPER(TRIM(D243)),2,1)),10))+(INT(2*VALUE(MID(UPPER(TRIM(D243)),4,1))/10)+MOD(2*VALUE(MID(UPPER(TRIM(D243)),4,1)),10))+(INT(2*VALUE(MID(UPPER(TRIM(D243)),6,1))/10)+MOD(2*VALUE(MID(UPPER(TRIM(D243)),6,1)),10))+(INT(2*VALUE(MID(UPPER(TRIM(D243)),8,1))/10)+MOD(2*VALUE(MID(UPPER(TRIM(D243)),8,1)),10)),10),10)+1,1)),"OK","REVISAR")),"REVISAR")))</f>
        <v/>
      </c>
      <c r="Q243">
        <f>IF(B243="","",IF(COUNTIFS($B$2:$B$501,B243,$D$2:$D$501,D243)&gt;1,"DUPLICADA",""))</f>
        <v/>
      </c>
      <c r="R243">
        <f>IF(A243="","",ROUNDUP(MONTH(A243)/3,0))</f>
        <v/>
      </c>
      <c r="S243" s="3" t="n"/>
    </row>
    <row r="244">
      <c r="A244" s="2" t="n"/>
      <c r="B244" s="3" t="n"/>
      <c r="C244" s="3" t="n"/>
      <c r="D244" s="3" t="n"/>
      <c r="E244" s="4" t="n"/>
      <c r="F244" s="4" t="n"/>
      <c r="G244" s="4" t="n"/>
      <c r="H244" s="4" t="n"/>
      <c r="I244" s="5">
        <f>IF(E244="","",ROUND(E244*0.21,2))</f>
        <v/>
      </c>
      <c r="J244" s="5">
        <f>IF(F244="","",ROUND(F244*0.1,2))</f>
        <v/>
      </c>
      <c r="K244" s="5">
        <f>IF(G244="","",ROUND(G244*0.04,2))</f>
        <v/>
      </c>
      <c r="L244" s="4" t="n"/>
      <c r="M244" s="4" t="n"/>
      <c r="N244" s="5">
        <f>IF(A244="","",SUM(E244:K244)-N(L244))</f>
        <v/>
      </c>
      <c r="O244">
        <f>IF(OR(A244="",M244=""),"",IF(ABS(M244-N244)&lt;=0.02,"OK","REVISAR"))</f>
        <v/>
      </c>
      <c r="P244">
        <f>IF(D244="","",IF(LEN(TRIM(D244))&lt;&gt;9,"REVISAR",IFERROR(IF(OR(ISNUMBER(VALUE(LEFT(UPPER(TRIM(D244)),1))),LEFT(UPPER(TRIM(D244)),1)="X",LEFT(UPPER(TRIM(D244)),1)="Y",LEFT(UPPER(TRIM(D244)),1)="Z"),IF(MID("TRWAGMYFPDXBNJZSQVHLCKE",MOD(VALUE(SUBSTITUTE(SUBSTITUTE(SUBSTITUTE(LEFT(UPPER(TRIM(D244)),8),"X","0"),"Y","1"),"Z","2")),23)+1,1)=RIGHT(UPPER(TRIM(D244)),1),"OK","REVISAR"),IF(OR(RIGHT(UPPER(TRIM(D244)),1)=TEXT(MOD(10-MOD((VALUE(MID(UPPER(TRIM(D244)),3,1))+VALUE(MID(UPPER(TRIM(D244)),5,1))+VALUE(MID(UPPER(TRIM(D244)),7,1)))+(INT(2*VALUE(MID(UPPER(TRIM(D244)),2,1))/10)+MOD(2*VALUE(MID(UPPER(TRIM(D244)),2,1)),10))+(INT(2*VALUE(MID(UPPER(TRIM(D244)),4,1))/10)+MOD(2*VALUE(MID(UPPER(TRIM(D244)),4,1)),10))+(INT(2*VALUE(MID(UPPER(TRIM(D244)),6,1))/10)+MOD(2*VALUE(MID(UPPER(TRIM(D244)),6,1)),10))+(INT(2*VALUE(MID(UPPER(TRIM(D244)),8,1))/10)+MOD(2*VALUE(MID(UPPER(TRIM(D244)),8,1)),10)),10),10),"0"),RIGHT(UPPER(TRIM(D244)),1)=MID("JABCDEFGHI",MOD(10-MOD((VALUE(MID(UPPER(TRIM(D244)),3,1))+VALUE(MID(UPPER(TRIM(D244)),5,1))+VALUE(MID(UPPER(TRIM(D244)),7,1)))+(INT(2*VALUE(MID(UPPER(TRIM(D244)),2,1))/10)+MOD(2*VALUE(MID(UPPER(TRIM(D244)),2,1)),10))+(INT(2*VALUE(MID(UPPER(TRIM(D244)),4,1))/10)+MOD(2*VALUE(MID(UPPER(TRIM(D244)),4,1)),10))+(INT(2*VALUE(MID(UPPER(TRIM(D244)),6,1))/10)+MOD(2*VALUE(MID(UPPER(TRIM(D244)),6,1)),10))+(INT(2*VALUE(MID(UPPER(TRIM(D244)),8,1))/10)+MOD(2*VALUE(MID(UPPER(TRIM(D244)),8,1)),10)),10),10)+1,1)),"OK","REVISAR")),"REVISAR")))</f>
        <v/>
      </c>
      <c r="Q244">
        <f>IF(B244="","",IF(COUNTIFS($B$2:$B$501,B244,$D$2:$D$501,D244)&gt;1,"DUPLICADA",""))</f>
        <v/>
      </c>
      <c r="R244">
        <f>IF(A244="","",ROUNDUP(MONTH(A244)/3,0))</f>
        <v/>
      </c>
      <c r="S244" s="3" t="n"/>
    </row>
    <row r="245">
      <c r="A245" s="2" t="n"/>
      <c r="B245" s="3" t="n"/>
      <c r="C245" s="3" t="n"/>
      <c r="D245" s="3" t="n"/>
      <c r="E245" s="4" t="n"/>
      <c r="F245" s="4" t="n"/>
      <c r="G245" s="4" t="n"/>
      <c r="H245" s="4" t="n"/>
      <c r="I245" s="5">
        <f>IF(E245="","",ROUND(E245*0.21,2))</f>
        <v/>
      </c>
      <c r="J245" s="5">
        <f>IF(F245="","",ROUND(F245*0.1,2))</f>
        <v/>
      </c>
      <c r="K245" s="5">
        <f>IF(G245="","",ROUND(G245*0.04,2))</f>
        <v/>
      </c>
      <c r="L245" s="4" t="n"/>
      <c r="M245" s="4" t="n"/>
      <c r="N245" s="5">
        <f>IF(A245="","",SUM(E245:K245)-N(L245))</f>
        <v/>
      </c>
      <c r="O245">
        <f>IF(OR(A245="",M245=""),"",IF(ABS(M245-N245)&lt;=0.02,"OK","REVISAR"))</f>
        <v/>
      </c>
      <c r="P245">
        <f>IF(D245="","",IF(LEN(TRIM(D245))&lt;&gt;9,"REVISAR",IFERROR(IF(OR(ISNUMBER(VALUE(LEFT(UPPER(TRIM(D245)),1))),LEFT(UPPER(TRIM(D245)),1)="X",LEFT(UPPER(TRIM(D245)),1)="Y",LEFT(UPPER(TRIM(D245)),1)="Z"),IF(MID("TRWAGMYFPDXBNJZSQVHLCKE",MOD(VALUE(SUBSTITUTE(SUBSTITUTE(SUBSTITUTE(LEFT(UPPER(TRIM(D245)),8),"X","0"),"Y","1"),"Z","2")),23)+1,1)=RIGHT(UPPER(TRIM(D245)),1),"OK","REVISAR"),IF(OR(RIGHT(UPPER(TRIM(D245)),1)=TEXT(MOD(10-MOD((VALUE(MID(UPPER(TRIM(D245)),3,1))+VALUE(MID(UPPER(TRIM(D245)),5,1))+VALUE(MID(UPPER(TRIM(D245)),7,1)))+(INT(2*VALUE(MID(UPPER(TRIM(D245)),2,1))/10)+MOD(2*VALUE(MID(UPPER(TRIM(D245)),2,1)),10))+(INT(2*VALUE(MID(UPPER(TRIM(D245)),4,1))/10)+MOD(2*VALUE(MID(UPPER(TRIM(D245)),4,1)),10))+(INT(2*VALUE(MID(UPPER(TRIM(D245)),6,1))/10)+MOD(2*VALUE(MID(UPPER(TRIM(D245)),6,1)),10))+(INT(2*VALUE(MID(UPPER(TRIM(D245)),8,1))/10)+MOD(2*VALUE(MID(UPPER(TRIM(D245)),8,1)),10)),10),10),"0"),RIGHT(UPPER(TRIM(D245)),1)=MID("JABCDEFGHI",MOD(10-MOD((VALUE(MID(UPPER(TRIM(D245)),3,1))+VALUE(MID(UPPER(TRIM(D245)),5,1))+VALUE(MID(UPPER(TRIM(D245)),7,1)))+(INT(2*VALUE(MID(UPPER(TRIM(D245)),2,1))/10)+MOD(2*VALUE(MID(UPPER(TRIM(D245)),2,1)),10))+(INT(2*VALUE(MID(UPPER(TRIM(D245)),4,1))/10)+MOD(2*VALUE(MID(UPPER(TRIM(D245)),4,1)),10))+(INT(2*VALUE(MID(UPPER(TRIM(D245)),6,1))/10)+MOD(2*VALUE(MID(UPPER(TRIM(D245)),6,1)),10))+(INT(2*VALUE(MID(UPPER(TRIM(D245)),8,1))/10)+MOD(2*VALUE(MID(UPPER(TRIM(D245)),8,1)),10)),10),10)+1,1)),"OK","REVISAR")),"REVISAR")))</f>
        <v/>
      </c>
      <c r="Q245">
        <f>IF(B245="","",IF(COUNTIFS($B$2:$B$501,B245,$D$2:$D$501,D245)&gt;1,"DUPLICADA",""))</f>
        <v/>
      </c>
      <c r="R245">
        <f>IF(A245="","",ROUNDUP(MONTH(A245)/3,0))</f>
        <v/>
      </c>
      <c r="S245" s="3" t="n"/>
    </row>
    <row r="246">
      <c r="A246" s="2" t="n"/>
      <c r="B246" s="3" t="n"/>
      <c r="C246" s="3" t="n"/>
      <c r="D246" s="3" t="n"/>
      <c r="E246" s="4" t="n"/>
      <c r="F246" s="4" t="n"/>
      <c r="G246" s="4" t="n"/>
      <c r="H246" s="4" t="n"/>
      <c r="I246" s="5">
        <f>IF(E246="","",ROUND(E246*0.21,2))</f>
        <v/>
      </c>
      <c r="J246" s="5">
        <f>IF(F246="","",ROUND(F246*0.1,2))</f>
        <v/>
      </c>
      <c r="K246" s="5">
        <f>IF(G246="","",ROUND(G246*0.04,2))</f>
        <v/>
      </c>
      <c r="L246" s="4" t="n"/>
      <c r="M246" s="4" t="n"/>
      <c r="N246" s="5">
        <f>IF(A246="","",SUM(E246:K246)-N(L246))</f>
        <v/>
      </c>
      <c r="O246">
        <f>IF(OR(A246="",M246=""),"",IF(ABS(M246-N246)&lt;=0.02,"OK","REVISAR"))</f>
        <v/>
      </c>
      <c r="P246">
        <f>IF(D246="","",IF(LEN(TRIM(D246))&lt;&gt;9,"REVISAR",IFERROR(IF(OR(ISNUMBER(VALUE(LEFT(UPPER(TRIM(D246)),1))),LEFT(UPPER(TRIM(D246)),1)="X",LEFT(UPPER(TRIM(D246)),1)="Y",LEFT(UPPER(TRIM(D246)),1)="Z"),IF(MID("TRWAGMYFPDXBNJZSQVHLCKE",MOD(VALUE(SUBSTITUTE(SUBSTITUTE(SUBSTITUTE(LEFT(UPPER(TRIM(D246)),8),"X","0"),"Y","1"),"Z","2")),23)+1,1)=RIGHT(UPPER(TRIM(D246)),1),"OK","REVISAR"),IF(OR(RIGHT(UPPER(TRIM(D246)),1)=TEXT(MOD(10-MOD((VALUE(MID(UPPER(TRIM(D246)),3,1))+VALUE(MID(UPPER(TRIM(D246)),5,1))+VALUE(MID(UPPER(TRIM(D246)),7,1)))+(INT(2*VALUE(MID(UPPER(TRIM(D246)),2,1))/10)+MOD(2*VALUE(MID(UPPER(TRIM(D246)),2,1)),10))+(INT(2*VALUE(MID(UPPER(TRIM(D246)),4,1))/10)+MOD(2*VALUE(MID(UPPER(TRIM(D246)),4,1)),10))+(INT(2*VALUE(MID(UPPER(TRIM(D246)),6,1))/10)+MOD(2*VALUE(MID(UPPER(TRIM(D246)),6,1)),10))+(INT(2*VALUE(MID(UPPER(TRIM(D246)),8,1))/10)+MOD(2*VALUE(MID(UPPER(TRIM(D246)),8,1)),10)),10),10),"0"),RIGHT(UPPER(TRIM(D246)),1)=MID("JABCDEFGHI",MOD(10-MOD((VALUE(MID(UPPER(TRIM(D246)),3,1))+VALUE(MID(UPPER(TRIM(D246)),5,1))+VALUE(MID(UPPER(TRIM(D246)),7,1)))+(INT(2*VALUE(MID(UPPER(TRIM(D246)),2,1))/10)+MOD(2*VALUE(MID(UPPER(TRIM(D246)),2,1)),10))+(INT(2*VALUE(MID(UPPER(TRIM(D246)),4,1))/10)+MOD(2*VALUE(MID(UPPER(TRIM(D246)),4,1)),10))+(INT(2*VALUE(MID(UPPER(TRIM(D246)),6,1))/10)+MOD(2*VALUE(MID(UPPER(TRIM(D246)),6,1)),10))+(INT(2*VALUE(MID(UPPER(TRIM(D246)),8,1))/10)+MOD(2*VALUE(MID(UPPER(TRIM(D246)),8,1)),10)),10),10)+1,1)),"OK","REVISAR")),"REVISAR")))</f>
        <v/>
      </c>
      <c r="Q246">
        <f>IF(B246="","",IF(COUNTIFS($B$2:$B$501,B246,$D$2:$D$501,D246)&gt;1,"DUPLICADA",""))</f>
        <v/>
      </c>
      <c r="R246">
        <f>IF(A246="","",ROUNDUP(MONTH(A246)/3,0))</f>
        <v/>
      </c>
      <c r="S246" s="3" t="n"/>
    </row>
    <row r="247">
      <c r="A247" s="2" t="n"/>
      <c r="B247" s="3" t="n"/>
      <c r="C247" s="3" t="n"/>
      <c r="D247" s="3" t="n"/>
      <c r="E247" s="4" t="n"/>
      <c r="F247" s="4" t="n"/>
      <c r="G247" s="4" t="n"/>
      <c r="H247" s="4" t="n"/>
      <c r="I247" s="5">
        <f>IF(E247="","",ROUND(E247*0.21,2))</f>
        <v/>
      </c>
      <c r="J247" s="5">
        <f>IF(F247="","",ROUND(F247*0.1,2))</f>
        <v/>
      </c>
      <c r="K247" s="5">
        <f>IF(G247="","",ROUND(G247*0.04,2))</f>
        <v/>
      </c>
      <c r="L247" s="4" t="n"/>
      <c r="M247" s="4" t="n"/>
      <c r="N247" s="5">
        <f>IF(A247="","",SUM(E247:K247)-N(L247))</f>
        <v/>
      </c>
      <c r="O247">
        <f>IF(OR(A247="",M247=""),"",IF(ABS(M247-N247)&lt;=0.02,"OK","REVISAR"))</f>
        <v/>
      </c>
      <c r="P247">
        <f>IF(D247="","",IF(LEN(TRIM(D247))&lt;&gt;9,"REVISAR",IFERROR(IF(OR(ISNUMBER(VALUE(LEFT(UPPER(TRIM(D247)),1))),LEFT(UPPER(TRIM(D247)),1)="X",LEFT(UPPER(TRIM(D247)),1)="Y",LEFT(UPPER(TRIM(D247)),1)="Z"),IF(MID("TRWAGMYFPDXBNJZSQVHLCKE",MOD(VALUE(SUBSTITUTE(SUBSTITUTE(SUBSTITUTE(LEFT(UPPER(TRIM(D247)),8),"X","0"),"Y","1"),"Z","2")),23)+1,1)=RIGHT(UPPER(TRIM(D247)),1),"OK","REVISAR"),IF(OR(RIGHT(UPPER(TRIM(D247)),1)=TEXT(MOD(10-MOD((VALUE(MID(UPPER(TRIM(D247)),3,1))+VALUE(MID(UPPER(TRIM(D247)),5,1))+VALUE(MID(UPPER(TRIM(D247)),7,1)))+(INT(2*VALUE(MID(UPPER(TRIM(D247)),2,1))/10)+MOD(2*VALUE(MID(UPPER(TRIM(D247)),2,1)),10))+(INT(2*VALUE(MID(UPPER(TRIM(D247)),4,1))/10)+MOD(2*VALUE(MID(UPPER(TRIM(D247)),4,1)),10))+(INT(2*VALUE(MID(UPPER(TRIM(D247)),6,1))/10)+MOD(2*VALUE(MID(UPPER(TRIM(D247)),6,1)),10))+(INT(2*VALUE(MID(UPPER(TRIM(D247)),8,1))/10)+MOD(2*VALUE(MID(UPPER(TRIM(D247)),8,1)),10)),10),10),"0"),RIGHT(UPPER(TRIM(D247)),1)=MID("JABCDEFGHI",MOD(10-MOD((VALUE(MID(UPPER(TRIM(D247)),3,1))+VALUE(MID(UPPER(TRIM(D247)),5,1))+VALUE(MID(UPPER(TRIM(D247)),7,1)))+(INT(2*VALUE(MID(UPPER(TRIM(D247)),2,1))/10)+MOD(2*VALUE(MID(UPPER(TRIM(D247)),2,1)),10))+(INT(2*VALUE(MID(UPPER(TRIM(D247)),4,1))/10)+MOD(2*VALUE(MID(UPPER(TRIM(D247)),4,1)),10))+(INT(2*VALUE(MID(UPPER(TRIM(D247)),6,1))/10)+MOD(2*VALUE(MID(UPPER(TRIM(D247)),6,1)),10))+(INT(2*VALUE(MID(UPPER(TRIM(D247)),8,1))/10)+MOD(2*VALUE(MID(UPPER(TRIM(D247)),8,1)),10)),10),10)+1,1)),"OK","REVISAR")),"REVISAR")))</f>
        <v/>
      </c>
      <c r="Q247">
        <f>IF(B247="","",IF(COUNTIFS($B$2:$B$501,B247,$D$2:$D$501,D247)&gt;1,"DUPLICADA",""))</f>
        <v/>
      </c>
      <c r="R247">
        <f>IF(A247="","",ROUNDUP(MONTH(A247)/3,0))</f>
        <v/>
      </c>
      <c r="S247" s="3" t="n"/>
    </row>
    <row r="248">
      <c r="A248" s="2" t="n"/>
      <c r="B248" s="3" t="n"/>
      <c r="C248" s="3" t="n"/>
      <c r="D248" s="3" t="n"/>
      <c r="E248" s="4" t="n"/>
      <c r="F248" s="4" t="n"/>
      <c r="G248" s="4" t="n"/>
      <c r="H248" s="4" t="n"/>
      <c r="I248" s="5">
        <f>IF(E248="","",ROUND(E248*0.21,2))</f>
        <v/>
      </c>
      <c r="J248" s="5">
        <f>IF(F248="","",ROUND(F248*0.1,2))</f>
        <v/>
      </c>
      <c r="K248" s="5">
        <f>IF(G248="","",ROUND(G248*0.04,2))</f>
        <v/>
      </c>
      <c r="L248" s="4" t="n"/>
      <c r="M248" s="4" t="n"/>
      <c r="N248" s="5">
        <f>IF(A248="","",SUM(E248:K248)-N(L248))</f>
        <v/>
      </c>
      <c r="O248">
        <f>IF(OR(A248="",M248=""),"",IF(ABS(M248-N248)&lt;=0.02,"OK","REVISAR"))</f>
        <v/>
      </c>
      <c r="P248">
        <f>IF(D248="","",IF(LEN(TRIM(D248))&lt;&gt;9,"REVISAR",IFERROR(IF(OR(ISNUMBER(VALUE(LEFT(UPPER(TRIM(D248)),1))),LEFT(UPPER(TRIM(D248)),1)="X",LEFT(UPPER(TRIM(D248)),1)="Y",LEFT(UPPER(TRIM(D248)),1)="Z"),IF(MID("TRWAGMYFPDXBNJZSQVHLCKE",MOD(VALUE(SUBSTITUTE(SUBSTITUTE(SUBSTITUTE(LEFT(UPPER(TRIM(D248)),8),"X","0"),"Y","1"),"Z","2")),23)+1,1)=RIGHT(UPPER(TRIM(D248)),1),"OK","REVISAR"),IF(OR(RIGHT(UPPER(TRIM(D248)),1)=TEXT(MOD(10-MOD((VALUE(MID(UPPER(TRIM(D248)),3,1))+VALUE(MID(UPPER(TRIM(D248)),5,1))+VALUE(MID(UPPER(TRIM(D248)),7,1)))+(INT(2*VALUE(MID(UPPER(TRIM(D248)),2,1))/10)+MOD(2*VALUE(MID(UPPER(TRIM(D248)),2,1)),10))+(INT(2*VALUE(MID(UPPER(TRIM(D248)),4,1))/10)+MOD(2*VALUE(MID(UPPER(TRIM(D248)),4,1)),10))+(INT(2*VALUE(MID(UPPER(TRIM(D248)),6,1))/10)+MOD(2*VALUE(MID(UPPER(TRIM(D248)),6,1)),10))+(INT(2*VALUE(MID(UPPER(TRIM(D248)),8,1))/10)+MOD(2*VALUE(MID(UPPER(TRIM(D248)),8,1)),10)),10),10),"0"),RIGHT(UPPER(TRIM(D248)),1)=MID("JABCDEFGHI",MOD(10-MOD((VALUE(MID(UPPER(TRIM(D248)),3,1))+VALUE(MID(UPPER(TRIM(D248)),5,1))+VALUE(MID(UPPER(TRIM(D248)),7,1)))+(INT(2*VALUE(MID(UPPER(TRIM(D248)),2,1))/10)+MOD(2*VALUE(MID(UPPER(TRIM(D248)),2,1)),10))+(INT(2*VALUE(MID(UPPER(TRIM(D248)),4,1))/10)+MOD(2*VALUE(MID(UPPER(TRIM(D248)),4,1)),10))+(INT(2*VALUE(MID(UPPER(TRIM(D248)),6,1))/10)+MOD(2*VALUE(MID(UPPER(TRIM(D248)),6,1)),10))+(INT(2*VALUE(MID(UPPER(TRIM(D248)),8,1))/10)+MOD(2*VALUE(MID(UPPER(TRIM(D248)),8,1)),10)),10),10)+1,1)),"OK","REVISAR")),"REVISAR")))</f>
        <v/>
      </c>
      <c r="Q248">
        <f>IF(B248="","",IF(COUNTIFS($B$2:$B$501,B248,$D$2:$D$501,D248)&gt;1,"DUPLICADA",""))</f>
        <v/>
      </c>
      <c r="R248">
        <f>IF(A248="","",ROUNDUP(MONTH(A248)/3,0))</f>
        <v/>
      </c>
      <c r="S248" s="3" t="n"/>
    </row>
    <row r="249">
      <c r="A249" s="2" t="n"/>
      <c r="B249" s="3" t="n"/>
      <c r="C249" s="3" t="n"/>
      <c r="D249" s="3" t="n"/>
      <c r="E249" s="4" t="n"/>
      <c r="F249" s="4" t="n"/>
      <c r="G249" s="4" t="n"/>
      <c r="H249" s="4" t="n"/>
      <c r="I249" s="5">
        <f>IF(E249="","",ROUND(E249*0.21,2))</f>
        <v/>
      </c>
      <c r="J249" s="5">
        <f>IF(F249="","",ROUND(F249*0.1,2))</f>
        <v/>
      </c>
      <c r="K249" s="5">
        <f>IF(G249="","",ROUND(G249*0.04,2))</f>
        <v/>
      </c>
      <c r="L249" s="4" t="n"/>
      <c r="M249" s="4" t="n"/>
      <c r="N249" s="5">
        <f>IF(A249="","",SUM(E249:K249)-N(L249))</f>
        <v/>
      </c>
      <c r="O249">
        <f>IF(OR(A249="",M249=""),"",IF(ABS(M249-N249)&lt;=0.02,"OK","REVISAR"))</f>
        <v/>
      </c>
      <c r="P249">
        <f>IF(D249="","",IF(LEN(TRIM(D249))&lt;&gt;9,"REVISAR",IFERROR(IF(OR(ISNUMBER(VALUE(LEFT(UPPER(TRIM(D249)),1))),LEFT(UPPER(TRIM(D249)),1)="X",LEFT(UPPER(TRIM(D249)),1)="Y",LEFT(UPPER(TRIM(D249)),1)="Z"),IF(MID("TRWAGMYFPDXBNJZSQVHLCKE",MOD(VALUE(SUBSTITUTE(SUBSTITUTE(SUBSTITUTE(LEFT(UPPER(TRIM(D249)),8),"X","0"),"Y","1"),"Z","2")),23)+1,1)=RIGHT(UPPER(TRIM(D249)),1),"OK","REVISAR"),IF(OR(RIGHT(UPPER(TRIM(D249)),1)=TEXT(MOD(10-MOD((VALUE(MID(UPPER(TRIM(D249)),3,1))+VALUE(MID(UPPER(TRIM(D249)),5,1))+VALUE(MID(UPPER(TRIM(D249)),7,1)))+(INT(2*VALUE(MID(UPPER(TRIM(D249)),2,1))/10)+MOD(2*VALUE(MID(UPPER(TRIM(D249)),2,1)),10))+(INT(2*VALUE(MID(UPPER(TRIM(D249)),4,1))/10)+MOD(2*VALUE(MID(UPPER(TRIM(D249)),4,1)),10))+(INT(2*VALUE(MID(UPPER(TRIM(D249)),6,1))/10)+MOD(2*VALUE(MID(UPPER(TRIM(D249)),6,1)),10))+(INT(2*VALUE(MID(UPPER(TRIM(D249)),8,1))/10)+MOD(2*VALUE(MID(UPPER(TRIM(D249)),8,1)),10)),10),10),"0"),RIGHT(UPPER(TRIM(D249)),1)=MID("JABCDEFGHI",MOD(10-MOD((VALUE(MID(UPPER(TRIM(D249)),3,1))+VALUE(MID(UPPER(TRIM(D249)),5,1))+VALUE(MID(UPPER(TRIM(D249)),7,1)))+(INT(2*VALUE(MID(UPPER(TRIM(D249)),2,1))/10)+MOD(2*VALUE(MID(UPPER(TRIM(D249)),2,1)),10))+(INT(2*VALUE(MID(UPPER(TRIM(D249)),4,1))/10)+MOD(2*VALUE(MID(UPPER(TRIM(D249)),4,1)),10))+(INT(2*VALUE(MID(UPPER(TRIM(D249)),6,1))/10)+MOD(2*VALUE(MID(UPPER(TRIM(D249)),6,1)),10))+(INT(2*VALUE(MID(UPPER(TRIM(D249)),8,1))/10)+MOD(2*VALUE(MID(UPPER(TRIM(D249)),8,1)),10)),10),10)+1,1)),"OK","REVISAR")),"REVISAR")))</f>
        <v/>
      </c>
      <c r="Q249">
        <f>IF(B249="","",IF(COUNTIFS($B$2:$B$501,B249,$D$2:$D$501,D249)&gt;1,"DUPLICADA",""))</f>
        <v/>
      </c>
      <c r="R249">
        <f>IF(A249="","",ROUNDUP(MONTH(A249)/3,0))</f>
        <v/>
      </c>
      <c r="S249" s="3" t="n"/>
    </row>
    <row r="250">
      <c r="A250" s="2" t="n"/>
      <c r="B250" s="3" t="n"/>
      <c r="C250" s="3" t="n"/>
      <c r="D250" s="3" t="n"/>
      <c r="E250" s="4" t="n"/>
      <c r="F250" s="4" t="n"/>
      <c r="G250" s="4" t="n"/>
      <c r="H250" s="4" t="n"/>
      <c r="I250" s="5">
        <f>IF(E250="","",ROUND(E250*0.21,2))</f>
        <v/>
      </c>
      <c r="J250" s="5">
        <f>IF(F250="","",ROUND(F250*0.1,2))</f>
        <v/>
      </c>
      <c r="K250" s="5">
        <f>IF(G250="","",ROUND(G250*0.04,2))</f>
        <v/>
      </c>
      <c r="L250" s="4" t="n"/>
      <c r="M250" s="4" t="n"/>
      <c r="N250" s="5">
        <f>IF(A250="","",SUM(E250:K250)-N(L250))</f>
        <v/>
      </c>
      <c r="O250">
        <f>IF(OR(A250="",M250=""),"",IF(ABS(M250-N250)&lt;=0.02,"OK","REVISAR"))</f>
        <v/>
      </c>
      <c r="P250">
        <f>IF(D250="","",IF(LEN(TRIM(D250))&lt;&gt;9,"REVISAR",IFERROR(IF(OR(ISNUMBER(VALUE(LEFT(UPPER(TRIM(D250)),1))),LEFT(UPPER(TRIM(D250)),1)="X",LEFT(UPPER(TRIM(D250)),1)="Y",LEFT(UPPER(TRIM(D250)),1)="Z"),IF(MID("TRWAGMYFPDXBNJZSQVHLCKE",MOD(VALUE(SUBSTITUTE(SUBSTITUTE(SUBSTITUTE(LEFT(UPPER(TRIM(D250)),8),"X","0"),"Y","1"),"Z","2")),23)+1,1)=RIGHT(UPPER(TRIM(D250)),1),"OK","REVISAR"),IF(OR(RIGHT(UPPER(TRIM(D250)),1)=TEXT(MOD(10-MOD((VALUE(MID(UPPER(TRIM(D250)),3,1))+VALUE(MID(UPPER(TRIM(D250)),5,1))+VALUE(MID(UPPER(TRIM(D250)),7,1)))+(INT(2*VALUE(MID(UPPER(TRIM(D250)),2,1))/10)+MOD(2*VALUE(MID(UPPER(TRIM(D250)),2,1)),10))+(INT(2*VALUE(MID(UPPER(TRIM(D250)),4,1))/10)+MOD(2*VALUE(MID(UPPER(TRIM(D250)),4,1)),10))+(INT(2*VALUE(MID(UPPER(TRIM(D250)),6,1))/10)+MOD(2*VALUE(MID(UPPER(TRIM(D250)),6,1)),10))+(INT(2*VALUE(MID(UPPER(TRIM(D250)),8,1))/10)+MOD(2*VALUE(MID(UPPER(TRIM(D250)),8,1)),10)),10),10),"0"),RIGHT(UPPER(TRIM(D250)),1)=MID("JABCDEFGHI",MOD(10-MOD((VALUE(MID(UPPER(TRIM(D250)),3,1))+VALUE(MID(UPPER(TRIM(D250)),5,1))+VALUE(MID(UPPER(TRIM(D250)),7,1)))+(INT(2*VALUE(MID(UPPER(TRIM(D250)),2,1))/10)+MOD(2*VALUE(MID(UPPER(TRIM(D250)),2,1)),10))+(INT(2*VALUE(MID(UPPER(TRIM(D250)),4,1))/10)+MOD(2*VALUE(MID(UPPER(TRIM(D250)),4,1)),10))+(INT(2*VALUE(MID(UPPER(TRIM(D250)),6,1))/10)+MOD(2*VALUE(MID(UPPER(TRIM(D250)),6,1)),10))+(INT(2*VALUE(MID(UPPER(TRIM(D250)),8,1))/10)+MOD(2*VALUE(MID(UPPER(TRIM(D250)),8,1)),10)),10),10)+1,1)),"OK","REVISAR")),"REVISAR")))</f>
        <v/>
      </c>
      <c r="Q250">
        <f>IF(B250="","",IF(COUNTIFS($B$2:$B$501,B250,$D$2:$D$501,D250)&gt;1,"DUPLICADA",""))</f>
        <v/>
      </c>
      <c r="R250">
        <f>IF(A250="","",ROUNDUP(MONTH(A250)/3,0))</f>
        <v/>
      </c>
      <c r="S250" s="3" t="n"/>
    </row>
    <row r="251">
      <c r="A251" s="2" t="n"/>
      <c r="B251" s="3" t="n"/>
      <c r="C251" s="3" t="n"/>
      <c r="D251" s="3" t="n"/>
      <c r="E251" s="4" t="n"/>
      <c r="F251" s="4" t="n"/>
      <c r="G251" s="4" t="n"/>
      <c r="H251" s="4" t="n"/>
      <c r="I251" s="5">
        <f>IF(E251="","",ROUND(E251*0.21,2))</f>
        <v/>
      </c>
      <c r="J251" s="5">
        <f>IF(F251="","",ROUND(F251*0.1,2))</f>
        <v/>
      </c>
      <c r="K251" s="5">
        <f>IF(G251="","",ROUND(G251*0.04,2))</f>
        <v/>
      </c>
      <c r="L251" s="4" t="n"/>
      <c r="M251" s="4" t="n"/>
      <c r="N251" s="5">
        <f>IF(A251="","",SUM(E251:K251)-N(L251))</f>
        <v/>
      </c>
      <c r="O251">
        <f>IF(OR(A251="",M251=""),"",IF(ABS(M251-N251)&lt;=0.02,"OK","REVISAR"))</f>
        <v/>
      </c>
      <c r="P251">
        <f>IF(D251="","",IF(LEN(TRIM(D251))&lt;&gt;9,"REVISAR",IFERROR(IF(OR(ISNUMBER(VALUE(LEFT(UPPER(TRIM(D251)),1))),LEFT(UPPER(TRIM(D251)),1)="X",LEFT(UPPER(TRIM(D251)),1)="Y",LEFT(UPPER(TRIM(D251)),1)="Z"),IF(MID("TRWAGMYFPDXBNJZSQVHLCKE",MOD(VALUE(SUBSTITUTE(SUBSTITUTE(SUBSTITUTE(LEFT(UPPER(TRIM(D251)),8),"X","0"),"Y","1"),"Z","2")),23)+1,1)=RIGHT(UPPER(TRIM(D251)),1),"OK","REVISAR"),IF(OR(RIGHT(UPPER(TRIM(D251)),1)=TEXT(MOD(10-MOD((VALUE(MID(UPPER(TRIM(D251)),3,1))+VALUE(MID(UPPER(TRIM(D251)),5,1))+VALUE(MID(UPPER(TRIM(D251)),7,1)))+(INT(2*VALUE(MID(UPPER(TRIM(D251)),2,1))/10)+MOD(2*VALUE(MID(UPPER(TRIM(D251)),2,1)),10))+(INT(2*VALUE(MID(UPPER(TRIM(D251)),4,1))/10)+MOD(2*VALUE(MID(UPPER(TRIM(D251)),4,1)),10))+(INT(2*VALUE(MID(UPPER(TRIM(D251)),6,1))/10)+MOD(2*VALUE(MID(UPPER(TRIM(D251)),6,1)),10))+(INT(2*VALUE(MID(UPPER(TRIM(D251)),8,1))/10)+MOD(2*VALUE(MID(UPPER(TRIM(D251)),8,1)),10)),10),10),"0"),RIGHT(UPPER(TRIM(D251)),1)=MID("JABCDEFGHI",MOD(10-MOD((VALUE(MID(UPPER(TRIM(D251)),3,1))+VALUE(MID(UPPER(TRIM(D251)),5,1))+VALUE(MID(UPPER(TRIM(D251)),7,1)))+(INT(2*VALUE(MID(UPPER(TRIM(D251)),2,1))/10)+MOD(2*VALUE(MID(UPPER(TRIM(D251)),2,1)),10))+(INT(2*VALUE(MID(UPPER(TRIM(D251)),4,1))/10)+MOD(2*VALUE(MID(UPPER(TRIM(D251)),4,1)),10))+(INT(2*VALUE(MID(UPPER(TRIM(D251)),6,1))/10)+MOD(2*VALUE(MID(UPPER(TRIM(D251)),6,1)),10))+(INT(2*VALUE(MID(UPPER(TRIM(D251)),8,1))/10)+MOD(2*VALUE(MID(UPPER(TRIM(D251)),8,1)),10)),10),10)+1,1)),"OK","REVISAR")),"REVISAR")))</f>
        <v/>
      </c>
      <c r="Q251">
        <f>IF(B251="","",IF(COUNTIFS($B$2:$B$501,B251,$D$2:$D$501,D251)&gt;1,"DUPLICADA",""))</f>
        <v/>
      </c>
      <c r="R251">
        <f>IF(A251="","",ROUNDUP(MONTH(A251)/3,0))</f>
        <v/>
      </c>
      <c r="S251" s="3" t="n"/>
    </row>
    <row r="252">
      <c r="A252" s="2" t="n"/>
      <c r="B252" s="3" t="n"/>
      <c r="C252" s="3" t="n"/>
      <c r="D252" s="3" t="n"/>
      <c r="E252" s="4" t="n"/>
      <c r="F252" s="4" t="n"/>
      <c r="G252" s="4" t="n"/>
      <c r="H252" s="4" t="n"/>
      <c r="I252" s="5">
        <f>IF(E252="","",ROUND(E252*0.21,2))</f>
        <v/>
      </c>
      <c r="J252" s="5">
        <f>IF(F252="","",ROUND(F252*0.1,2))</f>
        <v/>
      </c>
      <c r="K252" s="5">
        <f>IF(G252="","",ROUND(G252*0.04,2))</f>
        <v/>
      </c>
      <c r="L252" s="4" t="n"/>
      <c r="M252" s="4" t="n"/>
      <c r="N252" s="5">
        <f>IF(A252="","",SUM(E252:K252)-N(L252))</f>
        <v/>
      </c>
      <c r="O252">
        <f>IF(OR(A252="",M252=""),"",IF(ABS(M252-N252)&lt;=0.02,"OK","REVISAR"))</f>
        <v/>
      </c>
      <c r="P252">
        <f>IF(D252="","",IF(LEN(TRIM(D252))&lt;&gt;9,"REVISAR",IFERROR(IF(OR(ISNUMBER(VALUE(LEFT(UPPER(TRIM(D252)),1))),LEFT(UPPER(TRIM(D252)),1)="X",LEFT(UPPER(TRIM(D252)),1)="Y",LEFT(UPPER(TRIM(D252)),1)="Z"),IF(MID("TRWAGMYFPDXBNJZSQVHLCKE",MOD(VALUE(SUBSTITUTE(SUBSTITUTE(SUBSTITUTE(LEFT(UPPER(TRIM(D252)),8),"X","0"),"Y","1"),"Z","2")),23)+1,1)=RIGHT(UPPER(TRIM(D252)),1),"OK","REVISAR"),IF(OR(RIGHT(UPPER(TRIM(D252)),1)=TEXT(MOD(10-MOD((VALUE(MID(UPPER(TRIM(D252)),3,1))+VALUE(MID(UPPER(TRIM(D252)),5,1))+VALUE(MID(UPPER(TRIM(D252)),7,1)))+(INT(2*VALUE(MID(UPPER(TRIM(D252)),2,1))/10)+MOD(2*VALUE(MID(UPPER(TRIM(D252)),2,1)),10))+(INT(2*VALUE(MID(UPPER(TRIM(D252)),4,1))/10)+MOD(2*VALUE(MID(UPPER(TRIM(D252)),4,1)),10))+(INT(2*VALUE(MID(UPPER(TRIM(D252)),6,1))/10)+MOD(2*VALUE(MID(UPPER(TRIM(D252)),6,1)),10))+(INT(2*VALUE(MID(UPPER(TRIM(D252)),8,1))/10)+MOD(2*VALUE(MID(UPPER(TRIM(D252)),8,1)),10)),10),10),"0"),RIGHT(UPPER(TRIM(D252)),1)=MID("JABCDEFGHI",MOD(10-MOD((VALUE(MID(UPPER(TRIM(D252)),3,1))+VALUE(MID(UPPER(TRIM(D252)),5,1))+VALUE(MID(UPPER(TRIM(D252)),7,1)))+(INT(2*VALUE(MID(UPPER(TRIM(D252)),2,1))/10)+MOD(2*VALUE(MID(UPPER(TRIM(D252)),2,1)),10))+(INT(2*VALUE(MID(UPPER(TRIM(D252)),4,1))/10)+MOD(2*VALUE(MID(UPPER(TRIM(D252)),4,1)),10))+(INT(2*VALUE(MID(UPPER(TRIM(D252)),6,1))/10)+MOD(2*VALUE(MID(UPPER(TRIM(D252)),6,1)),10))+(INT(2*VALUE(MID(UPPER(TRIM(D252)),8,1))/10)+MOD(2*VALUE(MID(UPPER(TRIM(D252)),8,1)),10)),10),10)+1,1)),"OK","REVISAR")),"REVISAR")))</f>
        <v/>
      </c>
      <c r="Q252">
        <f>IF(B252="","",IF(COUNTIFS($B$2:$B$501,B252,$D$2:$D$501,D252)&gt;1,"DUPLICADA",""))</f>
        <v/>
      </c>
      <c r="R252">
        <f>IF(A252="","",ROUNDUP(MONTH(A252)/3,0))</f>
        <v/>
      </c>
      <c r="S252" s="3" t="n"/>
    </row>
    <row r="253">
      <c r="A253" s="2" t="n"/>
      <c r="B253" s="3" t="n"/>
      <c r="C253" s="3" t="n"/>
      <c r="D253" s="3" t="n"/>
      <c r="E253" s="4" t="n"/>
      <c r="F253" s="4" t="n"/>
      <c r="G253" s="4" t="n"/>
      <c r="H253" s="4" t="n"/>
      <c r="I253" s="5">
        <f>IF(E253="","",ROUND(E253*0.21,2))</f>
        <v/>
      </c>
      <c r="J253" s="5">
        <f>IF(F253="","",ROUND(F253*0.1,2))</f>
        <v/>
      </c>
      <c r="K253" s="5">
        <f>IF(G253="","",ROUND(G253*0.04,2))</f>
        <v/>
      </c>
      <c r="L253" s="4" t="n"/>
      <c r="M253" s="4" t="n"/>
      <c r="N253" s="5">
        <f>IF(A253="","",SUM(E253:K253)-N(L253))</f>
        <v/>
      </c>
      <c r="O253">
        <f>IF(OR(A253="",M253=""),"",IF(ABS(M253-N253)&lt;=0.02,"OK","REVISAR"))</f>
        <v/>
      </c>
      <c r="P253">
        <f>IF(D253="","",IF(LEN(TRIM(D253))&lt;&gt;9,"REVISAR",IFERROR(IF(OR(ISNUMBER(VALUE(LEFT(UPPER(TRIM(D253)),1))),LEFT(UPPER(TRIM(D253)),1)="X",LEFT(UPPER(TRIM(D253)),1)="Y",LEFT(UPPER(TRIM(D253)),1)="Z"),IF(MID("TRWAGMYFPDXBNJZSQVHLCKE",MOD(VALUE(SUBSTITUTE(SUBSTITUTE(SUBSTITUTE(LEFT(UPPER(TRIM(D253)),8),"X","0"),"Y","1"),"Z","2")),23)+1,1)=RIGHT(UPPER(TRIM(D253)),1),"OK","REVISAR"),IF(OR(RIGHT(UPPER(TRIM(D253)),1)=TEXT(MOD(10-MOD((VALUE(MID(UPPER(TRIM(D253)),3,1))+VALUE(MID(UPPER(TRIM(D253)),5,1))+VALUE(MID(UPPER(TRIM(D253)),7,1)))+(INT(2*VALUE(MID(UPPER(TRIM(D253)),2,1))/10)+MOD(2*VALUE(MID(UPPER(TRIM(D253)),2,1)),10))+(INT(2*VALUE(MID(UPPER(TRIM(D253)),4,1))/10)+MOD(2*VALUE(MID(UPPER(TRIM(D253)),4,1)),10))+(INT(2*VALUE(MID(UPPER(TRIM(D253)),6,1))/10)+MOD(2*VALUE(MID(UPPER(TRIM(D253)),6,1)),10))+(INT(2*VALUE(MID(UPPER(TRIM(D253)),8,1))/10)+MOD(2*VALUE(MID(UPPER(TRIM(D253)),8,1)),10)),10),10),"0"),RIGHT(UPPER(TRIM(D253)),1)=MID("JABCDEFGHI",MOD(10-MOD((VALUE(MID(UPPER(TRIM(D253)),3,1))+VALUE(MID(UPPER(TRIM(D253)),5,1))+VALUE(MID(UPPER(TRIM(D253)),7,1)))+(INT(2*VALUE(MID(UPPER(TRIM(D253)),2,1))/10)+MOD(2*VALUE(MID(UPPER(TRIM(D253)),2,1)),10))+(INT(2*VALUE(MID(UPPER(TRIM(D253)),4,1))/10)+MOD(2*VALUE(MID(UPPER(TRIM(D253)),4,1)),10))+(INT(2*VALUE(MID(UPPER(TRIM(D253)),6,1))/10)+MOD(2*VALUE(MID(UPPER(TRIM(D253)),6,1)),10))+(INT(2*VALUE(MID(UPPER(TRIM(D253)),8,1))/10)+MOD(2*VALUE(MID(UPPER(TRIM(D253)),8,1)),10)),10),10)+1,1)),"OK","REVISAR")),"REVISAR")))</f>
        <v/>
      </c>
      <c r="Q253">
        <f>IF(B253="","",IF(COUNTIFS($B$2:$B$501,B253,$D$2:$D$501,D253)&gt;1,"DUPLICADA",""))</f>
        <v/>
      </c>
      <c r="R253">
        <f>IF(A253="","",ROUNDUP(MONTH(A253)/3,0))</f>
        <v/>
      </c>
      <c r="S253" s="3" t="n"/>
    </row>
    <row r="254">
      <c r="A254" s="2" t="n"/>
      <c r="B254" s="3" t="n"/>
      <c r="C254" s="3" t="n"/>
      <c r="D254" s="3" t="n"/>
      <c r="E254" s="4" t="n"/>
      <c r="F254" s="4" t="n"/>
      <c r="G254" s="4" t="n"/>
      <c r="H254" s="4" t="n"/>
      <c r="I254" s="5">
        <f>IF(E254="","",ROUND(E254*0.21,2))</f>
        <v/>
      </c>
      <c r="J254" s="5">
        <f>IF(F254="","",ROUND(F254*0.1,2))</f>
        <v/>
      </c>
      <c r="K254" s="5">
        <f>IF(G254="","",ROUND(G254*0.04,2))</f>
        <v/>
      </c>
      <c r="L254" s="4" t="n"/>
      <c r="M254" s="4" t="n"/>
      <c r="N254" s="5">
        <f>IF(A254="","",SUM(E254:K254)-N(L254))</f>
        <v/>
      </c>
      <c r="O254">
        <f>IF(OR(A254="",M254=""),"",IF(ABS(M254-N254)&lt;=0.02,"OK","REVISAR"))</f>
        <v/>
      </c>
      <c r="P254">
        <f>IF(D254="","",IF(LEN(TRIM(D254))&lt;&gt;9,"REVISAR",IFERROR(IF(OR(ISNUMBER(VALUE(LEFT(UPPER(TRIM(D254)),1))),LEFT(UPPER(TRIM(D254)),1)="X",LEFT(UPPER(TRIM(D254)),1)="Y",LEFT(UPPER(TRIM(D254)),1)="Z"),IF(MID("TRWAGMYFPDXBNJZSQVHLCKE",MOD(VALUE(SUBSTITUTE(SUBSTITUTE(SUBSTITUTE(LEFT(UPPER(TRIM(D254)),8),"X","0"),"Y","1"),"Z","2")),23)+1,1)=RIGHT(UPPER(TRIM(D254)),1),"OK","REVISAR"),IF(OR(RIGHT(UPPER(TRIM(D254)),1)=TEXT(MOD(10-MOD((VALUE(MID(UPPER(TRIM(D254)),3,1))+VALUE(MID(UPPER(TRIM(D254)),5,1))+VALUE(MID(UPPER(TRIM(D254)),7,1)))+(INT(2*VALUE(MID(UPPER(TRIM(D254)),2,1))/10)+MOD(2*VALUE(MID(UPPER(TRIM(D254)),2,1)),10))+(INT(2*VALUE(MID(UPPER(TRIM(D254)),4,1))/10)+MOD(2*VALUE(MID(UPPER(TRIM(D254)),4,1)),10))+(INT(2*VALUE(MID(UPPER(TRIM(D254)),6,1))/10)+MOD(2*VALUE(MID(UPPER(TRIM(D254)),6,1)),10))+(INT(2*VALUE(MID(UPPER(TRIM(D254)),8,1))/10)+MOD(2*VALUE(MID(UPPER(TRIM(D254)),8,1)),10)),10),10),"0"),RIGHT(UPPER(TRIM(D254)),1)=MID("JABCDEFGHI",MOD(10-MOD((VALUE(MID(UPPER(TRIM(D254)),3,1))+VALUE(MID(UPPER(TRIM(D254)),5,1))+VALUE(MID(UPPER(TRIM(D254)),7,1)))+(INT(2*VALUE(MID(UPPER(TRIM(D254)),2,1))/10)+MOD(2*VALUE(MID(UPPER(TRIM(D254)),2,1)),10))+(INT(2*VALUE(MID(UPPER(TRIM(D254)),4,1))/10)+MOD(2*VALUE(MID(UPPER(TRIM(D254)),4,1)),10))+(INT(2*VALUE(MID(UPPER(TRIM(D254)),6,1))/10)+MOD(2*VALUE(MID(UPPER(TRIM(D254)),6,1)),10))+(INT(2*VALUE(MID(UPPER(TRIM(D254)),8,1))/10)+MOD(2*VALUE(MID(UPPER(TRIM(D254)),8,1)),10)),10),10)+1,1)),"OK","REVISAR")),"REVISAR")))</f>
        <v/>
      </c>
      <c r="Q254">
        <f>IF(B254="","",IF(COUNTIFS($B$2:$B$501,B254,$D$2:$D$501,D254)&gt;1,"DUPLICADA",""))</f>
        <v/>
      </c>
      <c r="R254">
        <f>IF(A254="","",ROUNDUP(MONTH(A254)/3,0))</f>
        <v/>
      </c>
      <c r="S254" s="3" t="n"/>
    </row>
    <row r="255">
      <c r="A255" s="2" t="n"/>
      <c r="B255" s="3" t="n"/>
      <c r="C255" s="3" t="n"/>
      <c r="D255" s="3" t="n"/>
      <c r="E255" s="4" t="n"/>
      <c r="F255" s="4" t="n"/>
      <c r="G255" s="4" t="n"/>
      <c r="H255" s="4" t="n"/>
      <c r="I255" s="5">
        <f>IF(E255="","",ROUND(E255*0.21,2))</f>
        <v/>
      </c>
      <c r="J255" s="5">
        <f>IF(F255="","",ROUND(F255*0.1,2))</f>
        <v/>
      </c>
      <c r="K255" s="5">
        <f>IF(G255="","",ROUND(G255*0.04,2))</f>
        <v/>
      </c>
      <c r="L255" s="4" t="n"/>
      <c r="M255" s="4" t="n"/>
      <c r="N255" s="5">
        <f>IF(A255="","",SUM(E255:K255)-N(L255))</f>
        <v/>
      </c>
      <c r="O255">
        <f>IF(OR(A255="",M255=""),"",IF(ABS(M255-N255)&lt;=0.02,"OK","REVISAR"))</f>
        <v/>
      </c>
      <c r="P255">
        <f>IF(D255="","",IF(LEN(TRIM(D255))&lt;&gt;9,"REVISAR",IFERROR(IF(OR(ISNUMBER(VALUE(LEFT(UPPER(TRIM(D255)),1))),LEFT(UPPER(TRIM(D255)),1)="X",LEFT(UPPER(TRIM(D255)),1)="Y",LEFT(UPPER(TRIM(D255)),1)="Z"),IF(MID("TRWAGMYFPDXBNJZSQVHLCKE",MOD(VALUE(SUBSTITUTE(SUBSTITUTE(SUBSTITUTE(LEFT(UPPER(TRIM(D255)),8),"X","0"),"Y","1"),"Z","2")),23)+1,1)=RIGHT(UPPER(TRIM(D255)),1),"OK","REVISAR"),IF(OR(RIGHT(UPPER(TRIM(D255)),1)=TEXT(MOD(10-MOD((VALUE(MID(UPPER(TRIM(D255)),3,1))+VALUE(MID(UPPER(TRIM(D255)),5,1))+VALUE(MID(UPPER(TRIM(D255)),7,1)))+(INT(2*VALUE(MID(UPPER(TRIM(D255)),2,1))/10)+MOD(2*VALUE(MID(UPPER(TRIM(D255)),2,1)),10))+(INT(2*VALUE(MID(UPPER(TRIM(D255)),4,1))/10)+MOD(2*VALUE(MID(UPPER(TRIM(D255)),4,1)),10))+(INT(2*VALUE(MID(UPPER(TRIM(D255)),6,1))/10)+MOD(2*VALUE(MID(UPPER(TRIM(D255)),6,1)),10))+(INT(2*VALUE(MID(UPPER(TRIM(D255)),8,1))/10)+MOD(2*VALUE(MID(UPPER(TRIM(D255)),8,1)),10)),10),10),"0"),RIGHT(UPPER(TRIM(D255)),1)=MID("JABCDEFGHI",MOD(10-MOD((VALUE(MID(UPPER(TRIM(D255)),3,1))+VALUE(MID(UPPER(TRIM(D255)),5,1))+VALUE(MID(UPPER(TRIM(D255)),7,1)))+(INT(2*VALUE(MID(UPPER(TRIM(D255)),2,1))/10)+MOD(2*VALUE(MID(UPPER(TRIM(D255)),2,1)),10))+(INT(2*VALUE(MID(UPPER(TRIM(D255)),4,1))/10)+MOD(2*VALUE(MID(UPPER(TRIM(D255)),4,1)),10))+(INT(2*VALUE(MID(UPPER(TRIM(D255)),6,1))/10)+MOD(2*VALUE(MID(UPPER(TRIM(D255)),6,1)),10))+(INT(2*VALUE(MID(UPPER(TRIM(D255)),8,1))/10)+MOD(2*VALUE(MID(UPPER(TRIM(D255)),8,1)),10)),10),10)+1,1)),"OK","REVISAR")),"REVISAR")))</f>
        <v/>
      </c>
      <c r="Q255">
        <f>IF(B255="","",IF(COUNTIFS($B$2:$B$501,B255,$D$2:$D$501,D255)&gt;1,"DUPLICADA",""))</f>
        <v/>
      </c>
      <c r="R255">
        <f>IF(A255="","",ROUNDUP(MONTH(A255)/3,0))</f>
        <v/>
      </c>
      <c r="S255" s="3" t="n"/>
    </row>
    <row r="256">
      <c r="A256" s="2" t="n"/>
      <c r="B256" s="3" t="n"/>
      <c r="C256" s="3" t="n"/>
      <c r="D256" s="3" t="n"/>
      <c r="E256" s="4" t="n"/>
      <c r="F256" s="4" t="n"/>
      <c r="G256" s="4" t="n"/>
      <c r="H256" s="4" t="n"/>
      <c r="I256" s="5">
        <f>IF(E256="","",ROUND(E256*0.21,2))</f>
        <v/>
      </c>
      <c r="J256" s="5">
        <f>IF(F256="","",ROUND(F256*0.1,2))</f>
        <v/>
      </c>
      <c r="K256" s="5">
        <f>IF(G256="","",ROUND(G256*0.04,2))</f>
        <v/>
      </c>
      <c r="L256" s="4" t="n"/>
      <c r="M256" s="4" t="n"/>
      <c r="N256" s="5">
        <f>IF(A256="","",SUM(E256:K256)-N(L256))</f>
        <v/>
      </c>
      <c r="O256">
        <f>IF(OR(A256="",M256=""),"",IF(ABS(M256-N256)&lt;=0.02,"OK","REVISAR"))</f>
        <v/>
      </c>
      <c r="P256">
        <f>IF(D256="","",IF(LEN(TRIM(D256))&lt;&gt;9,"REVISAR",IFERROR(IF(OR(ISNUMBER(VALUE(LEFT(UPPER(TRIM(D256)),1))),LEFT(UPPER(TRIM(D256)),1)="X",LEFT(UPPER(TRIM(D256)),1)="Y",LEFT(UPPER(TRIM(D256)),1)="Z"),IF(MID("TRWAGMYFPDXBNJZSQVHLCKE",MOD(VALUE(SUBSTITUTE(SUBSTITUTE(SUBSTITUTE(LEFT(UPPER(TRIM(D256)),8),"X","0"),"Y","1"),"Z","2")),23)+1,1)=RIGHT(UPPER(TRIM(D256)),1),"OK","REVISAR"),IF(OR(RIGHT(UPPER(TRIM(D256)),1)=TEXT(MOD(10-MOD((VALUE(MID(UPPER(TRIM(D256)),3,1))+VALUE(MID(UPPER(TRIM(D256)),5,1))+VALUE(MID(UPPER(TRIM(D256)),7,1)))+(INT(2*VALUE(MID(UPPER(TRIM(D256)),2,1))/10)+MOD(2*VALUE(MID(UPPER(TRIM(D256)),2,1)),10))+(INT(2*VALUE(MID(UPPER(TRIM(D256)),4,1))/10)+MOD(2*VALUE(MID(UPPER(TRIM(D256)),4,1)),10))+(INT(2*VALUE(MID(UPPER(TRIM(D256)),6,1))/10)+MOD(2*VALUE(MID(UPPER(TRIM(D256)),6,1)),10))+(INT(2*VALUE(MID(UPPER(TRIM(D256)),8,1))/10)+MOD(2*VALUE(MID(UPPER(TRIM(D256)),8,1)),10)),10),10),"0"),RIGHT(UPPER(TRIM(D256)),1)=MID("JABCDEFGHI",MOD(10-MOD((VALUE(MID(UPPER(TRIM(D256)),3,1))+VALUE(MID(UPPER(TRIM(D256)),5,1))+VALUE(MID(UPPER(TRIM(D256)),7,1)))+(INT(2*VALUE(MID(UPPER(TRIM(D256)),2,1))/10)+MOD(2*VALUE(MID(UPPER(TRIM(D256)),2,1)),10))+(INT(2*VALUE(MID(UPPER(TRIM(D256)),4,1))/10)+MOD(2*VALUE(MID(UPPER(TRIM(D256)),4,1)),10))+(INT(2*VALUE(MID(UPPER(TRIM(D256)),6,1))/10)+MOD(2*VALUE(MID(UPPER(TRIM(D256)),6,1)),10))+(INT(2*VALUE(MID(UPPER(TRIM(D256)),8,1))/10)+MOD(2*VALUE(MID(UPPER(TRIM(D256)),8,1)),10)),10),10)+1,1)),"OK","REVISAR")),"REVISAR")))</f>
        <v/>
      </c>
      <c r="Q256">
        <f>IF(B256="","",IF(COUNTIFS($B$2:$B$501,B256,$D$2:$D$501,D256)&gt;1,"DUPLICADA",""))</f>
        <v/>
      </c>
      <c r="R256">
        <f>IF(A256="","",ROUNDUP(MONTH(A256)/3,0))</f>
        <v/>
      </c>
      <c r="S256" s="3" t="n"/>
    </row>
    <row r="257">
      <c r="A257" s="2" t="n"/>
      <c r="B257" s="3" t="n"/>
      <c r="C257" s="3" t="n"/>
      <c r="D257" s="3" t="n"/>
      <c r="E257" s="4" t="n"/>
      <c r="F257" s="4" t="n"/>
      <c r="G257" s="4" t="n"/>
      <c r="H257" s="4" t="n"/>
      <c r="I257" s="5">
        <f>IF(E257="","",ROUND(E257*0.21,2))</f>
        <v/>
      </c>
      <c r="J257" s="5">
        <f>IF(F257="","",ROUND(F257*0.1,2))</f>
        <v/>
      </c>
      <c r="K257" s="5">
        <f>IF(G257="","",ROUND(G257*0.04,2))</f>
        <v/>
      </c>
      <c r="L257" s="4" t="n"/>
      <c r="M257" s="4" t="n"/>
      <c r="N257" s="5">
        <f>IF(A257="","",SUM(E257:K257)-N(L257))</f>
        <v/>
      </c>
      <c r="O257">
        <f>IF(OR(A257="",M257=""),"",IF(ABS(M257-N257)&lt;=0.02,"OK","REVISAR"))</f>
        <v/>
      </c>
      <c r="P257">
        <f>IF(D257="","",IF(LEN(TRIM(D257))&lt;&gt;9,"REVISAR",IFERROR(IF(OR(ISNUMBER(VALUE(LEFT(UPPER(TRIM(D257)),1))),LEFT(UPPER(TRIM(D257)),1)="X",LEFT(UPPER(TRIM(D257)),1)="Y",LEFT(UPPER(TRIM(D257)),1)="Z"),IF(MID("TRWAGMYFPDXBNJZSQVHLCKE",MOD(VALUE(SUBSTITUTE(SUBSTITUTE(SUBSTITUTE(LEFT(UPPER(TRIM(D257)),8),"X","0"),"Y","1"),"Z","2")),23)+1,1)=RIGHT(UPPER(TRIM(D257)),1),"OK","REVISAR"),IF(OR(RIGHT(UPPER(TRIM(D257)),1)=TEXT(MOD(10-MOD((VALUE(MID(UPPER(TRIM(D257)),3,1))+VALUE(MID(UPPER(TRIM(D257)),5,1))+VALUE(MID(UPPER(TRIM(D257)),7,1)))+(INT(2*VALUE(MID(UPPER(TRIM(D257)),2,1))/10)+MOD(2*VALUE(MID(UPPER(TRIM(D257)),2,1)),10))+(INT(2*VALUE(MID(UPPER(TRIM(D257)),4,1))/10)+MOD(2*VALUE(MID(UPPER(TRIM(D257)),4,1)),10))+(INT(2*VALUE(MID(UPPER(TRIM(D257)),6,1))/10)+MOD(2*VALUE(MID(UPPER(TRIM(D257)),6,1)),10))+(INT(2*VALUE(MID(UPPER(TRIM(D257)),8,1))/10)+MOD(2*VALUE(MID(UPPER(TRIM(D257)),8,1)),10)),10),10),"0"),RIGHT(UPPER(TRIM(D257)),1)=MID("JABCDEFGHI",MOD(10-MOD((VALUE(MID(UPPER(TRIM(D257)),3,1))+VALUE(MID(UPPER(TRIM(D257)),5,1))+VALUE(MID(UPPER(TRIM(D257)),7,1)))+(INT(2*VALUE(MID(UPPER(TRIM(D257)),2,1))/10)+MOD(2*VALUE(MID(UPPER(TRIM(D257)),2,1)),10))+(INT(2*VALUE(MID(UPPER(TRIM(D257)),4,1))/10)+MOD(2*VALUE(MID(UPPER(TRIM(D257)),4,1)),10))+(INT(2*VALUE(MID(UPPER(TRIM(D257)),6,1))/10)+MOD(2*VALUE(MID(UPPER(TRIM(D257)),6,1)),10))+(INT(2*VALUE(MID(UPPER(TRIM(D257)),8,1))/10)+MOD(2*VALUE(MID(UPPER(TRIM(D257)),8,1)),10)),10),10)+1,1)),"OK","REVISAR")),"REVISAR")))</f>
        <v/>
      </c>
      <c r="Q257">
        <f>IF(B257="","",IF(COUNTIFS($B$2:$B$501,B257,$D$2:$D$501,D257)&gt;1,"DUPLICADA",""))</f>
        <v/>
      </c>
      <c r="R257">
        <f>IF(A257="","",ROUNDUP(MONTH(A257)/3,0))</f>
        <v/>
      </c>
      <c r="S257" s="3" t="n"/>
    </row>
    <row r="258">
      <c r="A258" s="2" t="n"/>
      <c r="B258" s="3" t="n"/>
      <c r="C258" s="3" t="n"/>
      <c r="D258" s="3" t="n"/>
      <c r="E258" s="4" t="n"/>
      <c r="F258" s="4" t="n"/>
      <c r="G258" s="4" t="n"/>
      <c r="H258" s="4" t="n"/>
      <c r="I258" s="5">
        <f>IF(E258="","",ROUND(E258*0.21,2))</f>
        <v/>
      </c>
      <c r="J258" s="5">
        <f>IF(F258="","",ROUND(F258*0.1,2))</f>
        <v/>
      </c>
      <c r="K258" s="5">
        <f>IF(G258="","",ROUND(G258*0.04,2))</f>
        <v/>
      </c>
      <c r="L258" s="4" t="n"/>
      <c r="M258" s="4" t="n"/>
      <c r="N258" s="5">
        <f>IF(A258="","",SUM(E258:K258)-N(L258))</f>
        <v/>
      </c>
      <c r="O258">
        <f>IF(OR(A258="",M258=""),"",IF(ABS(M258-N258)&lt;=0.02,"OK","REVISAR"))</f>
        <v/>
      </c>
      <c r="P258">
        <f>IF(D258="","",IF(LEN(TRIM(D258))&lt;&gt;9,"REVISAR",IFERROR(IF(OR(ISNUMBER(VALUE(LEFT(UPPER(TRIM(D258)),1))),LEFT(UPPER(TRIM(D258)),1)="X",LEFT(UPPER(TRIM(D258)),1)="Y",LEFT(UPPER(TRIM(D258)),1)="Z"),IF(MID("TRWAGMYFPDXBNJZSQVHLCKE",MOD(VALUE(SUBSTITUTE(SUBSTITUTE(SUBSTITUTE(LEFT(UPPER(TRIM(D258)),8),"X","0"),"Y","1"),"Z","2")),23)+1,1)=RIGHT(UPPER(TRIM(D258)),1),"OK","REVISAR"),IF(OR(RIGHT(UPPER(TRIM(D258)),1)=TEXT(MOD(10-MOD((VALUE(MID(UPPER(TRIM(D258)),3,1))+VALUE(MID(UPPER(TRIM(D258)),5,1))+VALUE(MID(UPPER(TRIM(D258)),7,1)))+(INT(2*VALUE(MID(UPPER(TRIM(D258)),2,1))/10)+MOD(2*VALUE(MID(UPPER(TRIM(D258)),2,1)),10))+(INT(2*VALUE(MID(UPPER(TRIM(D258)),4,1))/10)+MOD(2*VALUE(MID(UPPER(TRIM(D258)),4,1)),10))+(INT(2*VALUE(MID(UPPER(TRIM(D258)),6,1))/10)+MOD(2*VALUE(MID(UPPER(TRIM(D258)),6,1)),10))+(INT(2*VALUE(MID(UPPER(TRIM(D258)),8,1))/10)+MOD(2*VALUE(MID(UPPER(TRIM(D258)),8,1)),10)),10),10),"0"),RIGHT(UPPER(TRIM(D258)),1)=MID("JABCDEFGHI",MOD(10-MOD((VALUE(MID(UPPER(TRIM(D258)),3,1))+VALUE(MID(UPPER(TRIM(D258)),5,1))+VALUE(MID(UPPER(TRIM(D258)),7,1)))+(INT(2*VALUE(MID(UPPER(TRIM(D258)),2,1))/10)+MOD(2*VALUE(MID(UPPER(TRIM(D258)),2,1)),10))+(INT(2*VALUE(MID(UPPER(TRIM(D258)),4,1))/10)+MOD(2*VALUE(MID(UPPER(TRIM(D258)),4,1)),10))+(INT(2*VALUE(MID(UPPER(TRIM(D258)),6,1))/10)+MOD(2*VALUE(MID(UPPER(TRIM(D258)),6,1)),10))+(INT(2*VALUE(MID(UPPER(TRIM(D258)),8,1))/10)+MOD(2*VALUE(MID(UPPER(TRIM(D258)),8,1)),10)),10),10)+1,1)),"OK","REVISAR")),"REVISAR")))</f>
        <v/>
      </c>
      <c r="Q258">
        <f>IF(B258="","",IF(COUNTIFS($B$2:$B$501,B258,$D$2:$D$501,D258)&gt;1,"DUPLICADA",""))</f>
        <v/>
      </c>
      <c r="R258">
        <f>IF(A258="","",ROUNDUP(MONTH(A258)/3,0))</f>
        <v/>
      </c>
      <c r="S258" s="3" t="n"/>
    </row>
    <row r="259">
      <c r="A259" s="2" t="n"/>
      <c r="B259" s="3" t="n"/>
      <c r="C259" s="3" t="n"/>
      <c r="D259" s="3" t="n"/>
      <c r="E259" s="4" t="n"/>
      <c r="F259" s="4" t="n"/>
      <c r="G259" s="4" t="n"/>
      <c r="H259" s="4" t="n"/>
      <c r="I259" s="5">
        <f>IF(E259="","",ROUND(E259*0.21,2))</f>
        <v/>
      </c>
      <c r="J259" s="5">
        <f>IF(F259="","",ROUND(F259*0.1,2))</f>
        <v/>
      </c>
      <c r="K259" s="5">
        <f>IF(G259="","",ROUND(G259*0.04,2))</f>
        <v/>
      </c>
      <c r="L259" s="4" t="n"/>
      <c r="M259" s="4" t="n"/>
      <c r="N259" s="5">
        <f>IF(A259="","",SUM(E259:K259)-N(L259))</f>
        <v/>
      </c>
      <c r="O259">
        <f>IF(OR(A259="",M259=""),"",IF(ABS(M259-N259)&lt;=0.02,"OK","REVISAR"))</f>
        <v/>
      </c>
      <c r="P259">
        <f>IF(D259="","",IF(LEN(TRIM(D259))&lt;&gt;9,"REVISAR",IFERROR(IF(OR(ISNUMBER(VALUE(LEFT(UPPER(TRIM(D259)),1))),LEFT(UPPER(TRIM(D259)),1)="X",LEFT(UPPER(TRIM(D259)),1)="Y",LEFT(UPPER(TRIM(D259)),1)="Z"),IF(MID("TRWAGMYFPDXBNJZSQVHLCKE",MOD(VALUE(SUBSTITUTE(SUBSTITUTE(SUBSTITUTE(LEFT(UPPER(TRIM(D259)),8),"X","0"),"Y","1"),"Z","2")),23)+1,1)=RIGHT(UPPER(TRIM(D259)),1),"OK","REVISAR"),IF(OR(RIGHT(UPPER(TRIM(D259)),1)=TEXT(MOD(10-MOD((VALUE(MID(UPPER(TRIM(D259)),3,1))+VALUE(MID(UPPER(TRIM(D259)),5,1))+VALUE(MID(UPPER(TRIM(D259)),7,1)))+(INT(2*VALUE(MID(UPPER(TRIM(D259)),2,1))/10)+MOD(2*VALUE(MID(UPPER(TRIM(D259)),2,1)),10))+(INT(2*VALUE(MID(UPPER(TRIM(D259)),4,1))/10)+MOD(2*VALUE(MID(UPPER(TRIM(D259)),4,1)),10))+(INT(2*VALUE(MID(UPPER(TRIM(D259)),6,1))/10)+MOD(2*VALUE(MID(UPPER(TRIM(D259)),6,1)),10))+(INT(2*VALUE(MID(UPPER(TRIM(D259)),8,1))/10)+MOD(2*VALUE(MID(UPPER(TRIM(D259)),8,1)),10)),10),10),"0"),RIGHT(UPPER(TRIM(D259)),1)=MID("JABCDEFGHI",MOD(10-MOD((VALUE(MID(UPPER(TRIM(D259)),3,1))+VALUE(MID(UPPER(TRIM(D259)),5,1))+VALUE(MID(UPPER(TRIM(D259)),7,1)))+(INT(2*VALUE(MID(UPPER(TRIM(D259)),2,1))/10)+MOD(2*VALUE(MID(UPPER(TRIM(D259)),2,1)),10))+(INT(2*VALUE(MID(UPPER(TRIM(D259)),4,1))/10)+MOD(2*VALUE(MID(UPPER(TRIM(D259)),4,1)),10))+(INT(2*VALUE(MID(UPPER(TRIM(D259)),6,1))/10)+MOD(2*VALUE(MID(UPPER(TRIM(D259)),6,1)),10))+(INT(2*VALUE(MID(UPPER(TRIM(D259)),8,1))/10)+MOD(2*VALUE(MID(UPPER(TRIM(D259)),8,1)),10)),10),10)+1,1)),"OK","REVISAR")),"REVISAR")))</f>
        <v/>
      </c>
      <c r="Q259">
        <f>IF(B259="","",IF(COUNTIFS($B$2:$B$501,B259,$D$2:$D$501,D259)&gt;1,"DUPLICADA",""))</f>
        <v/>
      </c>
      <c r="R259">
        <f>IF(A259="","",ROUNDUP(MONTH(A259)/3,0))</f>
        <v/>
      </c>
      <c r="S259" s="3" t="n"/>
    </row>
    <row r="260">
      <c r="A260" s="2" t="n"/>
      <c r="B260" s="3" t="n"/>
      <c r="C260" s="3" t="n"/>
      <c r="D260" s="3" t="n"/>
      <c r="E260" s="4" t="n"/>
      <c r="F260" s="4" t="n"/>
      <c r="G260" s="4" t="n"/>
      <c r="H260" s="4" t="n"/>
      <c r="I260" s="5">
        <f>IF(E260="","",ROUND(E260*0.21,2))</f>
        <v/>
      </c>
      <c r="J260" s="5">
        <f>IF(F260="","",ROUND(F260*0.1,2))</f>
        <v/>
      </c>
      <c r="K260" s="5">
        <f>IF(G260="","",ROUND(G260*0.04,2))</f>
        <v/>
      </c>
      <c r="L260" s="4" t="n"/>
      <c r="M260" s="4" t="n"/>
      <c r="N260" s="5">
        <f>IF(A260="","",SUM(E260:K260)-N(L260))</f>
        <v/>
      </c>
      <c r="O260">
        <f>IF(OR(A260="",M260=""),"",IF(ABS(M260-N260)&lt;=0.02,"OK","REVISAR"))</f>
        <v/>
      </c>
      <c r="P260">
        <f>IF(D260="","",IF(LEN(TRIM(D260))&lt;&gt;9,"REVISAR",IFERROR(IF(OR(ISNUMBER(VALUE(LEFT(UPPER(TRIM(D260)),1))),LEFT(UPPER(TRIM(D260)),1)="X",LEFT(UPPER(TRIM(D260)),1)="Y",LEFT(UPPER(TRIM(D260)),1)="Z"),IF(MID("TRWAGMYFPDXBNJZSQVHLCKE",MOD(VALUE(SUBSTITUTE(SUBSTITUTE(SUBSTITUTE(LEFT(UPPER(TRIM(D260)),8),"X","0"),"Y","1"),"Z","2")),23)+1,1)=RIGHT(UPPER(TRIM(D260)),1),"OK","REVISAR"),IF(OR(RIGHT(UPPER(TRIM(D260)),1)=TEXT(MOD(10-MOD((VALUE(MID(UPPER(TRIM(D260)),3,1))+VALUE(MID(UPPER(TRIM(D260)),5,1))+VALUE(MID(UPPER(TRIM(D260)),7,1)))+(INT(2*VALUE(MID(UPPER(TRIM(D260)),2,1))/10)+MOD(2*VALUE(MID(UPPER(TRIM(D260)),2,1)),10))+(INT(2*VALUE(MID(UPPER(TRIM(D260)),4,1))/10)+MOD(2*VALUE(MID(UPPER(TRIM(D260)),4,1)),10))+(INT(2*VALUE(MID(UPPER(TRIM(D260)),6,1))/10)+MOD(2*VALUE(MID(UPPER(TRIM(D260)),6,1)),10))+(INT(2*VALUE(MID(UPPER(TRIM(D260)),8,1))/10)+MOD(2*VALUE(MID(UPPER(TRIM(D260)),8,1)),10)),10),10),"0"),RIGHT(UPPER(TRIM(D260)),1)=MID("JABCDEFGHI",MOD(10-MOD((VALUE(MID(UPPER(TRIM(D260)),3,1))+VALUE(MID(UPPER(TRIM(D260)),5,1))+VALUE(MID(UPPER(TRIM(D260)),7,1)))+(INT(2*VALUE(MID(UPPER(TRIM(D260)),2,1))/10)+MOD(2*VALUE(MID(UPPER(TRIM(D260)),2,1)),10))+(INT(2*VALUE(MID(UPPER(TRIM(D260)),4,1))/10)+MOD(2*VALUE(MID(UPPER(TRIM(D260)),4,1)),10))+(INT(2*VALUE(MID(UPPER(TRIM(D260)),6,1))/10)+MOD(2*VALUE(MID(UPPER(TRIM(D260)),6,1)),10))+(INT(2*VALUE(MID(UPPER(TRIM(D260)),8,1))/10)+MOD(2*VALUE(MID(UPPER(TRIM(D260)),8,1)),10)),10),10)+1,1)),"OK","REVISAR")),"REVISAR")))</f>
        <v/>
      </c>
      <c r="Q260">
        <f>IF(B260="","",IF(COUNTIFS($B$2:$B$501,B260,$D$2:$D$501,D260)&gt;1,"DUPLICADA",""))</f>
        <v/>
      </c>
      <c r="R260">
        <f>IF(A260="","",ROUNDUP(MONTH(A260)/3,0))</f>
        <v/>
      </c>
      <c r="S260" s="3" t="n"/>
    </row>
    <row r="261">
      <c r="A261" s="2" t="n"/>
      <c r="B261" s="3" t="n"/>
      <c r="C261" s="3" t="n"/>
      <c r="D261" s="3" t="n"/>
      <c r="E261" s="4" t="n"/>
      <c r="F261" s="4" t="n"/>
      <c r="G261" s="4" t="n"/>
      <c r="H261" s="4" t="n"/>
      <c r="I261" s="5">
        <f>IF(E261="","",ROUND(E261*0.21,2))</f>
        <v/>
      </c>
      <c r="J261" s="5">
        <f>IF(F261="","",ROUND(F261*0.1,2))</f>
        <v/>
      </c>
      <c r="K261" s="5">
        <f>IF(G261="","",ROUND(G261*0.04,2))</f>
        <v/>
      </c>
      <c r="L261" s="4" t="n"/>
      <c r="M261" s="4" t="n"/>
      <c r="N261" s="5">
        <f>IF(A261="","",SUM(E261:K261)-N(L261))</f>
        <v/>
      </c>
      <c r="O261">
        <f>IF(OR(A261="",M261=""),"",IF(ABS(M261-N261)&lt;=0.02,"OK","REVISAR"))</f>
        <v/>
      </c>
      <c r="P261">
        <f>IF(D261="","",IF(LEN(TRIM(D261))&lt;&gt;9,"REVISAR",IFERROR(IF(OR(ISNUMBER(VALUE(LEFT(UPPER(TRIM(D261)),1))),LEFT(UPPER(TRIM(D261)),1)="X",LEFT(UPPER(TRIM(D261)),1)="Y",LEFT(UPPER(TRIM(D261)),1)="Z"),IF(MID("TRWAGMYFPDXBNJZSQVHLCKE",MOD(VALUE(SUBSTITUTE(SUBSTITUTE(SUBSTITUTE(LEFT(UPPER(TRIM(D261)),8),"X","0"),"Y","1"),"Z","2")),23)+1,1)=RIGHT(UPPER(TRIM(D261)),1),"OK","REVISAR"),IF(OR(RIGHT(UPPER(TRIM(D261)),1)=TEXT(MOD(10-MOD((VALUE(MID(UPPER(TRIM(D261)),3,1))+VALUE(MID(UPPER(TRIM(D261)),5,1))+VALUE(MID(UPPER(TRIM(D261)),7,1)))+(INT(2*VALUE(MID(UPPER(TRIM(D261)),2,1))/10)+MOD(2*VALUE(MID(UPPER(TRIM(D261)),2,1)),10))+(INT(2*VALUE(MID(UPPER(TRIM(D261)),4,1))/10)+MOD(2*VALUE(MID(UPPER(TRIM(D261)),4,1)),10))+(INT(2*VALUE(MID(UPPER(TRIM(D261)),6,1))/10)+MOD(2*VALUE(MID(UPPER(TRIM(D261)),6,1)),10))+(INT(2*VALUE(MID(UPPER(TRIM(D261)),8,1))/10)+MOD(2*VALUE(MID(UPPER(TRIM(D261)),8,1)),10)),10),10),"0"),RIGHT(UPPER(TRIM(D261)),1)=MID("JABCDEFGHI",MOD(10-MOD((VALUE(MID(UPPER(TRIM(D261)),3,1))+VALUE(MID(UPPER(TRIM(D261)),5,1))+VALUE(MID(UPPER(TRIM(D261)),7,1)))+(INT(2*VALUE(MID(UPPER(TRIM(D261)),2,1))/10)+MOD(2*VALUE(MID(UPPER(TRIM(D261)),2,1)),10))+(INT(2*VALUE(MID(UPPER(TRIM(D261)),4,1))/10)+MOD(2*VALUE(MID(UPPER(TRIM(D261)),4,1)),10))+(INT(2*VALUE(MID(UPPER(TRIM(D261)),6,1))/10)+MOD(2*VALUE(MID(UPPER(TRIM(D261)),6,1)),10))+(INT(2*VALUE(MID(UPPER(TRIM(D261)),8,1))/10)+MOD(2*VALUE(MID(UPPER(TRIM(D261)),8,1)),10)),10),10)+1,1)),"OK","REVISAR")),"REVISAR")))</f>
        <v/>
      </c>
      <c r="Q261">
        <f>IF(B261="","",IF(COUNTIFS($B$2:$B$501,B261,$D$2:$D$501,D261)&gt;1,"DUPLICADA",""))</f>
        <v/>
      </c>
      <c r="R261">
        <f>IF(A261="","",ROUNDUP(MONTH(A261)/3,0))</f>
        <v/>
      </c>
      <c r="S261" s="3" t="n"/>
    </row>
    <row r="262">
      <c r="A262" s="2" t="n"/>
      <c r="B262" s="3" t="n"/>
      <c r="C262" s="3" t="n"/>
      <c r="D262" s="3" t="n"/>
      <c r="E262" s="4" t="n"/>
      <c r="F262" s="4" t="n"/>
      <c r="G262" s="4" t="n"/>
      <c r="H262" s="4" t="n"/>
      <c r="I262" s="5">
        <f>IF(E262="","",ROUND(E262*0.21,2))</f>
        <v/>
      </c>
      <c r="J262" s="5">
        <f>IF(F262="","",ROUND(F262*0.1,2))</f>
        <v/>
      </c>
      <c r="K262" s="5">
        <f>IF(G262="","",ROUND(G262*0.04,2))</f>
        <v/>
      </c>
      <c r="L262" s="4" t="n"/>
      <c r="M262" s="4" t="n"/>
      <c r="N262" s="5">
        <f>IF(A262="","",SUM(E262:K262)-N(L262))</f>
        <v/>
      </c>
      <c r="O262">
        <f>IF(OR(A262="",M262=""),"",IF(ABS(M262-N262)&lt;=0.02,"OK","REVISAR"))</f>
        <v/>
      </c>
      <c r="P262">
        <f>IF(D262="","",IF(LEN(TRIM(D262))&lt;&gt;9,"REVISAR",IFERROR(IF(OR(ISNUMBER(VALUE(LEFT(UPPER(TRIM(D262)),1))),LEFT(UPPER(TRIM(D262)),1)="X",LEFT(UPPER(TRIM(D262)),1)="Y",LEFT(UPPER(TRIM(D262)),1)="Z"),IF(MID("TRWAGMYFPDXBNJZSQVHLCKE",MOD(VALUE(SUBSTITUTE(SUBSTITUTE(SUBSTITUTE(LEFT(UPPER(TRIM(D262)),8),"X","0"),"Y","1"),"Z","2")),23)+1,1)=RIGHT(UPPER(TRIM(D262)),1),"OK","REVISAR"),IF(OR(RIGHT(UPPER(TRIM(D262)),1)=TEXT(MOD(10-MOD((VALUE(MID(UPPER(TRIM(D262)),3,1))+VALUE(MID(UPPER(TRIM(D262)),5,1))+VALUE(MID(UPPER(TRIM(D262)),7,1)))+(INT(2*VALUE(MID(UPPER(TRIM(D262)),2,1))/10)+MOD(2*VALUE(MID(UPPER(TRIM(D262)),2,1)),10))+(INT(2*VALUE(MID(UPPER(TRIM(D262)),4,1))/10)+MOD(2*VALUE(MID(UPPER(TRIM(D262)),4,1)),10))+(INT(2*VALUE(MID(UPPER(TRIM(D262)),6,1))/10)+MOD(2*VALUE(MID(UPPER(TRIM(D262)),6,1)),10))+(INT(2*VALUE(MID(UPPER(TRIM(D262)),8,1))/10)+MOD(2*VALUE(MID(UPPER(TRIM(D262)),8,1)),10)),10),10),"0"),RIGHT(UPPER(TRIM(D262)),1)=MID("JABCDEFGHI",MOD(10-MOD((VALUE(MID(UPPER(TRIM(D262)),3,1))+VALUE(MID(UPPER(TRIM(D262)),5,1))+VALUE(MID(UPPER(TRIM(D262)),7,1)))+(INT(2*VALUE(MID(UPPER(TRIM(D262)),2,1))/10)+MOD(2*VALUE(MID(UPPER(TRIM(D262)),2,1)),10))+(INT(2*VALUE(MID(UPPER(TRIM(D262)),4,1))/10)+MOD(2*VALUE(MID(UPPER(TRIM(D262)),4,1)),10))+(INT(2*VALUE(MID(UPPER(TRIM(D262)),6,1))/10)+MOD(2*VALUE(MID(UPPER(TRIM(D262)),6,1)),10))+(INT(2*VALUE(MID(UPPER(TRIM(D262)),8,1))/10)+MOD(2*VALUE(MID(UPPER(TRIM(D262)),8,1)),10)),10),10)+1,1)),"OK","REVISAR")),"REVISAR")))</f>
        <v/>
      </c>
      <c r="Q262">
        <f>IF(B262="","",IF(COUNTIFS($B$2:$B$501,B262,$D$2:$D$501,D262)&gt;1,"DUPLICADA",""))</f>
        <v/>
      </c>
      <c r="R262">
        <f>IF(A262="","",ROUNDUP(MONTH(A262)/3,0))</f>
        <v/>
      </c>
      <c r="S262" s="3" t="n"/>
    </row>
    <row r="263">
      <c r="A263" s="2" t="n"/>
      <c r="B263" s="3" t="n"/>
      <c r="C263" s="3" t="n"/>
      <c r="D263" s="3" t="n"/>
      <c r="E263" s="4" t="n"/>
      <c r="F263" s="4" t="n"/>
      <c r="G263" s="4" t="n"/>
      <c r="H263" s="4" t="n"/>
      <c r="I263" s="5">
        <f>IF(E263="","",ROUND(E263*0.21,2))</f>
        <v/>
      </c>
      <c r="J263" s="5">
        <f>IF(F263="","",ROUND(F263*0.1,2))</f>
        <v/>
      </c>
      <c r="K263" s="5">
        <f>IF(G263="","",ROUND(G263*0.04,2))</f>
        <v/>
      </c>
      <c r="L263" s="4" t="n"/>
      <c r="M263" s="4" t="n"/>
      <c r="N263" s="5">
        <f>IF(A263="","",SUM(E263:K263)-N(L263))</f>
        <v/>
      </c>
      <c r="O263">
        <f>IF(OR(A263="",M263=""),"",IF(ABS(M263-N263)&lt;=0.02,"OK","REVISAR"))</f>
        <v/>
      </c>
      <c r="P263">
        <f>IF(D263="","",IF(LEN(TRIM(D263))&lt;&gt;9,"REVISAR",IFERROR(IF(OR(ISNUMBER(VALUE(LEFT(UPPER(TRIM(D263)),1))),LEFT(UPPER(TRIM(D263)),1)="X",LEFT(UPPER(TRIM(D263)),1)="Y",LEFT(UPPER(TRIM(D263)),1)="Z"),IF(MID("TRWAGMYFPDXBNJZSQVHLCKE",MOD(VALUE(SUBSTITUTE(SUBSTITUTE(SUBSTITUTE(LEFT(UPPER(TRIM(D263)),8),"X","0"),"Y","1"),"Z","2")),23)+1,1)=RIGHT(UPPER(TRIM(D263)),1),"OK","REVISAR"),IF(OR(RIGHT(UPPER(TRIM(D263)),1)=TEXT(MOD(10-MOD((VALUE(MID(UPPER(TRIM(D263)),3,1))+VALUE(MID(UPPER(TRIM(D263)),5,1))+VALUE(MID(UPPER(TRIM(D263)),7,1)))+(INT(2*VALUE(MID(UPPER(TRIM(D263)),2,1))/10)+MOD(2*VALUE(MID(UPPER(TRIM(D263)),2,1)),10))+(INT(2*VALUE(MID(UPPER(TRIM(D263)),4,1))/10)+MOD(2*VALUE(MID(UPPER(TRIM(D263)),4,1)),10))+(INT(2*VALUE(MID(UPPER(TRIM(D263)),6,1))/10)+MOD(2*VALUE(MID(UPPER(TRIM(D263)),6,1)),10))+(INT(2*VALUE(MID(UPPER(TRIM(D263)),8,1))/10)+MOD(2*VALUE(MID(UPPER(TRIM(D263)),8,1)),10)),10),10),"0"),RIGHT(UPPER(TRIM(D263)),1)=MID("JABCDEFGHI",MOD(10-MOD((VALUE(MID(UPPER(TRIM(D263)),3,1))+VALUE(MID(UPPER(TRIM(D263)),5,1))+VALUE(MID(UPPER(TRIM(D263)),7,1)))+(INT(2*VALUE(MID(UPPER(TRIM(D263)),2,1))/10)+MOD(2*VALUE(MID(UPPER(TRIM(D263)),2,1)),10))+(INT(2*VALUE(MID(UPPER(TRIM(D263)),4,1))/10)+MOD(2*VALUE(MID(UPPER(TRIM(D263)),4,1)),10))+(INT(2*VALUE(MID(UPPER(TRIM(D263)),6,1))/10)+MOD(2*VALUE(MID(UPPER(TRIM(D263)),6,1)),10))+(INT(2*VALUE(MID(UPPER(TRIM(D263)),8,1))/10)+MOD(2*VALUE(MID(UPPER(TRIM(D263)),8,1)),10)),10),10)+1,1)),"OK","REVISAR")),"REVISAR")))</f>
        <v/>
      </c>
      <c r="Q263">
        <f>IF(B263="","",IF(COUNTIFS($B$2:$B$501,B263,$D$2:$D$501,D263)&gt;1,"DUPLICADA",""))</f>
        <v/>
      </c>
      <c r="R263">
        <f>IF(A263="","",ROUNDUP(MONTH(A263)/3,0))</f>
        <v/>
      </c>
      <c r="S263" s="3" t="n"/>
    </row>
    <row r="264">
      <c r="A264" s="2" t="n"/>
      <c r="B264" s="3" t="n"/>
      <c r="C264" s="3" t="n"/>
      <c r="D264" s="3" t="n"/>
      <c r="E264" s="4" t="n"/>
      <c r="F264" s="4" t="n"/>
      <c r="G264" s="4" t="n"/>
      <c r="H264" s="4" t="n"/>
      <c r="I264" s="5">
        <f>IF(E264="","",ROUND(E264*0.21,2))</f>
        <v/>
      </c>
      <c r="J264" s="5">
        <f>IF(F264="","",ROUND(F264*0.1,2))</f>
        <v/>
      </c>
      <c r="K264" s="5">
        <f>IF(G264="","",ROUND(G264*0.04,2))</f>
        <v/>
      </c>
      <c r="L264" s="4" t="n"/>
      <c r="M264" s="4" t="n"/>
      <c r="N264" s="5">
        <f>IF(A264="","",SUM(E264:K264)-N(L264))</f>
        <v/>
      </c>
      <c r="O264">
        <f>IF(OR(A264="",M264=""),"",IF(ABS(M264-N264)&lt;=0.02,"OK","REVISAR"))</f>
        <v/>
      </c>
      <c r="P264">
        <f>IF(D264="","",IF(LEN(TRIM(D264))&lt;&gt;9,"REVISAR",IFERROR(IF(OR(ISNUMBER(VALUE(LEFT(UPPER(TRIM(D264)),1))),LEFT(UPPER(TRIM(D264)),1)="X",LEFT(UPPER(TRIM(D264)),1)="Y",LEFT(UPPER(TRIM(D264)),1)="Z"),IF(MID("TRWAGMYFPDXBNJZSQVHLCKE",MOD(VALUE(SUBSTITUTE(SUBSTITUTE(SUBSTITUTE(LEFT(UPPER(TRIM(D264)),8),"X","0"),"Y","1"),"Z","2")),23)+1,1)=RIGHT(UPPER(TRIM(D264)),1),"OK","REVISAR"),IF(OR(RIGHT(UPPER(TRIM(D264)),1)=TEXT(MOD(10-MOD((VALUE(MID(UPPER(TRIM(D264)),3,1))+VALUE(MID(UPPER(TRIM(D264)),5,1))+VALUE(MID(UPPER(TRIM(D264)),7,1)))+(INT(2*VALUE(MID(UPPER(TRIM(D264)),2,1))/10)+MOD(2*VALUE(MID(UPPER(TRIM(D264)),2,1)),10))+(INT(2*VALUE(MID(UPPER(TRIM(D264)),4,1))/10)+MOD(2*VALUE(MID(UPPER(TRIM(D264)),4,1)),10))+(INT(2*VALUE(MID(UPPER(TRIM(D264)),6,1))/10)+MOD(2*VALUE(MID(UPPER(TRIM(D264)),6,1)),10))+(INT(2*VALUE(MID(UPPER(TRIM(D264)),8,1))/10)+MOD(2*VALUE(MID(UPPER(TRIM(D264)),8,1)),10)),10),10),"0"),RIGHT(UPPER(TRIM(D264)),1)=MID("JABCDEFGHI",MOD(10-MOD((VALUE(MID(UPPER(TRIM(D264)),3,1))+VALUE(MID(UPPER(TRIM(D264)),5,1))+VALUE(MID(UPPER(TRIM(D264)),7,1)))+(INT(2*VALUE(MID(UPPER(TRIM(D264)),2,1))/10)+MOD(2*VALUE(MID(UPPER(TRIM(D264)),2,1)),10))+(INT(2*VALUE(MID(UPPER(TRIM(D264)),4,1))/10)+MOD(2*VALUE(MID(UPPER(TRIM(D264)),4,1)),10))+(INT(2*VALUE(MID(UPPER(TRIM(D264)),6,1))/10)+MOD(2*VALUE(MID(UPPER(TRIM(D264)),6,1)),10))+(INT(2*VALUE(MID(UPPER(TRIM(D264)),8,1))/10)+MOD(2*VALUE(MID(UPPER(TRIM(D264)),8,1)),10)),10),10)+1,1)),"OK","REVISAR")),"REVISAR")))</f>
        <v/>
      </c>
      <c r="Q264">
        <f>IF(B264="","",IF(COUNTIFS($B$2:$B$501,B264,$D$2:$D$501,D264)&gt;1,"DUPLICADA",""))</f>
        <v/>
      </c>
      <c r="R264">
        <f>IF(A264="","",ROUNDUP(MONTH(A264)/3,0))</f>
        <v/>
      </c>
      <c r="S264" s="3" t="n"/>
    </row>
    <row r="265">
      <c r="A265" s="2" t="n"/>
      <c r="B265" s="3" t="n"/>
      <c r="C265" s="3" t="n"/>
      <c r="D265" s="3" t="n"/>
      <c r="E265" s="4" t="n"/>
      <c r="F265" s="4" t="n"/>
      <c r="G265" s="4" t="n"/>
      <c r="H265" s="4" t="n"/>
      <c r="I265" s="5">
        <f>IF(E265="","",ROUND(E265*0.21,2))</f>
        <v/>
      </c>
      <c r="J265" s="5">
        <f>IF(F265="","",ROUND(F265*0.1,2))</f>
        <v/>
      </c>
      <c r="K265" s="5">
        <f>IF(G265="","",ROUND(G265*0.04,2))</f>
        <v/>
      </c>
      <c r="L265" s="4" t="n"/>
      <c r="M265" s="4" t="n"/>
      <c r="N265" s="5">
        <f>IF(A265="","",SUM(E265:K265)-N(L265))</f>
        <v/>
      </c>
      <c r="O265">
        <f>IF(OR(A265="",M265=""),"",IF(ABS(M265-N265)&lt;=0.02,"OK","REVISAR"))</f>
        <v/>
      </c>
      <c r="P265">
        <f>IF(D265="","",IF(LEN(TRIM(D265))&lt;&gt;9,"REVISAR",IFERROR(IF(OR(ISNUMBER(VALUE(LEFT(UPPER(TRIM(D265)),1))),LEFT(UPPER(TRIM(D265)),1)="X",LEFT(UPPER(TRIM(D265)),1)="Y",LEFT(UPPER(TRIM(D265)),1)="Z"),IF(MID("TRWAGMYFPDXBNJZSQVHLCKE",MOD(VALUE(SUBSTITUTE(SUBSTITUTE(SUBSTITUTE(LEFT(UPPER(TRIM(D265)),8),"X","0"),"Y","1"),"Z","2")),23)+1,1)=RIGHT(UPPER(TRIM(D265)),1),"OK","REVISAR"),IF(OR(RIGHT(UPPER(TRIM(D265)),1)=TEXT(MOD(10-MOD((VALUE(MID(UPPER(TRIM(D265)),3,1))+VALUE(MID(UPPER(TRIM(D265)),5,1))+VALUE(MID(UPPER(TRIM(D265)),7,1)))+(INT(2*VALUE(MID(UPPER(TRIM(D265)),2,1))/10)+MOD(2*VALUE(MID(UPPER(TRIM(D265)),2,1)),10))+(INT(2*VALUE(MID(UPPER(TRIM(D265)),4,1))/10)+MOD(2*VALUE(MID(UPPER(TRIM(D265)),4,1)),10))+(INT(2*VALUE(MID(UPPER(TRIM(D265)),6,1))/10)+MOD(2*VALUE(MID(UPPER(TRIM(D265)),6,1)),10))+(INT(2*VALUE(MID(UPPER(TRIM(D265)),8,1))/10)+MOD(2*VALUE(MID(UPPER(TRIM(D265)),8,1)),10)),10),10),"0"),RIGHT(UPPER(TRIM(D265)),1)=MID("JABCDEFGHI",MOD(10-MOD((VALUE(MID(UPPER(TRIM(D265)),3,1))+VALUE(MID(UPPER(TRIM(D265)),5,1))+VALUE(MID(UPPER(TRIM(D265)),7,1)))+(INT(2*VALUE(MID(UPPER(TRIM(D265)),2,1))/10)+MOD(2*VALUE(MID(UPPER(TRIM(D265)),2,1)),10))+(INT(2*VALUE(MID(UPPER(TRIM(D265)),4,1))/10)+MOD(2*VALUE(MID(UPPER(TRIM(D265)),4,1)),10))+(INT(2*VALUE(MID(UPPER(TRIM(D265)),6,1))/10)+MOD(2*VALUE(MID(UPPER(TRIM(D265)),6,1)),10))+(INT(2*VALUE(MID(UPPER(TRIM(D265)),8,1))/10)+MOD(2*VALUE(MID(UPPER(TRIM(D265)),8,1)),10)),10),10)+1,1)),"OK","REVISAR")),"REVISAR")))</f>
        <v/>
      </c>
      <c r="Q265">
        <f>IF(B265="","",IF(COUNTIFS($B$2:$B$501,B265,$D$2:$D$501,D265)&gt;1,"DUPLICADA",""))</f>
        <v/>
      </c>
      <c r="R265">
        <f>IF(A265="","",ROUNDUP(MONTH(A265)/3,0))</f>
        <v/>
      </c>
      <c r="S265" s="3" t="n"/>
    </row>
    <row r="266">
      <c r="A266" s="2" t="n"/>
      <c r="B266" s="3" t="n"/>
      <c r="C266" s="3" t="n"/>
      <c r="D266" s="3" t="n"/>
      <c r="E266" s="4" t="n"/>
      <c r="F266" s="4" t="n"/>
      <c r="G266" s="4" t="n"/>
      <c r="H266" s="4" t="n"/>
      <c r="I266" s="5">
        <f>IF(E266="","",ROUND(E266*0.21,2))</f>
        <v/>
      </c>
      <c r="J266" s="5">
        <f>IF(F266="","",ROUND(F266*0.1,2))</f>
        <v/>
      </c>
      <c r="K266" s="5">
        <f>IF(G266="","",ROUND(G266*0.04,2))</f>
        <v/>
      </c>
      <c r="L266" s="4" t="n"/>
      <c r="M266" s="4" t="n"/>
      <c r="N266" s="5">
        <f>IF(A266="","",SUM(E266:K266)-N(L266))</f>
        <v/>
      </c>
      <c r="O266">
        <f>IF(OR(A266="",M266=""),"",IF(ABS(M266-N266)&lt;=0.02,"OK","REVISAR"))</f>
        <v/>
      </c>
      <c r="P266">
        <f>IF(D266="","",IF(LEN(TRIM(D266))&lt;&gt;9,"REVISAR",IFERROR(IF(OR(ISNUMBER(VALUE(LEFT(UPPER(TRIM(D266)),1))),LEFT(UPPER(TRIM(D266)),1)="X",LEFT(UPPER(TRIM(D266)),1)="Y",LEFT(UPPER(TRIM(D266)),1)="Z"),IF(MID("TRWAGMYFPDXBNJZSQVHLCKE",MOD(VALUE(SUBSTITUTE(SUBSTITUTE(SUBSTITUTE(LEFT(UPPER(TRIM(D266)),8),"X","0"),"Y","1"),"Z","2")),23)+1,1)=RIGHT(UPPER(TRIM(D266)),1),"OK","REVISAR"),IF(OR(RIGHT(UPPER(TRIM(D266)),1)=TEXT(MOD(10-MOD((VALUE(MID(UPPER(TRIM(D266)),3,1))+VALUE(MID(UPPER(TRIM(D266)),5,1))+VALUE(MID(UPPER(TRIM(D266)),7,1)))+(INT(2*VALUE(MID(UPPER(TRIM(D266)),2,1))/10)+MOD(2*VALUE(MID(UPPER(TRIM(D266)),2,1)),10))+(INT(2*VALUE(MID(UPPER(TRIM(D266)),4,1))/10)+MOD(2*VALUE(MID(UPPER(TRIM(D266)),4,1)),10))+(INT(2*VALUE(MID(UPPER(TRIM(D266)),6,1))/10)+MOD(2*VALUE(MID(UPPER(TRIM(D266)),6,1)),10))+(INT(2*VALUE(MID(UPPER(TRIM(D266)),8,1))/10)+MOD(2*VALUE(MID(UPPER(TRIM(D266)),8,1)),10)),10),10),"0"),RIGHT(UPPER(TRIM(D266)),1)=MID("JABCDEFGHI",MOD(10-MOD((VALUE(MID(UPPER(TRIM(D266)),3,1))+VALUE(MID(UPPER(TRIM(D266)),5,1))+VALUE(MID(UPPER(TRIM(D266)),7,1)))+(INT(2*VALUE(MID(UPPER(TRIM(D266)),2,1))/10)+MOD(2*VALUE(MID(UPPER(TRIM(D266)),2,1)),10))+(INT(2*VALUE(MID(UPPER(TRIM(D266)),4,1))/10)+MOD(2*VALUE(MID(UPPER(TRIM(D266)),4,1)),10))+(INT(2*VALUE(MID(UPPER(TRIM(D266)),6,1))/10)+MOD(2*VALUE(MID(UPPER(TRIM(D266)),6,1)),10))+(INT(2*VALUE(MID(UPPER(TRIM(D266)),8,1))/10)+MOD(2*VALUE(MID(UPPER(TRIM(D266)),8,1)),10)),10),10)+1,1)),"OK","REVISAR")),"REVISAR")))</f>
        <v/>
      </c>
      <c r="Q266">
        <f>IF(B266="","",IF(COUNTIFS($B$2:$B$501,B266,$D$2:$D$501,D266)&gt;1,"DUPLICADA",""))</f>
        <v/>
      </c>
      <c r="R266">
        <f>IF(A266="","",ROUNDUP(MONTH(A266)/3,0))</f>
        <v/>
      </c>
      <c r="S266" s="3" t="n"/>
    </row>
    <row r="267">
      <c r="A267" s="2" t="n"/>
      <c r="B267" s="3" t="n"/>
      <c r="C267" s="3" t="n"/>
      <c r="D267" s="3" t="n"/>
      <c r="E267" s="4" t="n"/>
      <c r="F267" s="4" t="n"/>
      <c r="G267" s="4" t="n"/>
      <c r="H267" s="4" t="n"/>
      <c r="I267" s="5">
        <f>IF(E267="","",ROUND(E267*0.21,2))</f>
        <v/>
      </c>
      <c r="J267" s="5">
        <f>IF(F267="","",ROUND(F267*0.1,2))</f>
        <v/>
      </c>
      <c r="K267" s="5">
        <f>IF(G267="","",ROUND(G267*0.04,2))</f>
        <v/>
      </c>
      <c r="L267" s="4" t="n"/>
      <c r="M267" s="4" t="n"/>
      <c r="N267" s="5">
        <f>IF(A267="","",SUM(E267:K267)-N(L267))</f>
        <v/>
      </c>
      <c r="O267">
        <f>IF(OR(A267="",M267=""),"",IF(ABS(M267-N267)&lt;=0.02,"OK","REVISAR"))</f>
        <v/>
      </c>
      <c r="P267">
        <f>IF(D267="","",IF(LEN(TRIM(D267))&lt;&gt;9,"REVISAR",IFERROR(IF(OR(ISNUMBER(VALUE(LEFT(UPPER(TRIM(D267)),1))),LEFT(UPPER(TRIM(D267)),1)="X",LEFT(UPPER(TRIM(D267)),1)="Y",LEFT(UPPER(TRIM(D267)),1)="Z"),IF(MID("TRWAGMYFPDXBNJZSQVHLCKE",MOD(VALUE(SUBSTITUTE(SUBSTITUTE(SUBSTITUTE(LEFT(UPPER(TRIM(D267)),8),"X","0"),"Y","1"),"Z","2")),23)+1,1)=RIGHT(UPPER(TRIM(D267)),1),"OK","REVISAR"),IF(OR(RIGHT(UPPER(TRIM(D267)),1)=TEXT(MOD(10-MOD((VALUE(MID(UPPER(TRIM(D267)),3,1))+VALUE(MID(UPPER(TRIM(D267)),5,1))+VALUE(MID(UPPER(TRIM(D267)),7,1)))+(INT(2*VALUE(MID(UPPER(TRIM(D267)),2,1))/10)+MOD(2*VALUE(MID(UPPER(TRIM(D267)),2,1)),10))+(INT(2*VALUE(MID(UPPER(TRIM(D267)),4,1))/10)+MOD(2*VALUE(MID(UPPER(TRIM(D267)),4,1)),10))+(INT(2*VALUE(MID(UPPER(TRIM(D267)),6,1))/10)+MOD(2*VALUE(MID(UPPER(TRIM(D267)),6,1)),10))+(INT(2*VALUE(MID(UPPER(TRIM(D267)),8,1))/10)+MOD(2*VALUE(MID(UPPER(TRIM(D267)),8,1)),10)),10),10),"0"),RIGHT(UPPER(TRIM(D267)),1)=MID("JABCDEFGHI",MOD(10-MOD((VALUE(MID(UPPER(TRIM(D267)),3,1))+VALUE(MID(UPPER(TRIM(D267)),5,1))+VALUE(MID(UPPER(TRIM(D267)),7,1)))+(INT(2*VALUE(MID(UPPER(TRIM(D267)),2,1))/10)+MOD(2*VALUE(MID(UPPER(TRIM(D267)),2,1)),10))+(INT(2*VALUE(MID(UPPER(TRIM(D267)),4,1))/10)+MOD(2*VALUE(MID(UPPER(TRIM(D267)),4,1)),10))+(INT(2*VALUE(MID(UPPER(TRIM(D267)),6,1))/10)+MOD(2*VALUE(MID(UPPER(TRIM(D267)),6,1)),10))+(INT(2*VALUE(MID(UPPER(TRIM(D267)),8,1))/10)+MOD(2*VALUE(MID(UPPER(TRIM(D267)),8,1)),10)),10),10)+1,1)),"OK","REVISAR")),"REVISAR")))</f>
        <v/>
      </c>
      <c r="Q267">
        <f>IF(B267="","",IF(COUNTIFS($B$2:$B$501,B267,$D$2:$D$501,D267)&gt;1,"DUPLICADA",""))</f>
        <v/>
      </c>
      <c r="R267">
        <f>IF(A267="","",ROUNDUP(MONTH(A267)/3,0))</f>
        <v/>
      </c>
      <c r="S267" s="3" t="n"/>
    </row>
    <row r="268">
      <c r="A268" s="2" t="n"/>
      <c r="B268" s="3" t="n"/>
      <c r="C268" s="3" t="n"/>
      <c r="D268" s="3" t="n"/>
      <c r="E268" s="4" t="n"/>
      <c r="F268" s="4" t="n"/>
      <c r="G268" s="4" t="n"/>
      <c r="H268" s="4" t="n"/>
      <c r="I268" s="5">
        <f>IF(E268="","",ROUND(E268*0.21,2))</f>
        <v/>
      </c>
      <c r="J268" s="5">
        <f>IF(F268="","",ROUND(F268*0.1,2))</f>
        <v/>
      </c>
      <c r="K268" s="5">
        <f>IF(G268="","",ROUND(G268*0.04,2))</f>
        <v/>
      </c>
      <c r="L268" s="4" t="n"/>
      <c r="M268" s="4" t="n"/>
      <c r="N268" s="5">
        <f>IF(A268="","",SUM(E268:K268)-N(L268))</f>
        <v/>
      </c>
      <c r="O268">
        <f>IF(OR(A268="",M268=""),"",IF(ABS(M268-N268)&lt;=0.02,"OK","REVISAR"))</f>
        <v/>
      </c>
      <c r="P268">
        <f>IF(D268="","",IF(LEN(TRIM(D268))&lt;&gt;9,"REVISAR",IFERROR(IF(OR(ISNUMBER(VALUE(LEFT(UPPER(TRIM(D268)),1))),LEFT(UPPER(TRIM(D268)),1)="X",LEFT(UPPER(TRIM(D268)),1)="Y",LEFT(UPPER(TRIM(D268)),1)="Z"),IF(MID("TRWAGMYFPDXBNJZSQVHLCKE",MOD(VALUE(SUBSTITUTE(SUBSTITUTE(SUBSTITUTE(LEFT(UPPER(TRIM(D268)),8),"X","0"),"Y","1"),"Z","2")),23)+1,1)=RIGHT(UPPER(TRIM(D268)),1),"OK","REVISAR"),IF(OR(RIGHT(UPPER(TRIM(D268)),1)=TEXT(MOD(10-MOD((VALUE(MID(UPPER(TRIM(D268)),3,1))+VALUE(MID(UPPER(TRIM(D268)),5,1))+VALUE(MID(UPPER(TRIM(D268)),7,1)))+(INT(2*VALUE(MID(UPPER(TRIM(D268)),2,1))/10)+MOD(2*VALUE(MID(UPPER(TRIM(D268)),2,1)),10))+(INT(2*VALUE(MID(UPPER(TRIM(D268)),4,1))/10)+MOD(2*VALUE(MID(UPPER(TRIM(D268)),4,1)),10))+(INT(2*VALUE(MID(UPPER(TRIM(D268)),6,1))/10)+MOD(2*VALUE(MID(UPPER(TRIM(D268)),6,1)),10))+(INT(2*VALUE(MID(UPPER(TRIM(D268)),8,1))/10)+MOD(2*VALUE(MID(UPPER(TRIM(D268)),8,1)),10)),10),10),"0"),RIGHT(UPPER(TRIM(D268)),1)=MID("JABCDEFGHI",MOD(10-MOD((VALUE(MID(UPPER(TRIM(D268)),3,1))+VALUE(MID(UPPER(TRIM(D268)),5,1))+VALUE(MID(UPPER(TRIM(D268)),7,1)))+(INT(2*VALUE(MID(UPPER(TRIM(D268)),2,1))/10)+MOD(2*VALUE(MID(UPPER(TRIM(D268)),2,1)),10))+(INT(2*VALUE(MID(UPPER(TRIM(D268)),4,1))/10)+MOD(2*VALUE(MID(UPPER(TRIM(D268)),4,1)),10))+(INT(2*VALUE(MID(UPPER(TRIM(D268)),6,1))/10)+MOD(2*VALUE(MID(UPPER(TRIM(D268)),6,1)),10))+(INT(2*VALUE(MID(UPPER(TRIM(D268)),8,1))/10)+MOD(2*VALUE(MID(UPPER(TRIM(D268)),8,1)),10)),10),10)+1,1)),"OK","REVISAR")),"REVISAR")))</f>
        <v/>
      </c>
      <c r="Q268">
        <f>IF(B268="","",IF(COUNTIFS($B$2:$B$501,B268,$D$2:$D$501,D268)&gt;1,"DUPLICADA",""))</f>
        <v/>
      </c>
      <c r="R268">
        <f>IF(A268="","",ROUNDUP(MONTH(A268)/3,0))</f>
        <v/>
      </c>
      <c r="S268" s="3" t="n"/>
    </row>
    <row r="269">
      <c r="A269" s="2" t="n"/>
      <c r="B269" s="3" t="n"/>
      <c r="C269" s="3" t="n"/>
      <c r="D269" s="3" t="n"/>
      <c r="E269" s="4" t="n"/>
      <c r="F269" s="4" t="n"/>
      <c r="G269" s="4" t="n"/>
      <c r="H269" s="4" t="n"/>
      <c r="I269" s="5">
        <f>IF(E269="","",ROUND(E269*0.21,2))</f>
        <v/>
      </c>
      <c r="J269" s="5">
        <f>IF(F269="","",ROUND(F269*0.1,2))</f>
        <v/>
      </c>
      <c r="K269" s="5">
        <f>IF(G269="","",ROUND(G269*0.04,2))</f>
        <v/>
      </c>
      <c r="L269" s="4" t="n"/>
      <c r="M269" s="4" t="n"/>
      <c r="N269" s="5">
        <f>IF(A269="","",SUM(E269:K269)-N(L269))</f>
        <v/>
      </c>
      <c r="O269">
        <f>IF(OR(A269="",M269=""),"",IF(ABS(M269-N269)&lt;=0.02,"OK","REVISAR"))</f>
        <v/>
      </c>
      <c r="P269">
        <f>IF(D269="","",IF(LEN(TRIM(D269))&lt;&gt;9,"REVISAR",IFERROR(IF(OR(ISNUMBER(VALUE(LEFT(UPPER(TRIM(D269)),1))),LEFT(UPPER(TRIM(D269)),1)="X",LEFT(UPPER(TRIM(D269)),1)="Y",LEFT(UPPER(TRIM(D269)),1)="Z"),IF(MID("TRWAGMYFPDXBNJZSQVHLCKE",MOD(VALUE(SUBSTITUTE(SUBSTITUTE(SUBSTITUTE(LEFT(UPPER(TRIM(D269)),8),"X","0"),"Y","1"),"Z","2")),23)+1,1)=RIGHT(UPPER(TRIM(D269)),1),"OK","REVISAR"),IF(OR(RIGHT(UPPER(TRIM(D269)),1)=TEXT(MOD(10-MOD((VALUE(MID(UPPER(TRIM(D269)),3,1))+VALUE(MID(UPPER(TRIM(D269)),5,1))+VALUE(MID(UPPER(TRIM(D269)),7,1)))+(INT(2*VALUE(MID(UPPER(TRIM(D269)),2,1))/10)+MOD(2*VALUE(MID(UPPER(TRIM(D269)),2,1)),10))+(INT(2*VALUE(MID(UPPER(TRIM(D269)),4,1))/10)+MOD(2*VALUE(MID(UPPER(TRIM(D269)),4,1)),10))+(INT(2*VALUE(MID(UPPER(TRIM(D269)),6,1))/10)+MOD(2*VALUE(MID(UPPER(TRIM(D269)),6,1)),10))+(INT(2*VALUE(MID(UPPER(TRIM(D269)),8,1))/10)+MOD(2*VALUE(MID(UPPER(TRIM(D269)),8,1)),10)),10),10),"0"),RIGHT(UPPER(TRIM(D269)),1)=MID("JABCDEFGHI",MOD(10-MOD((VALUE(MID(UPPER(TRIM(D269)),3,1))+VALUE(MID(UPPER(TRIM(D269)),5,1))+VALUE(MID(UPPER(TRIM(D269)),7,1)))+(INT(2*VALUE(MID(UPPER(TRIM(D269)),2,1))/10)+MOD(2*VALUE(MID(UPPER(TRIM(D269)),2,1)),10))+(INT(2*VALUE(MID(UPPER(TRIM(D269)),4,1))/10)+MOD(2*VALUE(MID(UPPER(TRIM(D269)),4,1)),10))+(INT(2*VALUE(MID(UPPER(TRIM(D269)),6,1))/10)+MOD(2*VALUE(MID(UPPER(TRIM(D269)),6,1)),10))+(INT(2*VALUE(MID(UPPER(TRIM(D269)),8,1))/10)+MOD(2*VALUE(MID(UPPER(TRIM(D269)),8,1)),10)),10),10)+1,1)),"OK","REVISAR")),"REVISAR")))</f>
        <v/>
      </c>
      <c r="Q269">
        <f>IF(B269="","",IF(COUNTIFS($B$2:$B$501,B269,$D$2:$D$501,D269)&gt;1,"DUPLICADA",""))</f>
        <v/>
      </c>
      <c r="R269">
        <f>IF(A269="","",ROUNDUP(MONTH(A269)/3,0))</f>
        <v/>
      </c>
      <c r="S269" s="3" t="n"/>
    </row>
    <row r="270">
      <c r="A270" s="2" t="n"/>
      <c r="B270" s="3" t="n"/>
      <c r="C270" s="3" t="n"/>
      <c r="D270" s="3" t="n"/>
      <c r="E270" s="4" t="n"/>
      <c r="F270" s="4" t="n"/>
      <c r="G270" s="4" t="n"/>
      <c r="H270" s="4" t="n"/>
      <c r="I270" s="5">
        <f>IF(E270="","",ROUND(E270*0.21,2))</f>
        <v/>
      </c>
      <c r="J270" s="5">
        <f>IF(F270="","",ROUND(F270*0.1,2))</f>
        <v/>
      </c>
      <c r="K270" s="5">
        <f>IF(G270="","",ROUND(G270*0.04,2))</f>
        <v/>
      </c>
      <c r="L270" s="4" t="n"/>
      <c r="M270" s="4" t="n"/>
      <c r="N270" s="5">
        <f>IF(A270="","",SUM(E270:K270)-N(L270))</f>
        <v/>
      </c>
      <c r="O270">
        <f>IF(OR(A270="",M270=""),"",IF(ABS(M270-N270)&lt;=0.02,"OK","REVISAR"))</f>
        <v/>
      </c>
      <c r="P270">
        <f>IF(D270="","",IF(LEN(TRIM(D270))&lt;&gt;9,"REVISAR",IFERROR(IF(OR(ISNUMBER(VALUE(LEFT(UPPER(TRIM(D270)),1))),LEFT(UPPER(TRIM(D270)),1)="X",LEFT(UPPER(TRIM(D270)),1)="Y",LEFT(UPPER(TRIM(D270)),1)="Z"),IF(MID("TRWAGMYFPDXBNJZSQVHLCKE",MOD(VALUE(SUBSTITUTE(SUBSTITUTE(SUBSTITUTE(LEFT(UPPER(TRIM(D270)),8),"X","0"),"Y","1"),"Z","2")),23)+1,1)=RIGHT(UPPER(TRIM(D270)),1),"OK","REVISAR"),IF(OR(RIGHT(UPPER(TRIM(D270)),1)=TEXT(MOD(10-MOD((VALUE(MID(UPPER(TRIM(D270)),3,1))+VALUE(MID(UPPER(TRIM(D270)),5,1))+VALUE(MID(UPPER(TRIM(D270)),7,1)))+(INT(2*VALUE(MID(UPPER(TRIM(D270)),2,1))/10)+MOD(2*VALUE(MID(UPPER(TRIM(D270)),2,1)),10))+(INT(2*VALUE(MID(UPPER(TRIM(D270)),4,1))/10)+MOD(2*VALUE(MID(UPPER(TRIM(D270)),4,1)),10))+(INT(2*VALUE(MID(UPPER(TRIM(D270)),6,1))/10)+MOD(2*VALUE(MID(UPPER(TRIM(D270)),6,1)),10))+(INT(2*VALUE(MID(UPPER(TRIM(D270)),8,1))/10)+MOD(2*VALUE(MID(UPPER(TRIM(D270)),8,1)),10)),10),10),"0"),RIGHT(UPPER(TRIM(D270)),1)=MID("JABCDEFGHI",MOD(10-MOD((VALUE(MID(UPPER(TRIM(D270)),3,1))+VALUE(MID(UPPER(TRIM(D270)),5,1))+VALUE(MID(UPPER(TRIM(D270)),7,1)))+(INT(2*VALUE(MID(UPPER(TRIM(D270)),2,1))/10)+MOD(2*VALUE(MID(UPPER(TRIM(D270)),2,1)),10))+(INT(2*VALUE(MID(UPPER(TRIM(D270)),4,1))/10)+MOD(2*VALUE(MID(UPPER(TRIM(D270)),4,1)),10))+(INT(2*VALUE(MID(UPPER(TRIM(D270)),6,1))/10)+MOD(2*VALUE(MID(UPPER(TRIM(D270)),6,1)),10))+(INT(2*VALUE(MID(UPPER(TRIM(D270)),8,1))/10)+MOD(2*VALUE(MID(UPPER(TRIM(D270)),8,1)),10)),10),10)+1,1)),"OK","REVISAR")),"REVISAR")))</f>
        <v/>
      </c>
      <c r="Q270">
        <f>IF(B270="","",IF(COUNTIFS($B$2:$B$501,B270,$D$2:$D$501,D270)&gt;1,"DUPLICADA",""))</f>
        <v/>
      </c>
      <c r="R270">
        <f>IF(A270="","",ROUNDUP(MONTH(A270)/3,0))</f>
        <v/>
      </c>
      <c r="S270" s="3" t="n"/>
    </row>
    <row r="271">
      <c r="A271" s="2" t="n"/>
      <c r="B271" s="3" t="n"/>
      <c r="C271" s="3" t="n"/>
      <c r="D271" s="3" t="n"/>
      <c r="E271" s="4" t="n"/>
      <c r="F271" s="4" t="n"/>
      <c r="G271" s="4" t="n"/>
      <c r="H271" s="4" t="n"/>
      <c r="I271" s="5">
        <f>IF(E271="","",ROUND(E271*0.21,2))</f>
        <v/>
      </c>
      <c r="J271" s="5">
        <f>IF(F271="","",ROUND(F271*0.1,2))</f>
        <v/>
      </c>
      <c r="K271" s="5">
        <f>IF(G271="","",ROUND(G271*0.04,2))</f>
        <v/>
      </c>
      <c r="L271" s="4" t="n"/>
      <c r="M271" s="4" t="n"/>
      <c r="N271" s="5">
        <f>IF(A271="","",SUM(E271:K271)-N(L271))</f>
        <v/>
      </c>
      <c r="O271">
        <f>IF(OR(A271="",M271=""),"",IF(ABS(M271-N271)&lt;=0.02,"OK","REVISAR"))</f>
        <v/>
      </c>
      <c r="P271">
        <f>IF(D271="","",IF(LEN(TRIM(D271))&lt;&gt;9,"REVISAR",IFERROR(IF(OR(ISNUMBER(VALUE(LEFT(UPPER(TRIM(D271)),1))),LEFT(UPPER(TRIM(D271)),1)="X",LEFT(UPPER(TRIM(D271)),1)="Y",LEFT(UPPER(TRIM(D271)),1)="Z"),IF(MID("TRWAGMYFPDXBNJZSQVHLCKE",MOD(VALUE(SUBSTITUTE(SUBSTITUTE(SUBSTITUTE(LEFT(UPPER(TRIM(D271)),8),"X","0"),"Y","1"),"Z","2")),23)+1,1)=RIGHT(UPPER(TRIM(D271)),1),"OK","REVISAR"),IF(OR(RIGHT(UPPER(TRIM(D271)),1)=TEXT(MOD(10-MOD((VALUE(MID(UPPER(TRIM(D271)),3,1))+VALUE(MID(UPPER(TRIM(D271)),5,1))+VALUE(MID(UPPER(TRIM(D271)),7,1)))+(INT(2*VALUE(MID(UPPER(TRIM(D271)),2,1))/10)+MOD(2*VALUE(MID(UPPER(TRIM(D271)),2,1)),10))+(INT(2*VALUE(MID(UPPER(TRIM(D271)),4,1))/10)+MOD(2*VALUE(MID(UPPER(TRIM(D271)),4,1)),10))+(INT(2*VALUE(MID(UPPER(TRIM(D271)),6,1))/10)+MOD(2*VALUE(MID(UPPER(TRIM(D271)),6,1)),10))+(INT(2*VALUE(MID(UPPER(TRIM(D271)),8,1))/10)+MOD(2*VALUE(MID(UPPER(TRIM(D271)),8,1)),10)),10),10),"0"),RIGHT(UPPER(TRIM(D271)),1)=MID("JABCDEFGHI",MOD(10-MOD((VALUE(MID(UPPER(TRIM(D271)),3,1))+VALUE(MID(UPPER(TRIM(D271)),5,1))+VALUE(MID(UPPER(TRIM(D271)),7,1)))+(INT(2*VALUE(MID(UPPER(TRIM(D271)),2,1))/10)+MOD(2*VALUE(MID(UPPER(TRIM(D271)),2,1)),10))+(INT(2*VALUE(MID(UPPER(TRIM(D271)),4,1))/10)+MOD(2*VALUE(MID(UPPER(TRIM(D271)),4,1)),10))+(INT(2*VALUE(MID(UPPER(TRIM(D271)),6,1))/10)+MOD(2*VALUE(MID(UPPER(TRIM(D271)),6,1)),10))+(INT(2*VALUE(MID(UPPER(TRIM(D271)),8,1))/10)+MOD(2*VALUE(MID(UPPER(TRIM(D271)),8,1)),10)),10),10)+1,1)),"OK","REVISAR")),"REVISAR")))</f>
        <v/>
      </c>
      <c r="Q271">
        <f>IF(B271="","",IF(COUNTIFS($B$2:$B$501,B271,$D$2:$D$501,D271)&gt;1,"DUPLICADA",""))</f>
        <v/>
      </c>
      <c r="R271">
        <f>IF(A271="","",ROUNDUP(MONTH(A271)/3,0))</f>
        <v/>
      </c>
      <c r="S271" s="3" t="n"/>
    </row>
    <row r="272">
      <c r="A272" s="2" t="n"/>
      <c r="B272" s="3" t="n"/>
      <c r="C272" s="3" t="n"/>
      <c r="D272" s="3" t="n"/>
      <c r="E272" s="4" t="n"/>
      <c r="F272" s="4" t="n"/>
      <c r="G272" s="4" t="n"/>
      <c r="H272" s="4" t="n"/>
      <c r="I272" s="5">
        <f>IF(E272="","",ROUND(E272*0.21,2))</f>
        <v/>
      </c>
      <c r="J272" s="5">
        <f>IF(F272="","",ROUND(F272*0.1,2))</f>
        <v/>
      </c>
      <c r="K272" s="5">
        <f>IF(G272="","",ROUND(G272*0.04,2))</f>
        <v/>
      </c>
      <c r="L272" s="4" t="n"/>
      <c r="M272" s="4" t="n"/>
      <c r="N272" s="5">
        <f>IF(A272="","",SUM(E272:K272)-N(L272))</f>
        <v/>
      </c>
      <c r="O272">
        <f>IF(OR(A272="",M272=""),"",IF(ABS(M272-N272)&lt;=0.02,"OK","REVISAR"))</f>
        <v/>
      </c>
      <c r="P272">
        <f>IF(D272="","",IF(LEN(TRIM(D272))&lt;&gt;9,"REVISAR",IFERROR(IF(OR(ISNUMBER(VALUE(LEFT(UPPER(TRIM(D272)),1))),LEFT(UPPER(TRIM(D272)),1)="X",LEFT(UPPER(TRIM(D272)),1)="Y",LEFT(UPPER(TRIM(D272)),1)="Z"),IF(MID("TRWAGMYFPDXBNJZSQVHLCKE",MOD(VALUE(SUBSTITUTE(SUBSTITUTE(SUBSTITUTE(LEFT(UPPER(TRIM(D272)),8),"X","0"),"Y","1"),"Z","2")),23)+1,1)=RIGHT(UPPER(TRIM(D272)),1),"OK","REVISAR"),IF(OR(RIGHT(UPPER(TRIM(D272)),1)=TEXT(MOD(10-MOD((VALUE(MID(UPPER(TRIM(D272)),3,1))+VALUE(MID(UPPER(TRIM(D272)),5,1))+VALUE(MID(UPPER(TRIM(D272)),7,1)))+(INT(2*VALUE(MID(UPPER(TRIM(D272)),2,1))/10)+MOD(2*VALUE(MID(UPPER(TRIM(D272)),2,1)),10))+(INT(2*VALUE(MID(UPPER(TRIM(D272)),4,1))/10)+MOD(2*VALUE(MID(UPPER(TRIM(D272)),4,1)),10))+(INT(2*VALUE(MID(UPPER(TRIM(D272)),6,1))/10)+MOD(2*VALUE(MID(UPPER(TRIM(D272)),6,1)),10))+(INT(2*VALUE(MID(UPPER(TRIM(D272)),8,1))/10)+MOD(2*VALUE(MID(UPPER(TRIM(D272)),8,1)),10)),10),10),"0"),RIGHT(UPPER(TRIM(D272)),1)=MID("JABCDEFGHI",MOD(10-MOD((VALUE(MID(UPPER(TRIM(D272)),3,1))+VALUE(MID(UPPER(TRIM(D272)),5,1))+VALUE(MID(UPPER(TRIM(D272)),7,1)))+(INT(2*VALUE(MID(UPPER(TRIM(D272)),2,1))/10)+MOD(2*VALUE(MID(UPPER(TRIM(D272)),2,1)),10))+(INT(2*VALUE(MID(UPPER(TRIM(D272)),4,1))/10)+MOD(2*VALUE(MID(UPPER(TRIM(D272)),4,1)),10))+(INT(2*VALUE(MID(UPPER(TRIM(D272)),6,1))/10)+MOD(2*VALUE(MID(UPPER(TRIM(D272)),6,1)),10))+(INT(2*VALUE(MID(UPPER(TRIM(D272)),8,1))/10)+MOD(2*VALUE(MID(UPPER(TRIM(D272)),8,1)),10)),10),10)+1,1)),"OK","REVISAR")),"REVISAR")))</f>
        <v/>
      </c>
      <c r="Q272">
        <f>IF(B272="","",IF(COUNTIFS($B$2:$B$501,B272,$D$2:$D$501,D272)&gt;1,"DUPLICADA",""))</f>
        <v/>
      </c>
      <c r="R272">
        <f>IF(A272="","",ROUNDUP(MONTH(A272)/3,0))</f>
        <v/>
      </c>
      <c r="S272" s="3" t="n"/>
    </row>
    <row r="273">
      <c r="A273" s="2" t="n"/>
      <c r="B273" s="3" t="n"/>
      <c r="C273" s="3" t="n"/>
      <c r="D273" s="3" t="n"/>
      <c r="E273" s="4" t="n"/>
      <c r="F273" s="4" t="n"/>
      <c r="G273" s="4" t="n"/>
      <c r="H273" s="4" t="n"/>
      <c r="I273" s="5">
        <f>IF(E273="","",ROUND(E273*0.21,2))</f>
        <v/>
      </c>
      <c r="J273" s="5">
        <f>IF(F273="","",ROUND(F273*0.1,2))</f>
        <v/>
      </c>
      <c r="K273" s="5">
        <f>IF(G273="","",ROUND(G273*0.04,2))</f>
        <v/>
      </c>
      <c r="L273" s="4" t="n"/>
      <c r="M273" s="4" t="n"/>
      <c r="N273" s="5">
        <f>IF(A273="","",SUM(E273:K273)-N(L273))</f>
        <v/>
      </c>
      <c r="O273">
        <f>IF(OR(A273="",M273=""),"",IF(ABS(M273-N273)&lt;=0.02,"OK","REVISAR"))</f>
        <v/>
      </c>
      <c r="P273">
        <f>IF(D273="","",IF(LEN(TRIM(D273))&lt;&gt;9,"REVISAR",IFERROR(IF(OR(ISNUMBER(VALUE(LEFT(UPPER(TRIM(D273)),1))),LEFT(UPPER(TRIM(D273)),1)="X",LEFT(UPPER(TRIM(D273)),1)="Y",LEFT(UPPER(TRIM(D273)),1)="Z"),IF(MID("TRWAGMYFPDXBNJZSQVHLCKE",MOD(VALUE(SUBSTITUTE(SUBSTITUTE(SUBSTITUTE(LEFT(UPPER(TRIM(D273)),8),"X","0"),"Y","1"),"Z","2")),23)+1,1)=RIGHT(UPPER(TRIM(D273)),1),"OK","REVISAR"),IF(OR(RIGHT(UPPER(TRIM(D273)),1)=TEXT(MOD(10-MOD((VALUE(MID(UPPER(TRIM(D273)),3,1))+VALUE(MID(UPPER(TRIM(D273)),5,1))+VALUE(MID(UPPER(TRIM(D273)),7,1)))+(INT(2*VALUE(MID(UPPER(TRIM(D273)),2,1))/10)+MOD(2*VALUE(MID(UPPER(TRIM(D273)),2,1)),10))+(INT(2*VALUE(MID(UPPER(TRIM(D273)),4,1))/10)+MOD(2*VALUE(MID(UPPER(TRIM(D273)),4,1)),10))+(INT(2*VALUE(MID(UPPER(TRIM(D273)),6,1))/10)+MOD(2*VALUE(MID(UPPER(TRIM(D273)),6,1)),10))+(INT(2*VALUE(MID(UPPER(TRIM(D273)),8,1))/10)+MOD(2*VALUE(MID(UPPER(TRIM(D273)),8,1)),10)),10),10),"0"),RIGHT(UPPER(TRIM(D273)),1)=MID("JABCDEFGHI",MOD(10-MOD((VALUE(MID(UPPER(TRIM(D273)),3,1))+VALUE(MID(UPPER(TRIM(D273)),5,1))+VALUE(MID(UPPER(TRIM(D273)),7,1)))+(INT(2*VALUE(MID(UPPER(TRIM(D273)),2,1))/10)+MOD(2*VALUE(MID(UPPER(TRIM(D273)),2,1)),10))+(INT(2*VALUE(MID(UPPER(TRIM(D273)),4,1))/10)+MOD(2*VALUE(MID(UPPER(TRIM(D273)),4,1)),10))+(INT(2*VALUE(MID(UPPER(TRIM(D273)),6,1))/10)+MOD(2*VALUE(MID(UPPER(TRIM(D273)),6,1)),10))+(INT(2*VALUE(MID(UPPER(TRIM(D273)),8,1))/10)+MOD(2*VALUE(MID(UPPER(TRIM(D273)),8,1)),10)),10),10)+1,1)),"OK","REVISAR")),"REVISAR")))</f>
        <v/>
      </c>
      <c r="Q273">
        <f>IF(B273="","",IF(COUNTIFS($B$2:$B$501,B273,$D$2:$D$501,D273)&gt;1,"DUPLICADA",""))</f>
        <v/>
      </c>
      <c r="R273">
        <f>IF(A273="","",ROUNDUP(MONTH(A273)/3,0))</f>
        <v/>
      </c>
      <c r="S273" s="3" t="n"/>
    </row>
    <row r="274">
      <c r="A274" s="2" t="n"/>
      <c r="B274" s="3" t="n"/>
      <c r="C274" s="3" t="n"/>
      <c r="D274" s="3" t="n"/>
      <c r="E274" s="4" t="n"/>
      <c r="F274" s="4" t="n"/>
      <c r="G274" s="4" t="n"/>
      <c r="H274" s="4" t="n"/>
      <c r="I274" s="5">
        <f>IF(E274="","",ROUND(E274*0.21,2))</f>
        <v/>
      </c>
      <c r="J274" s="5">
        <f>IF(F274="","",ROUND(F274*0.1,2))</f>
        <v/>
      </c>
      <c r="K274" s="5">
        <f>IF(G274="","",ROUND(G274*0.04,2))</f>
        <v/>
      </c>
      <c r="L274" s="4" t="n"/>
      <c r="M274" s="4" t="n"/>
      <c r="N274" s="5">
        <f>IF(A274="","",SUM(E274:K274)-N(L274))</f>
        <v/>
      </c>
      <c r="O274">
        <f>IF(OR(A274="",M274=""),"",IF(ABS(M274-N274)&lt;=0.02,"OK","REVISAR"))</f>
        <v/>
      </c>
      <c r="P274">
        <f>IF(D274="","",IF(LEN(TRIM(D274))&lt;&gt;9,"REVISAR",IFERROR(IF(OR(ISNUMBER(VALUE(LEFT(UPPER(TRIM(D274)),1))),LEFT(UPPER(TRIM(D274)),1)="X",LEFT(UPPER(TRIM(D274)),1)="Y",LEFT(UPPER(TRIM(D274)),1)="Z"),IF(MID("TRWAGMYFPDXBNJZSQVHLCKE",MOD(VALUE(SUBSTITUTE(SUBSTITUTE(SUBSTITUTE(LEFT(UPPER(TRIM(D274)),8),"X","0"),"Y","1"),"Z","2")),23)+1,1)=RIGHT(UPPER(TRIM(D274)),1),"OK","REVISAR"),IF(OR(RIGHT(UPPER(TRIM(D274)),1)=TEXT(MOD(10-MOD((VALUE(MID(UPPER(TRIM(D274)),3,1))+VALUE(MID(UPPER(TRIM(D274)),5,1))+VALUE(MID(UPPER(TRIM(D274)),7,1)))+(INT(2*VALUE(MID(UPPER(TRIM(D274)),2,1))/10)+MOD(2*VALUE(MID(UPPER(TRIM(D274)),2,1)),10))+(INT(2*VALUE(MID(UPPER(TRIM(D274)),4,1))/10)+MOD(2*VALUE(MID(UPPER(TRIM(D274)),4,1)),10))+(INT(2*VALUE(MID(UPPER(TRIM(D274)),6,1))/10)+MOD(2*VALUE(MID(UPPER(TRIM(D274)),6,1)),10))+(INT(2*VALUE(MID(UPPER(TRIM(D274)),8,1))/10)+MOD(2*VALUE(MID(UPPER(TRIM(D274)),8,1)),10)),10),10),"0"),RIGHT(UPPER(TRIM(D274)),1)=MID("JABCDEFGHI",MOD(10-MOD((VALUE(MID(UPPER(TRIM(D274)),3,1))+VALUE(MID(UPPER(TRIM(D274)),5,1))+VALUE(MID(UPPER(TRIM(D274)),7,1)))+(INT(2*VALUE(MID(UPPER(TRIM(D274)),2,1))/10)+MOD(2*VALUE(MID(UPPER(TRIM(D274)),2,1)),10))+(INT(2*VALUE(MID(UPPER(TRIM(D274)),4,1))/10)+MOD(2*VALUE(MID(UPPER(TRIM(D274)),4,1)),10))+(INT(2*VALUE(MID(UPPER(TRIM(D274)),6,1))/10)+MOD(2*VALUE(MID(UPPER(TRIM(D274)),6,1)),10))+(INT(2*VALUE(MID(UPPER(TRIM(D274)),8,1))/10)+MOD(2*VALUE(MID(UPPER(TRIM(D274)),8,1)),10)),10),10)+1,1)),"OK","REVISAR")),"REVISAR")))</f>
        <v/>
      </c>
      <c r="Q274">
        <f>IF(B274="","",IF(COUNTIFS($B$2:$B$501,B274,$D$2:$D$501,D274)&gt;1,"DUPLICADA",""))</f>
        <v/>
      </c>
      <c r="R274">
        <f>IF(A274="","",ROUNDUP(MONTH(A274)/3,0))</f>
        <v/>
      </c>
      <c r="S274" s="3" t="n"/>
    </row>
    <row r="275">
      <c r="A275" s="2" t="n"/>
      <c r="B275" s="3" t="n"/>
      <c r="C275" s="3" t="n"/>
      <c r="D275" s="3" t="n"/>
      <c r="E275" s="4" t="n"/>
      <c r="F275" s="4" t="n"/>
      <c r="G275" s="4" t="n"/>
      <c r="H275" s="4" t="n"/>
      <c r="I275" s="5">
        <f>IF(E275="","",ROUND(E275*0.21,2))</f>
        <v/>
      </c>
      <c r="J275" s="5">
        <f>IF(F275="","",ROUND(F275*0.1,2))</f>
        <v/>
      </c>
      <c r="K275" s="5">
        <f>IF(G275="","",ROUND(G275*0.04,2))</f>
        <v/>
      </c>
      <c r="L275" s="4" t="n"/>
      <c r="M275" s="4" t="n"/>
      <c r="N275" s="5">
        <f>IF(A275="","",SUM(E275:K275)-N(L275))</f>
        <v/>
      </c>
      <c r="O275">
        <f>IF(OR(A275="",M275=""),"",IF(ABS(M275-N275)&lt;=0.02,"OK","REVISAR"))</f>
        <v/>
      </c>
      <c r="P275">
        <f>IF(D275="","",IF(LEN(TRIM(D275))&lt;&gt;9,"REVISAR",IFERROR(IF(OR(ISNUMBER(VALUE(LEFT(UPPER(TRIM(D275)),1))),LEFT(UPPER(TRIM(D275)),1)="X",LEFT(UPPER(TRIM(D275)),1)="Y",LEFT(UPPER(TRIM(D275)),1)="Z"),IF(MID("TRWAGMYFPDXBNJZSQVHLCKE",MOD(VALUE(SUBSTITUTE(SUBSTITUTE(SUBSTITUTE(LEFT(UPPER(TRIM(D275)),8),"X","0"),"Y","1"),"Z","2")),23)+1,1)=RIGHT(UPPER(TRIM(D275)),1),"OK","REVISAR"),IF(OR(RIGHT(UPPER(TRIM(D275)),1)=TEXT(MOD(10-MOD((VALUE(MID(UPPER(TRIM(D275)),3,1))+VALUE(MID(UPPER(TRIM(D275)),5,1))+VALUE(MID(UPPER(TRIM(D275)),7,1)))+(INT(2*VALUE(MID(UPPER(TRIM(D275)),2,1))/10)+MOD(2*VALUE(MID(UPPER(TRIM(D275)),2,1)),10))+(INT(2*VALUE(MID(UPPER(TRIM(D275)),4,1))/10)+MOD(2*VALUE(MID(UPPER(TRIM(D275)),4,1)),10))+(INT(2*VALUE(MID(UPPER(TRIM(D275)),6,1))/10)+MOD(2*VALUE(MID(UPPER(TRIM(D275)),6,1)),10))+(INT(2*VALUE(MID(UPPER(TRIM(D275)),8,1))/10)+MOD(2*VALUE(MID(UPPER(TRIM(D275)),8,1)),10)),10),10),"0"),RIGHT(UPPER(TRIM(D275)),1)=MID("JABCDEFGHI",MOD(10-MOD((VALUE(MID(UPPER(TRIM(D275)),3,1))+VALUE(MID(UPPER(TRIM(D275)),5,1))+VALUE(MID(UPPER(TRIM(D275)),7,1)))+(INT(2*VALUE(MID(UPPER(TRIM(D275)),2,1))/10)+MOD(2*VALUE(MID(UPPER(TRIM(D275)),2,1)),10))+(INT(2*VALUE(MID(UPPER(TRIM(D275)),4,1))/10)+MOD(2*VALUE(MID(UPPER(TRIM(D275)),4,1)),10))+(INT(2*VALUE(MID(UPPER(TRIM(D275)),6,1))/10)+MOD(2*VALUE(MID(UPPER(TRIM(D275)),6,1)),10))+(INT(2*VALUE(MID(UPPER(TRIM(D275)),8,1))/10)+MOD(2*VALUE(MID(UPPER(TRIM(D275)),8,1)),10)),10),10)+1,1)),"OK","REVISAR")),"REVISAR")))</f>
        <v/>
      </c>
      <c r="Q275">
        <f>IF(B275="","",IF(COUNTIFS($B$2:$B$501,B275,$D$2:$D$501,D275)&gt;1,"DUPLICADA",""))</f>
        <v/>
      </c>
      <c r="R275">
        <f>IF(A275="","",ROUNDUP(MONTH(A275)/3,0))</f>
        <v/>
      </c>
      <c r="S275" s="3" t="n"/>
    </row>
    <row r="276">
      <c r="A276" s="2" t="n"/>
      <c r="B276" s="3" t="n"/>
      <c r="C276" s="3" t="n"/>
      <c r="D276" s="3" t="n"/>
      <c r="E276" s="4" t="n"/>
      <c r="F276" s="4" t="n"/>
      <c r="G276" s="4" t="n"/>
      <c r="H276" s="4" t="n"/>
      <c r="I276" s="5">
        <f>IF(E276="","",ROUND(E276*0.21,2))</f>
        <v/>
      </c>
      <c r="J276" s="5">
        <f>IF(F276="","",ROUND(F276*0.1,2))</f>
        <v/>
      </c>
      <c r="K276" s="5">
        <f>IF(G276="","",ROUND(G276*0.04,2))</f>
        <v/>
      </c>
      <c r="L276" s="4" t="n"/>
      <c r="M276" s="4" t="n"/>
      <c r="N276" s="5">
        <f>IF(A276="","",SUM(E276:K276)-N(L276))</f>
        <v/>
      </c>
      <c r="O276">
        <f>IF(OR(A276="",M276=""),"",IF(ABS(M276-N276)&lt;=0.02,"OK","REVISAR"))</f>
        <v/>
      </c>
      <c r="P276">
        <f>IF(D276="","",IF(LEN(TRIM(D276))&lt;&gt;9,"REVISAR",IFERROR(IF(OR(ISNUMBER(VALUE(LEFT(UPPER(TRIM(D276)),1))),LEFT(UPPER(TRIM(D276)),1)="X",LEFT(UPPER(TRIM(D276)),1)="Y",LEFT(UPPER(TRIM(D276)),1)="Z"),IF(MID("TRWAGMYFPDXBNJZSQVHLCKE",MOD(VALUE(SUBSTITUTE(SUBSTITUTE(SUBSTITUTE(LEFT(UPPER(TRIM(D276)),8),"X","0"),"Y","1"),"Z","2")),23)+1,1)=RIGHT(UPPER(TRIM(D276)),1),"OK","REVISAR"),IF(OR(RIGHT(UPPER(TRIM(D276)),1)=TEXT(MOD(10-MOD((VALUE(MID(UPPER(TRIM(D276)),3,1))+VALUE(MID(UPPER(TRIM(D276)),5,1))+VALUE(MID(UPPER(TRIM(D276)),7,1)))+(INT(2*VALUE(MID(UPPER(TRIM(D276)),2,1))/10)+MOD(2*VALUE(MID(UPPER(TRIM(D276)),2,1)),10))+(INT(2*VALUE(MID(UPPER(TRIM(D276)),4,1))/10)+MOD(2*VALUE(MID(UPPER(TRIM(D276)),4,1)),10))+(INT(2*VALUE(MID(UPPER(TRIM(D276)),6,1))/10)+MOD(2*VALUE(MID(UPPER(TRIM(D276)),6,1)),10))+(INT(2*VALUE(MID(UPPER(TRIM(D276)),8,1))/10)+MOD(2*VALUE(MID(UPPER(TRIM(D276)),8,1)),10)),10),10),"0"),RIGHT(UPPER(TRIM(D276)),1)=MID("JABCDEFGHI",MOD(10-MOD((VALUE(MID(UPPER(TRIM(D276)),3,1))+VALUE(MID(UPPER(TRIM(D276)),5,1))+VALUE(MID(UPPER(TRIM(D276)),7,1)))+(INT(2*VALUE(MID(UPPER(TRIM(D276)),2,1))/10)+MOD(2*VALUE(MID(UPPER(TRIM(D276)),2,1)),10))+(INT(2*VALUE(MID(UPPER(TRIM(D276)),4,1))/10)+MOD(2*VALUE(MID(UPPER(TRIM(D276)),4,1)),10))+(INT(2*VALUE(MID(UPPER(TRIM(D276)),6,1))/10)+MOD(2*VALUE(MID(UPPER(TRIM(D276)),6,1)),10))+(INT(2*VALUE(MID(UPPER(TRIM(D276)),8,1))/10)+MOD(2*VALUE(MID(UPPER(TRIM(D276)),8,1)),10)),10),10)+1,1)),"OK","REVISAR")),"REVISAR")))</f>
        <v/>
      </c>
      <c r="Q276">
        <f>IF(B276="","",IF(COUNTIFS($B$2:$B$501,B276,$D$2:$D$501,D276)&gt;1,"DUPLICADA",""))</f>
        <v/>
      </c>
      <c r="R276">
        <f>IF(A276="","",ROUNDUP(MONTH(A276)/3,0))</f>
        <v/>
      </c>
      <c r="S276" s="3" t="n"/>
    </row>
    <row r="277">
      <c r="A277" s="2" t="n"/>
      <c r="B277" s="3" t="n"/>
      <c r="C277" s="3" t="n"/>
      <c r="D277" s="3" t="n"/>
      <c r="E277" s="4" t="n"/>
      <c r="F277" s="4" t="n"/>
      <c r="G277" s="4" t="n"/>
      <c r="H277" s="4" t="n"/>
      <c r="I277" s="5">
        <f>IF(E277="","",ROUND(E277*0.21,2))</f>
        <v/>
      </c>
      <c r="J277" s="5">
        <f>IF(F277="","",ROUND(F277*0.1,2))</f>
        <v/>
      </c>
      <c r="K277" s="5">
        <f>IF(G277="","",ROUND(G277*0.04,2))</f>
        <v/>
      </c>
      <c r="L277" s="4" t="n"/>
      <c r="M277" s="4" t="n"/>
      <c r="N277" s="5">
        <f>IF(A277="","",SUM(E277:K277)-N(L277))</f>
        <v/>
      </c>
      <c r="O277">
        <f>IF(OR(A277="",M277=""),"",IF(ABS(M277-N277)&lt;=0.02,"OK","REVISAR"))</f>
        <v/>
      </c>
      <c r="P277">
        <f>IF(D277="","",IF(LEN(TRIM(D277))&lt;&gt;9,"REVISAR",IFERROR(IF(OR(ISNUMBER(VALUE(LEFT(UPPER(TRIM(D277)),1))),LEFT(UPPER(TRIM(D277)),1)="X",LEFT(UPPER(TRIM(D277)),1)="Y",LEFT(UPPER(TRIM(D277)),1)="Z"),IF(MID("TRWAGMYFPDXBNJZSQVHLCKE",MOD(VALUE(SUBSTITUTE(SUBSTITUTE(SUBSTITUTE(LEFT(UPPER(TRIM(D277)),8),"X","0"),"Y","1"),"Z","2")),23)+1,1)=RIGHT(UPPER(TRIM(D277)),1),"OK","REVISAR"),IF(OR(RIGHT(UPPER(TRIM(D277)),1)=TEXT(MOD(10-MOD((VALUE(MID(UPPER(TRIM(D277)),3,1))+VALUE(MID(UPPER(TRIM(D277)),5,1))+VALUE(MID(UPPER(TRIM(D277)),7,1)))+(INT(2*VALUE(MID(UPPER(TRIM(D277)),2,1))/10)+MOD(2*VALUE(MID(UPPER(TRIM(D277)),2,1)),10))+(INT(2*VALUE(MID(UPPER(TRIM(D277)),4,1))/10)+MOD(2*VALUE(MID(UPPER(TRIM(D277)),4,1)),10))+(INT(2*VALUE(MID(UPPER(TRIM(D277)),6,1))/10)+MOD(2*VALUE(MID(UPPER(TRIM(D277)),6,1)),10))+(INT(2*VALUE(MID(UPPER(TRIM(D277)),8,1))/10)+MOD(2*VALUE(MID(UPPER(TRIM(D277)),8,1)),10)),10),10),"0"),RIGHT(UPPER(TRIM(D277)),1)=MID("JABCDEFGHI",MOD(10-MOD((VALUE(MID(UPPER(TRIM(D277)),3,1))+VALUE(MID(UPPER(TRIM(D277)),5,1))+VALUE(MID(UPPER(TRIM(D277)),7,1)))+(INT(2*VALUE(MID(UPPER(TRIM(D277)),2,1))/10)+MOD(2*VALUE(MID(UPPER(TRIM(D277)),2,1)),10))+(INT(2*VALUE(MID(UPPER(TRIM(D277)),4,1))/10)+MOD(2*VALUE(MID(UPPER(TRIM(D277)),4,1)),10))+(INT(2*VALUE(MID(UPPER(TRIM(D277)),6,1))/10)+MOD(2*VALUE(MID(UPPER(TRIM(D277)),6,1)),10))+(INT(2*VALUE(MID(UPPER(TRIM(D277)),8,1))/10)+MOD(2*VALUE(MID(UPPER(TRIM(D277)),8,1)),10)),10),10)+1,1)),"OK","REVISAR")),"REVISAR")))</f>
        <v/>
      </c>
      <c r="Q277">
        <f>IF(B277="","",IF(COUNTIFS($B$2:$B$501,B277,$D$2:$D$501,D277)&gt;1,"DUPLICADA",""))</f>
        <v/>
      </c>
      <c r="R277">
        <f>IF(A277="","",ROUNDUP(MONTH(A277)/3,0))</f>
        <v/>
      </c>
      <c r="S277" s="3" t="n"/>
    </row>
    <row r="278">
      <c r="A278" s="2" t="n"/>
      <c r="B278" s="3" t="n"/>
      <c r="C278" s="3" t="n"/>
      <c r="D278" s="3" t="n"/>
      <c r="E278" s="4" t="n"/>
      <c r="F278" s="4" t="n"/>
      <c r="G278" s="4" t="n"/>
      <c r="H278" s="4" t="n"/>
      <c r="I278" s="5">
        <f>IF(E278="","",ROUND(E278*0.21,2))</f>
        <v/>
      </c>
      <c r="J278" s="5">
        <f>IF(F278="","",ROUND(F278*0.1,2))</f>
        <v/>
      </c>
      <c r="K278" s="5">
        <f>IF(G278="","",ROUND(G278*0.04,2))</f>
        <v/>
      </c>
      <c r="L278" s="4" t="n"/>
      <c r="M278" s="4" t="n"/>
      <c r="N278" s="5">
        <f>IF(A278="","",SUM(E278:K278)-N(L278))</f>
        <v/>
      </c>
      <c r="O278">
        <f>IF(OR(A278="",M278=""),"",IF(ABS(M278-N278)&lt;=0.02,"OK","REVISAR"))</f>
        <v/>
      </c>
      <c r="P278">
        <f>IF(D278="","",IF(LEN(TRIM(D278))&lt;&gt;9,"REVISAR",IFERROR(IF(OR(ISNUMBER(VALUE(LEFT(UPPER(TRIM(D278)),1))),LEFT(UPPER(TRIM(D278)),1)="X",LEFT(UPPER(TRIM(D278)),1)="Y",LEFT(UPPER(TRIM(D278)),1)="Z"),IF(MID("TRWAGMYFPDXBNJZSQVHLCKE",MOD(VALUE(SUBSTITUTE(SUBSTITUTE(SUBSTITUTE(LEFT(UPPER(TRIM(D278)),8),"X","0"),"Y","1"),"Z","2")),23)+1,1)=RIGHT(UPPER(TRIM(D278)),1),"OK","REVISAR"),IF(OR(RIGHT(UPPER(TRIM(D278)),1)=TEXT(MOD(10-MOD((VALUE(MID(UPPER(TRIM(D278)),3,1))+VALUE(MID(UPPER(TRIM(D278)),5,1))+VALUE(MID(UPPER(TRIM(D278)),7,1)))+(INT(2*VALUE(MID(UPPER(TRIM(D278)),2,1))/10)+MOD(2*VALUE(MID(UPPER(TRIM(D278)),2,1)),10))+(INT(2*VALUE(MID(UPPER(TRIM(D278)),4,1))/10)+MOD(2*VALUE(MID(UPPER(TRIM(D278)),4,1)),10))+(INT(2*VALUE(MID(UPPER(TRIM(D278)),6,1))/10)+MOD(2*VALUE(MID(UPPER(TRIM(D278)),6,1)),10))+(INT(2*VALUE(MID(UPPER(TRIM(D278)),8,1))/10)+MOD(2*VALUE(MID(UPPER(TRIM(D278)),8,1)),10)),10),10),"0"),RIGHT(UPPER(TRIM(D278)),1)=MID("JABCDEFGHI",MOD(10-MOD((VALUE(MID(UPPER(TRIM(D278)),3,1))+VALUE(MID(UPPER(TRIM(D278)),5,1))+VALUE(MID(UPPER(TRIM(D278)),7,1)))+(INT(2*VALUE(MID(UPPER(TRIM(D278)),2,1))/10)+MOD(2*VALUE(MID(UPPER(TRIM(D278)),2,1)),10))+(INT(2*VALUE(MID(UPPER(TRIM(D278)),4,1))/10)+MOD(2*VALUE(MID(UPPER(TRIM(D278)),4,1)),10))+(INT(2*VALUE(MID(UPPER(TRIM(D278)),6,1))/10)+MOD(2*VALUE(MID(UPPER(TRIM(D278)),6,1)),10))+(INT(2*VALUE(MID(UPPER(TRIM(D278)),8,1))/10)+MOD(2*VALUE(MID(UPPER(TRIM(D278)),8,1)),10)),10),10)+1,1)),"OK","REVISAR")),"REVISAR")))</f>
        <v/>
      </c>
      <c r="Q278">
        <f>IF(B278="","",IF(COUNTIFS($B$2:$B$501,B278,$D$2:$D$501,D278)&gt;1,"DUPLICADA",""))</f>
        <v/>
      </c>
      <c r="R278">
        <f>IF(A278="","",ROUNDUP(MONTH(A278)/3,0))</f>
        <v/>
      </c>
      <c r="S278" s="3" t="n"/>
    </row>
    <row r="279">
      <c r="A279" s="2" t="n"/>
      <c r="B279" s="3" t="n"/>
      <c r="C279" s="3" t="n"/>
      <c r="D279" s="3" t="n"/>
      <c r="E279" s="4" t="n"/>
      <c r="F279" s="4" t="n"/>
      <c r="G279" s="4" t="n"/>
      <c r="H279" s="4" t="n"/>
      <c r="I279" s="5">
        <f>IF(E279="","",ROUND(E279*0.21,2))</f>
        <v/>
      </c>
      <c r="J279" s="5">
        <f>IF(F279="","",ROUND(F279*0.1,2))</f>
        <v/>
      </c>
      <c r="K279" s="5">
        <f>IF(G279="","",ROUND(G279*0.04,2))</f>
        <v/>
      </c>
      <c r="L279" s="4" t="n"/>
      <c r="M279" s="4" t="n"/>
      <c r="N279" s="5">
        <f>IF(A279="","",SUM(E279:K279)-N(L279))</f>
        <v/>
      </c>
      <c r="O279">
        <f>IF(OR(A279="",M279=""),"",IF(ABS(M279-N279)&lt;=0.02,"OK","REVISAR"))</f>
        <v/>
      </c>
      <c r="P279">
        <f>IF(D279="","",IF(LEN(TRIM(D279))&lt;&gt;9,"REVISAR",IFERROR(IF(OR(ISNUMBER(VALUE(LEFT(UPPER(TRIM(D279)),1))),LEFT(UPPER(TRIM(D279)),1)="X",LEFT(UPPER(TRIM(D279)),1)="Y",LEFT(UPPER(TRIM(D279)),1)="Z"),IF(MID("TRWAGMYFPDXBNJZSQVHLCKE",MOD(VALUE(SUBSTITUTE(SUBSTITUTE(SUBSTITUTE(LEFT(UPPER(TRIM(D279)),8),"X","0"),"Y","1"),"Z","2")),23)+1,1)=RIGHT(UPPER(TRIM(D279)),1),"OK","REVISAR"),IF(OR(RIGHT(UPPER(TRIM(D279)),1)=TEXT(MOD(10-MOD((VALUE(MID(UPPER(TRIM(D279)),3,1))+VALUE(MID(UPPER(TRIM(D279)),5,1))+VALUE(MID(UPPER(TRIM(D279)),7,1)))+(INT(2*VALUE(MID(UPPER(TRIM(D279)),2,1))/10)+MOD(2*VALUE(MID(UPPER(TRIM(D279)),2,1)),10))+(INT(2*VALUE(MID(UPPER(TRIM(D279)),4,1))/10)+MOD(2*VALUE(MID(UPPER(TRIM(D279)),4,1)),10))+(INT(2*VALUE(MID(UPPER(TRIM(D279)),6,1))/10)+MOD(2*VALUE(MID(UPPER(TRIM(D279)),6,1)),10))+(INT(2*VALUE(MID(UPPER(TRIM(D279)),8,1))/10)+MOD(2*VALUE(MID(UPPER(TRIM(D279)),8,1)),10)),10),10),"0"),RIGHT(UPPER(TRIM(D279)),1)=MID("JABCDEFGHI",MOD(10-MOD((VALUE(MID(UPPER(TRIM(D279)),3,1))+VALUE(MID(UPPER(TRIM(D279)),5,1))+VALUE(MID(UPPER(TRIM(D279)),7,1)))+(INT(2*VALUE(MID(UPPER(TRIM(D279)),2,1))/10)+MOD(2*VALUE(MID(UPPER(TRIM(D279)),2,1)),10))+(INT(2*VALUE(MID(UPPER(TRIM(D279)),4,1))/10)+MOD(2*VALUE(MID(UPPER(TRIM(D279)),4,1)),10))+(INT(2*VALUE(MID(UPPER(TRIM(D279)),6,1))/10)+MOD(2*VALUE(MID(UPPER(TRIM(D279)),6,1)),10))+(INT(2*VALUE(MID(UPPER(TRIM(D279)),8,1))/10)+MOD(2*VALUE(MID(UPPER(TRIM(D279)),8,1)),10)),10),10)+1,1)),"OK","REVISAR")),"REVISAR")))</f>
        <v/>
      </c>
      <c r="Q279">
        <f>IF(B279="","",IF(COUNTIFS($B$2:$B$501,B279,$D$2:$D$501,D279)&gt;1,"DUPLICADA",""))</f>
        <v/>
      </c>
      <c r="R279">
        <f>IF(A279="","",ROUNDUP(MONTH(A279)/3,0))</f>
        <v/>
      </c>
      <c r="S279" s="3" t="n"/>
    </row>
    <row r="280">
      <c r="A280" s="2" t="n"/>
      <c r="B280" s="3" t="n"/>
      <c r="C280" s="3" t="n"/>
      <c r="D280" s="3" t="n"/>
      <c r="E280" s="4" t="n"/>
      <c r="F280" s="4" t="n"/>
      <c r="G280" s="4" t="n"/>
      <c r="H280" s="4" t="n"/>
      <c r="I280" s="5">
        <f>IF(E280="","",ROUND(E280*0.21,2))</f>
        <v/>
      </c>
      <c r="J280" s="5">
        <f>IF(F280="","",ROUND(F280*0.1,2))</f>
        <v/>
      </c>
      <c r="K280" s="5">
        <f>IF(G280="","",ROUND(G280*0.04,2))</f>
        <v/>
      </c>
      <c r="L280" s="4" t="n"/>
      <c r="M280" s="4" t="n"/>
      <c r="N280" s="5">
        <f>IF(A280="","",SUM(E280:K280)-N(L280))</f>
        <v/>
      </c>
      <c r="O280">
        <f>IF(OR(A280="",M280=""),"",IF(ABS(M280-N280)&lt;=0.02,"OK","REVISAR"))</f>
        <v/>
      </c>
      <c r="P280">
        <f>IF(D280="","",IF(LEN(TRIM(D280))&lt;&gt;9,"REVISAR",IFERROR(IF(OR(ISNUMBER(VALUE(LEFT(UPPER(TRIM(D280)),1))),LEFT(UPPER(TRIM(D280)),1)="X",LEFT(UPPER(TRIM(D280)),1)="Y",LEFT(UPPER(TRIM(D280)),1)="Z"),IF(MID("TRWAGMYFPDXBNJZSQVHLCKE",MOD(VALUE(SUBSTITUTE(SUBSTITUTE(SUBSTITUTE(LEFT(UPPER(TRIM(D280)),8),"X","0"),"Y","1"),"Z","2")),23)+1,1)=RIGHT(UPPER(TRIM(D280)),1),"OK","REVISAR"),IF(OR(RIGHT(UPPER(TRIM(D280)),1)=TEXT(MOD(10-MOD((VALUE(MID(UPPER(TRIM(D280)),3,1))+VALUE(MID(UPPER(TRIM(D280)),5,1))+VALUE(MID(UPPER(TRIM(D280)),7,1)))+(INT(2*VALUE(MID(UPPER(TRIM(D280)),2,1))/10)+MOD(2*VALUE(MID(UPPER(TRIM(D280)),2,1)),10))+(INT(2*VALUE(MID(UPPER(TRIM(D280)),4,1))/10)+MOD(2*VALUE(MID(UPPER(TRIM(D280)),4,1)),10))+(INT(2*VALUE(MID(UPPER(TRIM(D280)),6,1))/10)+MOD(2*VALUE(MID(UPPER(TRIM(D280)),6,1)),10))+(INT(2*VALUE(MID(UPPER(TRIM(D280)),8,1))/10)+MOD(2*VALUE(MID(UPPER(TRIM(D280)),8,1)),10)),10),10),"0"),RIGHT(UPPER(TRIM(D280)),1)=MID("JABCDEFGHI",MOD(10-MOD((VALUE(MID(UPPER(TRIM(D280)),3,1))+VALUE(MID(UPPER(TRIM(D280)),5,1))+VALUE(MID(UPPER(TRIM(D280)),7,1)))+(INT(2*VALUE(MID(UPPER(TRIM(D280)),2,1))/10)+MOD(2*VALUE(MID(UPPER(TRIM(D280)),2,1)),10))+(INT(2*VALUE(MID(UPPER(TRIM(D280)),4,1))/10)+MOD(2*VALUE(MID(UPPER(TRIM(D280)),4,1)),10))+(INT(2*VALUE(MID(UPPER(TRIM(D280)),6,1))/10)+MOD(2*VALUE(MID(UPPER(TRIM(D280)),6,1)),10))+(INT(2*VALUE(MID(UPPER(TRIM(D280)),8,1))/10)+MOD(2*VALUE(MID(UPPER(TRIM(D280)),8,1)),10)),10),10)+1,1)),"OK","REVISAR")),"REVISAR")))</f>
        <v/>
      </c>
      <c r="Q280">
        <f>IF(B280="","",IF(COUNTIFS($B$2:$B$501,B280,$D$2:$D$501,D280)&gt;1,"DUPLICADA",""))</f>
        <v/>
      </c>
      <c r="R280">
        <f>IF(A280="","",ROUNDUP(MONTH(A280)/3,0))</f>
        <v/>
      </c>
      <c r="S280" s="3" t="n"/>
    </row>
    <row r="281">
      <c r="A281" s="2" t="n"/>
      <c r="B281" s="3" t="n"/>
      <c r="C281" s="3" t="n"/>
      <c r="D281" s="3" t="n"/>
      <c r="E281" s="4" t="n"/>
      <c r="F281" s="4" t="n"/>
      <c r="G281" s="4" t="n"/>
      <c r="H281" s="4" t="n"/>
      <c r="I281" s="5">
        <f>IF(E281="","",ROUND(E281*0.21,2))</f>
        <v/>
      </c>
      <c r="J281" s="5">
        <f>IF(F281="","",ROUND(F281*0.1,2))</f>
        <v/>
      </c>
      <c r="K281" s="5">
        <f>IF(G281="","",ROUND(G281*0.04,2))</f>
        <v/>
      </c>
      <c r="L281" s="4" t="n"/>
      <c r="M281" s="4" t="n"/>
      <c r="N281" s="5">
        <f>IF(A281="","",SUM(E281:K281)-N(L281))</f>
        <v/>
      </c>
      <c r="O281">
        <f>IF(OR(A281="",M281=""),"",IF(ABS(M281-N281)&lt;=0.02,"OK","REVISAR"))</f>
        <v/>
      </c>
      <c r="P281">
        <f>IF(D281="","",IF(LEN(TRIM(D281))&lt;&gt;9,"REVISAR",IFERROR(IF(OR(ISNUMBER(VALUE(LEFT(UPPER(TRIM(D281)),1))),LEFT(UPPER(TRIM(D281)),1)="X",LEFT(UPPER(TRIM(D281)),1)="Y",LEFT(UPPER(TRIM(D281)),1)="Z"),IF(MID("TRWAGMYFPDXBNJZSQVHLCKE",MOD(VALUE(SUBSTITUTE(SUBSTITUTE(SUBSTITUTE(LEFT(UPPER(TRIM(D281)),8),"X","0"),"Y","1"),"Z","2")),23)+1,1)=RIGHT(UPPER(TRIM(D281)),1),"OK","REVISAR"),IF(OR(RIGHT(UPPER(TRIM(D281)),1)=TEXT(MOD(10-MOD((VALUE(MID(UPPER(TRIM(D281)),3,1))+VALUE(MID(UPPER(TRIM(D281)),5,1))+VALUE(MID(UPPER(TRIM(D281)),7,1)))+(INT(2*VALUE(MID(UPPER(TRIM(D281)),2,1))/10)+MOD(2*VALUE(MID(UPPER(TRIM(D281)),2,1)),10))+(INT(2*VALUE(MID(UPPER(TRIM(D281)),4,1))/10)+MOD(2*VALUE(MID(UPPER(TRIM(D281)),4,1)),10))+(INT(2*VALUE(MID(UPPER(TRIM(D281)),6,1))/10)+MOD(2*VALUE(MID(UPPER(TRIM(D281)),6,1)),10))+(INT(2*VALUE(MID(UPPER(TRIM(D281)),8,1))/10)+MOD(2*VALUE(MID(UPPER(TRIM(D281)),8,1)),10)),10),10),"0"),RIGHT(UPPER(TRIM(D281)),1)=MID("JABCDEFGHI",MOD(10-MOD((VALUE(MID(UPPER(TRIM(D281)),3,1))+VALUE(MID(UPPER(TRIM(D281)),5,1))+VALUE(MID(UPPER(TRIM(D281)),7,1)))+(INT(2*VALUE(MID(UPPER(TRIM(D281)),2,1))/10)+MOD(2*VALUE(MID(UPPER(TRIM(D281)),2,1)),10))+(INT(2*VALUE(MID(UPPER(TRIM(D281)),4,1))/10)+MOD(2*VALUE(MID(UPPER(TRIM(D281)),4,1)),10))+(INT(2*VALUE(MID(UPPER(TRIM(D281)),6,1))/10)+MOD(2*VALUE(MID(UPPER(TRIM(D281)),6,1)),10))+(INT(2*VALUE(MID(UPPER(TRIM(D281)),8,1))/10)+MOD(2*VALUE(MID(UPPER(TRIM(D281)),8,1)),10)),10),10)+1,1)),"OK","REVISAR")),"REVISAR")))</f>
        <v/>
      </c>
      <c r="Q281">
        <f>IF(B281="","",IF(COUNTIFS($B$2:$B$501,B281,$D$2:$D$501,D281)&gt;1,"DUPLICADA",""))</f>
        <v/>
      </c>
      <c r="R281">
        <f>IF(A281="","",ROUNDUP(MONTH(A281)/3,0))</f>
        <v/>
      </c>
      <c r="S281" s="3" t="n"/>
    </row>
    <row r="282">
      <c r="A282" s="2" t="n"/>
      <c r="B282" s="3" t="n"/>
      <c r="C282" s="3" t="n"/>
      <c r="D282" s="3" t="n"/>
      <c r="E282" s="4" t="n"/>
      <c r="F282" s="4" t="n"/>
      <c r="G282" s="4" t="n"/>
      <c r="H282" s="4" t="n"/>
      <c r="I282" s="5">
        <f>IF(E282="","",ROUND(E282*0.21,2))</f>
        <v/>
      </c>
      <c r="J282" s="5">
        <f>IF(F282="","",ROUND(F282*0.1,2))</f>
        <v/>
      </c>
      <c r="K282" s="5">
        <f>IF(G282="","",ROUND(G282*0.04,2))</f>
        <v/>
      </c>
      <c r="L282" s="4" t="n"/>
      <c r="M282" s="4" t="n"/>
      <c r="N282" s="5">
        <f>IF(A282="","",SUM(E282:K282)-N(L282))</f>
        <v/>
      </c>
      <c r="O282">
        <f>IF(OR(A282="",M282=""),"",IF(ABS(M282-N282)&lt;=0.02,"OK","REVISAR"))</f>
        <v/>
      </c>
      <c r="P282">
        <f>IF(D282="","",IF(LEN(TRIM(D282))&lt;&gt;9,"REVISAR",IFERROR(IF(OR(ISNUMBER(VALUE(LEFT(UPPER(TRIM(D282)),1))),LEFT(UPPER(TRIM(D282)),1)="X",LEFT(UPPER(TRIM(D282)),1)="Y",LEFT(UPPER(TRIM(D282)),1)="Z"),IF(MID("TRWAGMYFPDXBNJZSQVHLCKE",MOD(VALUE(SUBSTITUTE(SUBSTITUTE(SUBSTITUTE(LEFT(UPPER(TRIM(D282)),8),"X","0"),"Y","1"),"Z","2")),23)+1,1)=RIGHT(UPPER(TRIM(D282)),1),"OK","REVISAR"),IF(OR(RIGHT(UPPER(TRIM(D282)),1)=TEXT(MOD(10-MOD((VALUE(MID(UPPER(TRIM(D282)),3,1))+VALUE(MID(UPPER(TRIM(D282)),5,1))+VALUE(MID(UPPER(TRIM(D282)),7,1)))+(INT(2*VALUE(MID(UPPER(TRIM(D282)),2,1))/10)+MOD(2*VALUE(MID(UPPER(TRIM(D282)),2,1)),10))+(INT(2*VALUE(MID(UPPER(TRIM(D282)),4,1))/10)+MOD(2*VALUE(MID(UPPER(TRIM(D282)),4,1)),10))+(INT(2*VALUE(MID(UPPER(TRIM(D282)),6,1))/10)+MOD(2*VALUE(MID(UPPER(TRIM(D282)),6,1)),10))+(INT(2*VALUE(MID(UPPER(TRIM(D282)),8,1))/10)+MOD(2*VALUE(MID(UPPER(TRIM(D282)),8,1)),10)),10),10),"0"),RIGHT(UPPER(TRIM(D282)),1)=MID("JABCDEFGHI",MOD(10-MOD((VALUE(MID(UPPER(TRIM(D282)),3,1))+VALUE(MID(UPPER(TRIM(D282)),5,1))+VALUE(MID(UPPER(TRIM(D282)),7,1)))+(INT(2*VALUE(MID(UPPER(TRIM(D282)),2,1))/10)+MOD(2*VALUE(MID(UPPER(TRIM(D282)),2,1)),10))+(INT(2*VALUE(MID(UPPER(TRIM(D282)),4,1))/10)+MOD(2*VALUE(MID(UPPER(TRIM(D282)),4,1)),10))+(INT(2*VALUE(MID(UPPER(TRIM(D282)),6,1))/10)+MOD(2*VALUE(MID(UPPER(TRIM(D282)),6,1)),10))+(INT(2*VALUE(MID(UPPER(TRIM(D282)),8,1))/10)+MOD(2*VALUE(MID(UPPER(TRIM(D282)),8,1)),10)),10),10)+1,1)),"OK","REVISAR")),"REVISAR")))</f>
        <v/>
      </c>
      <c r="Q282">
        <f>IF(B282="","",IF(COUNTIFS($B$2:$B$501,B282,$D$2:$D$501,D282)&gt;1,"DUPLICADA",""))</f>
        <v/>
      </c>
      <c r="R282">
        <f>IF(A282="","",ROUNDUP(MONTH(A282)/3,0))</f>
        <v/>
      </c>
      <c r="S282" s="3" t="n"/>
    </row>
    <row r="283">
      <c r="A283" s="2" t="n"/>
      <c r="B283" s="3" t="n"/>
      <c r="C283" s="3" t="n"/>
      <c r="D283" s="3" t="n"/>
      <c r="E283" s="4" t="n"/>
      <c r="F283" s="4" t="n"/>
      <c r="G283" s="4" t="n"/>
      <c r="H283" s="4" t="n"/>
      <c r="I283" s="5">
        <f>IF(E283="","",ROUND(E283*0.21,2))</f>
        <v/>
      </c>
      <c r="J283" s="5">
        <f>IF(F283="","",ROUND(F283*0.1,2))</f>
        <v/>
      </c>
      <c r="K283" s="5">
        <f>IF(G283="","",ROUND(G283*0.04,2))</f>
        <v/>
      </c>
      <c r="L283" s="4" t="n"/>
      <c r="M283" s="4" t="n"/>
      <c r="N283" s="5">
        <f>IF(A283="","",SUM(E283:K283)-N(L283))</f>
        <v/>
      </c>
      <c r="O283">
        <f>IF(OR(A283="",M283=""),"",IF(ABS(M283-N283)&lt;=0.02,"OK","REVISAR"))</f>
        <v/>
      </c>
      <c r="P283">
        <f>IF(D283="","",IF(LEN(TRIM(D283))&lt;&gt;9,"REVISAR",IFERROR(IF(OR(ISNUMBER(VALUE(LEFT(UPPER(TRIM(D283)),1))),LEFT(UPPER(TRIM(D283)),1)="X",LEFT(UPPER(TRIM(D283)),1)="Y",LEFT(UPPER(TRIM(D283)),1)="Z"),IF(MID("TRWAGMYFPDXBNJZSQVHLCKE",MOD(VALUE(SUBSTITUTE(SUBSTITUTE(SUBSTITUTE(LEFT(UPPER(TRIM(D283)),8),"X","0"),"Y","1"),"Z","2")),23)+1,1)=RIGHT(UPPER(TRIM(D283)),1),"OK","REVISAR"),IF(OR(RIGHT(UPPER(TRIM(D283)),1)=TEXT(MOD(10-MOD((VALUE(MID(UPPER(TRIM(D283)),3,1))+VALUE(MID(UPPER(TRIM(D283)),5,1))+VALUE(MID(UPPER(TRIM(D283)),7,1)))+(INT(2*VALUE(MID(UPPER(TRIM(D283)),2,1))/10)+MOD(2*VALUE(MID(UPPER(TRIM(D283)),2,1)),10))+(INT(2*VALUE(MID(UPPER(TRIM(D283)),4,1))/10)+MOD(2*VALUE(MID(UPPER(TRIM(D283)),4,1)),10))+(INT(2*VALUE(MID(UPPER(TRIM(D283)),6,1))/10)+MOD(2*VALUE(MID(UPPER(TRIM(D283)),6,1)),10))+(INT(2*VALUE(MID(UPPER(TRIM(D283)),8,1))/10)+MOD(2*VALUE(MID(UPPER(TRIM(D283)),8,1)),10)),10),10),"0"),RIGHT(UPPER(TRIM(D283)),1)=MID("JABCDEFGHI",MOD(10-MOD((VALUE(MID(UPPER(TRIM(D283)),3,1))+VALUE(MID(UPPER(TRIM(D283)),5,1))+VALUE(MID(UPPER(TRIM(D283)),7,1)))+(INT(2*VALUE(MID(UPPER(TRIM(D283)),2,1))/10)+MOD(2*VALUE(MID(UPPER(TRIM(D283)),2,1)),10))+(INT(2*VALUE(MID(UPPER(TRIM(D283)),4,1))/10)+MOD(2*VALUE(MID(UPPER(TRIM(D283)),4,1)),10))+(INT(2*VALUE(MID(UPPER(TRIM(D283)),6,1))/10)+MOD(2*VALUE(MID(UPPER(TRIM(D283)),6,1)),10))+(INT(2*VALUE(MID(UPPER(TRIM(D283)),8,1))/10)+MOD(2*VALUE(MID(UPPER(TRIM(D283)),8,1)),10)),10),10)+1,1)),"OK","REVISAR")),"REVISAR")))</f>
        <v/>
      </c>
      <c r="Q283">
        <f>IF(B283="","",IF(COUNTIFS($B$2:$B$501,B283,$D$2:$D$501,D283)&gt;1,"DUPLICADA",""))</f>
        <v/>
      </c>
      <c r="R283">
        <f>IF(A283="","",ROUNDUP(MONTH(A283)/3,0))</f>
        <v/>
      </c>
      <c r="S283" s="3" t="n"/>
    </row>
    <row r="284">
      <c r="A284" s="2" t="n"/>
      <c r="B284" s="3" t="n"/>
      <c r="C284" s="3" t="n"/>
      <c r="D284" s="3" t="n"/>
      <c r="E284" s="4" t="n"/>
      <c r="F284" s="4" t="n"/>
      <c r="G284" s="4" t="n"/>
      <c r="H284" s="4" t="n"/>
      <c r="I284" s="5">
        <f>IF(E284="","",ROUND(E284*0.21,2))</f>
        <v/>
      </c>
      <c r="J284" s="5">
        <f>IF(F284="","",ROUND(F284*0.1,2))</f>
        <v/>
      </c>
      <c r="K284" s="5">
        <f>IF(G284="","",ROUND(G284*0.04,2))</f>
        <v/>
      </c>
      <c r="L284" s="4" t="n"/>
      <c r="M284" s="4" t="n"/>
      <c r="N284" s="5">
        <f>IF(A284="","",SUM(E284:K284)-N(L284))</f>
        <v/>
      </c>
      <c r="O284">
        <f>IF(OR(A284="",M284=""),"",IF(ABS(M284-N284)&lt;=0.02,"OK","REVISAR"))</f>
        <v/>
      </c>
      <c r="P284">
        <f>IF(D284="","",IF(LEN(TRIM(D284))&lt;&gt;9,"REVISAR",IFERROR(IF(OR(ISNUMBER(VALUE(LEFT(UPPER(TRIM(D284)),1))),LEFT(UPPER(TRIM(D284)),1)="X",LEFT(UPPER(TRIM(D284)),1)="Y",LEFT(UPPER(TRIM(D284)),1)="Z"),IF(MID("TRWAGMYFPDXBNJZSQVHLCKE",MOD(VALUE(SUBSTITUTE(SUBSTITUTE(SUBSTITUTE(LEFT(UPPER(TRIM(D284)),8),"X","0"),"Y","1"),"Z","2")),23)+1,1)=RIGHT(UPPER(TRIM(D284)),1),"OK","REVISAR"),IF(OR(RIGHT(UPPER(TRIM(D284)),1)=TEXT(MOD(10-MOD((VALUE(MID(UPPER(TRIM(D284)),3,1))+VALUE(MID(UPPER(TRIM(D284)),5,1))+VALUE(MID(UPPER(TRIM(D284)),7,1)))+(INT(2*VALUE(MID(UPPER(TRIM(D284)),2,1))/10)+MOD(2*VALUE(MID(UPPER(TRIM(D284)),2,1)),10))+(INT(2*VALUE(MID(UPPER(TRIM(D284)),4,1))/10)+MOD(2*VALUE(MID(UPPER(TRIM(D284)),4,1)),10))+(INT(2*VALUE(MID(UPPER(TRIM(D284)),6,1))/10)+MOD(2*VALUE(MID(UPPER(TRIM(D284)),6,1)),10))+(INT(2*VALUE(MID(UPPER(TRIM(D284)),8,1))/10)+MOD(2*VALUE(MID(UPPER(TRIM(D284)),8,1)),10)),10),10),"0"),RIGHT(UPPER(TRIM(D284)),1)=MID("JABCDEFGHI",MOD(10-MOD((VALUE(MID(UPPER(TRIM(D284)),3,1))+VALUE(MID(UPPER(TRIM(D284)),5,1))+VALUE(MID(UPPER(TRIM(D284)),7,1)))+(INT(2*VALUE(MID(UPPER(TRIM(D284)),2,1))/10)+MOD(2*VALUE(MID(UPPER(TRIM(D284)),2,1)),10))+(INT(2*VALUE(MID(UPPER(TRIM(D284)),4,1))/10)+MOD(2*VALUE(MID(UPPER(TRIM(D284)),4,1)),10))+(INT(2*VALUE(MID(UPPER(TRIM(D284)),6,1))/10)+MOD(2*VALUE(MID(UPPER(TRIM(D284)),6,1)),10))+(INT(2*VALUE(MID(UPPER(TRIM(D284)),8,1))/10)+MOD(2*VALUE(MID(UPPER(TRIM(D284)),8,1)),10)),10),10)+1,1)),"OK","REVISAR")),"REVISAR")))</f>
        <v/>
      </c>
      <c r="Q284">
        <f>IF(B284="","",IF(COUNTIFS($B$2:$B$501,B284,$D$2:$D$501,D284)&gt;1,"DUPLICADA",""))</f>
        <v/>
      </c>
      <c r="R284">
        <f>IF(A284="","",ROUNDUP(MONTH(A284)/3,0))</f>
        <v/>
      </c>
      <c r="S284" s="3" t="n"/>
    </row>
    <row r="285">
      <c r="A285" s="2" t="n"/>
      <c r="B285" s="3" t="n"/>
      <c r="C285" s="3" t="n"/>
      <c r="D285" s="3" t="n"/>
      <c r="E285" s="4" t="n"/>
      <c r="F285" s="4" t="n"/>
      <c r="G285" s="4" t="n"/>
      <c r="H285" s="4" t="n"/>
      <c r="I285" s="5">
        <f>IF(E285="","",ROUND(E285*0.21,2))</f>
        <v/>
      </c>
      <c r="J285" s="5">
        <f>IF(F285="","",ROUND(F285*0.1,2))</f>
        <v/>
      </c>
      <c r="K285" s="5">
        <f>IF(G285="","",ROUND(G285*0.04,2))</f>
        <v/>
      </c>
      <c r="L285" s="4" t="n"/>
      <c r="M285" s="4" t="n"/>
      <c r="N285" s="5">
        <f>IF(A285="","",SUM(E285:K285)-N(L285))</f>
        <v/>
      </c>
      <c r="O285">
        <f>IF(OR(A285="",M285=""),"",IF(ABS(M285-N285)&lt;=0.02,"OK","REVISAR"))</f>
        <v/>
      </c>
      <c r="P285">
        <f>IF(D285="","",IF(LEN(TRIM(D285))&lt;&gt;9,"REVISAR",IFERROR(IF(OR(ISNUMBER(VALUE(LEFT(UPPER(TRIM(D285)),1))),LEFT(UPPER(TRIM(D285)),1)="X",LEFT(UPPER(TRIM(D285)),1)="Y",LEFT(UPPER(TRIM(D285)),1)="Z"),IF(MID("TRWAGMYFPDXBNJZSQVHLCKE",MOD(VALUE(SUBSTITUTE(SUBSTITUTE(SUBSTITUTE(LEFT(UPPER(TRIM(D285)),8),"X","0"),"Y","1"),"Z","2")),23)+1,1)=RIGHT(UPPER(TRIM(D285)),1),"OK","REVISAR"),IF(OR(RIGHT(UPPER(TRIM(D285)),1)=TEXT(MOD(10-MOD((VALUE(MID(UPPER(TRIM(D285)),3,1))+VALUE(MID(UPPER(TRIM(D285)),5,1))+VALUE(MID(UPPER(TRIM(D285)),7,1)))+(INT(2*VALUE(MID(UPPER(TRIM(D285)),2,1))/10)+MOD(2*VALUE(MID(UPPER(TRIM(D285)),2,1)),10))+(INT(2*VALUE(MID(UPPER(TRIM(D285)),4,1))/10)+MOD(2*VALUE(MID(UPPER(TRIM(D285)),4,1)),10))+(INT(2*VALUE(MID(UPPER(TRIM(D285)),6,1))/10)+MOD(2*VALUE(MID(UPPER(TRIM(D285)),6,1)),10))+(INT(2*VALUE(MID(UPPER(TRIM(D285)),8,1))/10)+MOD(2*VALUE(MID(UPPER(TRIM(D285)),8,1)),10)),10),10),"0"),RIGHT(UPPER(TRIM(D285)),1)=MID("JABCDEFGHI",MOD(10-MOD((VALUE(MID(UPPER(TRIM(D285)),3,1))+VALUE(MID(UPPER(TRIM(D285)),5,1))+VALUE(MID(UPPER(TRIM(D285)),7,1)))+(INT(2*VALUE(MID(UPPER(TRIM(D285)),2,1))/10)+MOD(2*VALUE(MID(UPPER(TRIM(D285)),2,1)),10))+(INT(2*VALUE(MID(UPPER(TRIM(D285)),4,1))/10)+MOD(2*VALUE(MID(UPPER(TRIM(D285)),4,1)),10))+(INT(2*VALUE(MID(UPPER(TRIM(D285)),6,1))/10)+MOD(2*VALUE(MID(UPPER(TRIM(D285)),6,1)),10))+(INT(2*VALUE(MID(UPPER(TRIM(D285)),8,1))/10)+MOD(2*VALUE(MID(UPPER(TRIM(D285)),8,1)),10)),10),10)+1,1)),"OK","REVISAR")),"REVISAR")))</f>
        <v/>
      </c>
      <c r="Q285">
        <f>IF(B285="","",IF(COUNTIFS($B$2:$B$501,B285,$D$2:$D$501,D285)&gt;1,"DUPLICADA",""))</f>
        <v/>
      </c>
      <c r="R285">
        <f>IF(A285="","",ROUNDUP(MONTH(A285)/3,0))</f>
        <v/>
      </c>
      <c r="S285" s="3" t="n"/>
    </row>
    <row r="286">
      <c r="A286" s="2" t="n"/>
      <c r="B286" s="3" t="n"/>
      <c r="C286" s="3" t="n"/>
      <c r="D286" s="3" t="n"/>
      <c r="E286" s="4" t="n"/>
      <c r="F286" s="4" t="n"/>
      <c r="G286" s="4" t="n"/>
      <c r="H286" s="4" t="n"/>
      <c r="I286" s="5">
        <f>IF(E286="","",ROUND(E286*0.21,2))</f>
        <v/>
      </c>
      <c r="J286" s="5">
        <f>IF(F286="","",ROUND(F286*0.1,2))</f>
        <v/>
      </c>
      <c r="K286" s="5">
        <f>IF(G286="","",ROUND(G286*0.04,2))</f>
        <v/>
      </c>
      <c r="L286" s="4" t="n"/>
      <c r="M286" s="4" t="n"/>
      <c r="N286" s="5">
        <f>IF(A286="","",SUM(E286:K286)-N(L286))</f>
        <v/>
      </c>
      <c r="O286">
        <f>IF(OR(A286="",M286=""),"",IF(ABS(M286-N286)&lt;=0.02,"OK","REVISAR"))</f>
        <v/>
      </c>
      <c r="P286">
        <f>IF(D286="","",IF(LEN(TRIM(D286))&lt;&gt;9,"REVISAR",IFERROR(IF(OR(ISNUMBER(VALUE(LEFT(UPPER(TRIM(D286)),1))),LEFT(UPPER(TRIM(D286)),1)="X",LEFT(UPPER(TRIM(D286)),1)="Y",LEFT(UPPER(TRIM(D286)),1)="Z"),IF(MID("TRWAGMYFPDXBNJZSQVHLCKE",MOD(VALUE(SUBSTITUTE(SUBSTITUTE(SUBSTITUTE(LEFT(UPPER(TRIM(D286)),8),"X","0"),"Y","1"),"Z","2")),23)+1,1)=RIGHT(UPPER(TRIM(D286)),1),"OK","REVISAR"),IF(OR(RIGHT(UPPER(TRIM(D286)),1)=TEXT(MOD(10-MOD((VALUE(MID(UPPER(TRIM(D286)),3,1))+VALUE(MID(UPPER(TRIM(D286)),5,1))+VALUE(MID(UPPER(TRIM(D286)),7,1)))+(INT(2*VALUE(MID(UPPER(TRIM(D286)),2,1))/10)+MOD(2*VALUE(MID(UPPER(TRIM(D286)),2,1)),10))+(INT(2*VALUE(MID(UPPER(TRIM(D286)),4,1))/10)+MOD(2*VALUE(MID(UPPER(TRIM(D286)),4,1)),10))+(INT(2*VALUE(MID(UPPER(TRIM(D286)),6,1))/10)+MOD(2*VALUE(MID(UPPER(TRIM(D286)),6,1)),10))+(INT(2*VALUE(MID(UPPER(TRIM(D286)),8,1))/10)+MOD(2*VALUE(MID(UPPER(TRIM(D286)),8,1)),10)),10),10),"0"),RIGHT(UPPER(TRIM(D286)),1)=MID("JABCDEFGHI",MOD(10-MOD((VALUE(MID(UPPER(TRIM(D286)),3,1))+VALUE(MID(UPPER(TRIM(D286)),5,1))+VALUE(MID(UPPER(TRIM(D286)),7,1)))+(INT(2*VALUE(MID(UPPER(TRIM(D286)),2,1))/10)+MOD(2*VALUE(MID(UPPER(TRIM(D286)),2,1)),10))+(INT(2*VALUE(MID(UPPER(TRIM(D286)),4,1))/10)+MOD(2*VALUE(MID(UPPER(TRIM(D286)),4,1)),10))+(INT(2*VALUE(MID(UPPER(TRIM(D286)),6,1))/10)+MOD(2*VALUE(MID(UPPER(TRIM(D286)),6,1)),10))+(INT(2*VALUE(MID(UPPER(TRIM(D286)),8,1))/10)+MOD(2*VALUE(MID(UPPER(TRIM(D286)),8,1)),10)),10),10)+1,1)),"OK","REVISAR")),"REVISAR")))</f>
        <v/>
      </c>
      <c r="Q286">
        <f>IF(B286="","",IF(COUNTIFS($B$2:$B$501,B286,$D$2:$D$501,D286)&gt;1,"DUPLICADA",""))</f>
        <v/>
      </c>
      <c r="R286">
        <f>IF(A286="","",ROUNDUP(MONTH(A286)/3,0))</f>
        <v/>
      </c>
      <c r="S286" s="3" t="n"/>
    </row>
    <row r="287">
      <c r="A287" s="2" t="n"/>
      <c r="B287" s="3" t="n"/>
      <c r="C287" s="3" t="n"/>
      <c r="D287" s="3" t="n"/>
      <c r="E287" s="4" t="n"/>
      <c r="F287" s="4" t="n"/>
      <c r="G287" s="4" t="n"/>
      <c r="H287" s="4" t="n"/>
      <c r="I287" s="5">
        <f>IF(E287="","",ROUND(E287*0.21,2))</f>
        <v/>
      </c>
      <c r="J287" s="5">
        <f>IF(F287="","",ROUND(F287*0.1,2))</f>
        <v/>
      </c>
      <c r="K287" s="5">
        <f>IF(G287="","",ROUND(G287*0.04,2))</f>
        <v/>
      </c>
      <c r="L287" s="4" t="n"/>
      <c r="M287" s="4" t="n"/>
      <c r="N287" s="5">
        <f>IF(A287="","",SUM(E287:K287)-N(L287))</f>
        <v/>
      </c>
      <c r="O287">
        <f>IF(OR(A287="",M287=""),"",IF(ABS(M287-N287)&lt;=0.02,"OK","REVISAR"))</f>
        <v/>
      </c>
      <c r="P287">
        <f>IF(D287="","",IF(LEN(TRIM(D287))&lt;&gt;9,"REVISAR",IFERROR(IF(OR(ISNUMBER(VALUE(LEFT(UPPER(TRIM(D287)),1))),LEFT(UPPER(TRIM(D287)),1)="X",LEFT(UPPER(TRIM(D287)),1)="Y",LEFT(UPPER(TRIM(D287)),1)="Z"),IF(MID("TRWAGMYFPDXBNJZSQVHLCKE",MOD(VALUE(SUBSTITUTE(SUBSTITUTE(SUBSTITUTE(LEFT(UPPER(TRIM(D287)),8),"X","0"),"Y","1"),"Z","2")),23)+1,1)=RIGHT(UPPER(TRIM(D287)),1),"OK","REVISAR"),IF(OR(RIGHT(UPPER(TRIM(D287)),1)=TEXT(MOD(10-MOD((VALUE(MID(UPPER(TRIM(D287)),3,1))+VALUE(MID(UPPER(TRIM(D287)),5,1))+VALUE(MID(UPPER(TRIM(D287)),7,1)))+(INT(2*VALUE(MID(UPPER(TRIM(D287)),2,1))/10)+MOD(2*VALUE(MID(UPPER(TRIM(D287)),2,1)),10))+(INT(2*VALUE(MID(UPPER(TRIM(D287)),4,1))/10)+MOD(2*VALUE(MID(UPPER(TRIM(D287)),4,1)),10))+(INT(2*VALUE(MID(UPPER(TRIM(D287)),6,1))/10)+MOD(2*VALUE(MID(UPPER(TRIM(D287)),6,1)),10))+(INT(2*VALUE(MID(UPPER(TRIM(D287)),8,1))/10)+MOD(2*VALUE(MID(UPPER(TRIM(D287)),8,1)),10)),10),10),"0"),RIGHT(UPPER(TRIM(D287)),1)=MID("JABCDEFGHI",MOD(10-MOD((VALUE(MID(UPPER(TRIM(D287)),3,1))+VALUE(MID(UPPER(TRIM(D287)),5,1))+VALUE(MID(UPPER(TRIM(D287)),7,1)))+(INT(2*VALUE(MID(UPPER(TRIM(D287)),2,1))/10)+MOD(2*VALUE(MID(UPPER(TRIM(D287)),2,1)),10))+(INT(2*VALUE(MID(UPPER(TRIM(D287)),4,1))/10)+MOD(2*VALUE(MID(UPPER(TRIM(D287)),4,1)),10))+(INT(2*VALUE(MID(UPPER(TRIM(D287)),6,1))/10)+MOD(2*VALUE(MID(UPPER(TRIM(D287)),6,1)),10))+(INT(2*VALUE(MID(UPPER(TRIM(D287)),8,1))/10)+MOD(2*VALUE(MID(UPPER(TRIM(D287)),8,1)),10)),10),10)+1,1)),"OK","REVISAR")),"REVISAR")))</f>
        <v/>
      </c>
      <c r="Q287">
        <f>IF(B287="","",IF(COUNTIFS($B$2:$B$501,B287,$D$2:$D$501,D287)&gt;1,"DUPLICADA",""))</f>
        <v/>
      </c>
      <c r="R287">
        <f>IF(A287="","",ROUNDUP(MONTH(A287)/3,0))</f>
        <v/>
      </c>
      <c r="S287" s="3" t="n"/>
    </row>
    <row r="288">
      <c r="A288" s="2" t="n"/>
      <c r="B288" s="3" t="n"/>
      <c r="C288" s="3" t="n"/>
      <c r="D288" s="3" t="n"/>
      <c r="E288" s="4" t="n"/>
      <c r="F288" s="4" t="n"/>
      <c r="G288" s="4" t="n"/>
      <c r="H288" s="4" t="n"/>
      <c r="I288" s="5">
        <f>IF(E288="","",ROUND(E288*0.21,2))</f>
        <v/>
      </c>
      <c r="J288" s="5">
        <f>IF(F288="","",ROUND(F288*0.1,2))</f>
        <v/>
      </c>
      <c r="K288" s="5">
        <f>IF(G288="","",ROUND(G288*0.04,2))</f>
        <v/>
      </c>
      <c r="L288" s="4" t="n"/>
      <c r="M288" s="4" t="n"/>
      <c r="N288" s="5">
        <f>IF(A288="","",SUM(E288:K288)-N(L288))</f>
        <v/>
      </c>
      <c r="O288">
        <f>IF(OR(A288="",M288=""),"",IF(ABS(M288-N288)&lt;=0.02,"OK","REVISAR"))</f>
        <v/>
      </c>
      <c r="P288">
        <f>IF(D288="","",IF(LEN(TRIM(D288))&lt;&gt;9,"REVISAR",IFERROR(IF(OR(ISNUMBER(VALUE(LEFT(UPPER(TRIM(D288)),1))),LEFT(UPPER(TRIM(D288)),1)="X",LEFT(UPPER(TRIM(D288)),1)="Y",LEFT(UPPER(TRIM(D288)),1)="Z"),IF(MID("TRWAGMYFPDXBNJZSQVHLCKE",MOD(VALUE(SUBSTITUTE(SUBSTITUTE(SUBSTITUTE(LEFT(UPPER(TRIM(D288)),8),"X","0"),"Y","1"),"Z","2")),23)+1,1)=RIGHT(UPPER(TRIM(D288)),1),"OK","REVISAR"),IF(OR(RIGHT(UPPER(TRIM(D288)),1)=TEXT(MOD(10-MOD((VALUE(MID(UPPER(TRIM(D288)),3,1))+VALUE(MID(UPPER(TRIM(D288)),5,1))+VALUE(MID(UPPER(TRIM(D288)),7,1)))+(INT(2*VALUE(MID(UPPER(TRIM(D288)),2,1))/10)+MOD(2*VALUE(MID(UPPER(TRIM(D288)),2,1)),10))+(INT(2*VALUE(MID(UPPER(TRIM(D288)),4,1))/10)+MOD(2*VALUE(MID(UPPER(TRIM(D288)),4,1)),10))+(INT(2*VALUE(MID(UPPER(TRIM(D288)),6,1))/10)+MOD(2*VALUE(MID(UPPER(TRIM(D288)),6,1)),10))+(INT(2*VALUE(MID(UPPER(TRIM(D288)),8,1))/10)+MOD(2*VALUE(MID(UPPER(TRIM(D288)),8,1)),10)),10),10),"0"),RIGHT(UPPER(TRIM(D288)),1)=MID("JABCDEFGHI",MOD(10-MOD((VALUE(MID(UPPER(TRIM(D288)),3,1))+VALUE(MID(UPPER(TRIM(D288)),5,1))+VALUE(MID(UPPER(TRIM(D288)),7,1)))+(INT(2*VALUE(MID(UPPER(TRIM(D288)),2,1))/10)+MOD(2*VALUE(MID(UPPER(TRIM(D288)),2,1)),10))+(INT(2*VALUE(MID(UPPER(TRIM(D288)),4,1))/10)+MOD(2*VALUE(MID(UPPER(TRIM(D288)),4,1)),10))+(INT(2*VALUE(MID(UPPER(TRIM(D288)),6,1))/10)+MOD(2*VALUE(MID(UPPER(TRIM(D288)),6,1)),10))+(INT(2*VALUE(MID(UPPER(TRIM(D288)),8,1))/10)+MOD(2*VALUE(MID(UPPER(TRIM(D288)),8,1)),10)),10),10)+1,1)),"OK","REVISAR")),"REVISAR")))</f>
        <v/>
      </c>
      <c r="Q288">
        <f>IF(B288="","",IF(COUNTIFS($B$2:$B$501,B288,$D$2:$D$501,D288)&gt;1,"DUPLICADA",""))</f>
        <v/>
      </c>
      <c r="R288">
        <f>IF(A288="","",ROUNDUP(MONTH(A288)/3,0))</f>
        <v/>
      </c>
      <c r="S288" s="3" t="n"/>
    </row>
    <row r="289">
      <c r="A289" s="2" t="n"/>
      <c r="B289" s="3" t="n"/>
      <c r="C289" s="3" t="n"/>
      <c r="D289" s="3" t="n"/>
      <c r="E289" s="4" t="n"/>
      <c r="F289" s="4" t="n"/>
      <c r="G289" s="4" t="n"/>
      <c r="H289" s="4" t="n"/>
      <c r="I289" s="5">
        <f>IF(E289="","",ROUND(E289*0.21,2))</f>
        <v/>
      </c>
      <c r="J289" s="5">
        <f>IF(F289="","",ROUND(F289*0.1,2))</f>
        <v/>
      </c>
      <c r="K289" s="5">
        <f>IF(G289="","",ROUND(G289*0.04,2))</f>
        <v/>
      </c>
      <c r="L289" s="4" t="n"/>
      <c r="M289" s="4" t="n"/>
      <c r="N289" s="5">
        <f>IF(A289="","",SUM(E289:K289)-N(L289))</f>
        <v/>
      </c>
      <c r="O289">
        <f>IF(OR(A289="",M289=""),"",IF(ABS(M289-N289)&lt;=0.02,"OK","REVISAR"))</f>
        <v/>
      </c>
      <c r="P289">
        <f>IF(D289="","",IF(LEN(TRIM(D289))&lt;&gt;9,"REVISAR",IFERROR(IF(OR(ISNUMBER(VALUE(LEFT(UPPER(TRIM(D289)),1))),LEFT(UPPER(TRIM(D289)),1)="X",LEFT(UPPER(TRIM(D289)),1)="Y",LEFT(UPPER(TRIM(D289)),1)="Z"),IF(MID("TRWAGMYFPDXBNJZSQVHLCKE",MOD(VALUE(SUBSTITUTE(SUBSTITUTE(SUBSTITUTE(LEFT(UPPER(TRIM(D289)),8),"X","0"),"Y","1"),"Z","2")),23)+1,1)=RIGHT(UPPER(TRIM(D289)),1),"OK","REVISAR"),IF(OR(RIGHT(UPPER(TRIM(D289)),1)=TEXT(MOD(10-MOD((VALUE(MID(UPPER(TRIM(D289)),3,1))+VALUE(MID(UPPER(TRIM(D289)),5,1))+VALUE(MID(UPPER(TRIM(D289)),7,1)))+(INT(2*VALUE(MID(UPPER(TRIM(D289)),2,1))/10)+MOD(2*VALUE(MID(UPPER(TRIM(D289)),2,1)),10))+(INT(2*VALUE(MID(UPPER(TRIM(D289)),4,1))/10)+MOD(2*VALUE(MID(UPPER(TRIM(D289)),4,1)),10))+(INT(2*VALUE(MID(UPPER(TRIM(D289)),6,1))/10)+MOD(2*VALUE(MID(UPPER(TRIM(D289)),6,1)),10))+(INT(2*VALUE(MID(UPPER(TRIM(D289)),8,1))/10)+MOD(2*VALUE(MID(UPPER(TRIM(D289)),8,1)),10)),10),10),"0"),RIGHT(UPPER(TRIM(D289)),1)=MID("JABCDEFGHI",MOD(10-MOD((VALUE(MID(UPPER(TRIM(D289)),3,1))+VALUE(MID(UPPER(TRIM(D289)),5,1))+VALUE(MID(UPPER(TRIM(D289)),7,1)))+(INT(2*VALUE(MID(UPPER(TRIM(D289)),2,1))/10)+MOD(2*VALUE(MID(UPPER(TRIM(D289)),2,1)),10))+(INT(2*VALUE(MID(UPPER(TRIM(D289)),4,1))/10)+MOD(2*VALUE(MID(UPPER(TRIM(D289)),4,1)),10))+(INT(2*VALUE(MID(UPPER(TRIM(D289)),6,1))/10)+MOD(2*VALUE(MID(UPPER(TRIM(D289)),6,1)),10))+(INT(2*VALUE(MID(UPPER(TRIM(D289)),8,1))/10)+MOD(2*VALUE(MID(UPPER(TRIM(D289)),8,1)),10)),10),10)+1,1)),"OK","REVISAR")),"REVISAR")))</f>
        <v/>
      </c>
      <c r="Q289">
        <f>IF(B289="","",IF(COUNTIFS($B$2:$B$501,B289,$D$2:$D$501,D289)&gt;1,"DUPLICADA",""))</f>
        <v/>
      </c>
      <c r="R289">
        <f>IF(A289="","",ROUNDUP(MONTH(A289)/3,0))</f>
        <v/>
      </c>
      <c r="S289" s="3" t="n"/>
    </row>
    <row r="290">
      <c r="A290" s="2" t="n"/>
      <c r="B290" s="3" t="n"/>
      <c r="C290" s="3" t="n"/>
      <c r="D290" s="3" t="n"/>
      <c r="E290" s="4" t="n"/>
      <c r="F290" s="4" t="n"/>
      <c r="G290" s="4" t="n"/>
      <c r="H290" s="4" t="n"/>
      <c r="I290" s="5">
        <f>IF(E290="","",ROUND(E290*0.21,2))</f>
        <v/>
      </c>
      <c r="J290" s="5">
        <f>IF(F290="","",ROUND(F290*0.1,2))</f>
        <v/>
      </c>
      <c r="K290" s="5">
        <f>IF(G290="","",ROUND(G290*0.04,2))</f>
        <v/>
      </c>
      <c r="L290" s="4" t="n"/>
      <c r="M290" s="4" t="n"/>
      <c r="N290" s="5">
        <f>IF(A290="","",SUM(E290:K290)-N(L290))</f>
        <v/>
      </c>
      <c r="O290">
        <f>IF(OR(A290="",M290=""),"",IF(ABS(M290-N290)&lt;=0.02,"OK","REVISAR"))</f>
        <v/>
      </c>
      <c r="P290">
        <f>IF(D290="","",IF(LEN(TRIM(D290))&lt;&gt;9,"REVISAR",IFERROR(IF(OR(ISNUMBER(VALUE(LEFT(UPPER(TRIM(D290)),1))),LEFT(UPPER(TRIM(D290)),1)="X",LEFT(UPPER(TRIM(D290)),1)="Y",LEFT(UPPER(TRIM(D290)),1)="Z"),IF(MID("TRWAGMYFPDXBNJZSQVHLCKE",MOD(VALUE(SUBSTITUTE(SUBSTITUTE(SUBSTITUTE(LEFT(UPPER(TRIM(D290)),8),"X","0"),"Y","1"),"Z","2")),23)+1,1)=RIGHT(UPPER(TRIM(D290)),1),"OK","REVISAR"),IF(OR(RIGHT(UPPER(TRIM(D290)),1)=TEXT(MOD(10-MOD((VALUE(MID(UPPER(TRIM(D290)),3,1))+VALUE(MID(UPPER(TRIM(D290)),5,1))+VALUE(MID(UPPER(TRIM(D290)),7,1)))+(INT(2*VALUE(MID(UPPER(TRIM(D290)),2,1))/10)+MOD(2*VALUE(MID(UPPER(TRIM(D290)),2,1)),10))+(INT(2*VALUE(MID(UPPER(TRIM(D290)),4,1))/10)+MOD(2*VALUE(MID(UPPER(TRIM(D290)),4,1)),10))+(INT(2*VALUE(MID(UPPER(TRIM(D290)),6,1))/10)+MOD(2*VALUE(MID(UPPER(TRIM(D290)),6,1)),10))+(INT(2*VALUE(MID(UPPER(TRIM(D290)),8,1))/10)+MOD(2*VALUE(MID(UPPER(TRIM(D290)),8,1)),10)),10),10),"0"),RIGHT(UPPER(TRIM(D290)),1)=MID("JABCDEFGHI",MOD(10-MOD((VALUE(MID(UPPER(TRIM(D290)),3,1))+VALUE(MID(UPPER(TRIM(D290)),5,1))+VALUE(MID(UPPER(TRIM(D290)),7,1)))+(INT(2*VALUE(MID(UPPER(TRIM(D290)),2,1))/10)+MOD(2*VALUE(MID(UPPER(TRIM(D290)),2,1)),10))+(INT(2*VALUE(MID(UPPER(TRIM(D290)),4,1))/10)+MOD(2*VALUE(MID(UPPER(TRIM(D290)),4,1)),10))+(INT(2*VALUE(MID(UPPER(TRIM(D290)),6,1))/10)+MOD(2*VALUE(MID(UPPER(TRIM(D290)),6,1)),10))+(INT(2*VALUE(MID(UPPER(TRIM(D290)),8,1))/10)+MOD(2*VALUE(MID(UPPER(TRIM(D290)),8,1)),10)),10),10)+1,1)),"OK","REVISAR")),"REVISAR")))</f>
        <v/>
      </c>
      <c r="Q290">
        <f>IF(B290="","",IF(COUNTIFS($B$2:$B$501,B290,$D$2:$D$501,D290)&gt;1,"DUPLICADA",""))</f>
        <v/>
      </c>
      <c r="R290">
        <f>IF(A290="","",ROUNDUP(MONTH(A290)/3,0))</f>
        <v/>
      </c>
      <c r="S290" s="3" t="n"/>
    </row>
    <row r="291">
      <c r="A291" s="2" t="n"/>
      <c r="B291" s="3" t="n"/>
      <c r="C291" s="3" t="n"/>
      <c r="D291" s="3" t="n"/>
      <c r="E291" s="4" t="n"/>
      <c r="F291" s="4" t="n"/>
      <c r="G291" s="4" t="n"/>
      <c r="H291" s="4" t="n"/>
      <c r="I291" s="5">
        <f>IF(E291="","",ROUND(E291*0.21,2))</f>
        <v/>
      </c>
      <c r="J291" s="5">
        <f>IF(F291="","",ROUND(F291*0.1,2))</f>
        <v/>
      </c>
      <c r="K291" s="5">
        <f>IF(G291="","",ROUND(G291*0.04,2))</f>
        <v/>
      </c>
      <c r="L291" s="4" t="n"/>
      <c r="M291" s="4" t="n"/>
      <c r="N291" s="5">
        <f>IF(A291="","",SUM(E291:K291)-N(L291))</f>
        <v/>
      </c>
      <c r="O291">
        <f>IF(OR(A291="",M291=""),"",IF(ABS(M291-N291)&lt;=0.02,"OK","REVISAR"))</f>
        <v/>
      </c>
      <c r="P291">
        <f>IF(D291="","",IF(LEN(TRIM(D291))&lt;&gt;9,"REVISAR",IFERROR(IF(OR(ISNUMBER(VALUE(LEFT(UPPER(TRIM(D291)),1))),LEFT(UPPER(TRIM(D291)),1)="X",LEFT(UPPER(TRIM(D291)),1)="Y",LEFT(UPPER(TRIM(D291)),1)="Z"),IF(MID("TRWAGMYFPDXBNJZSQVHLCKE",MOD(VALUE(SUBSTITUTE(SUBSTITUTE(SUBSTITUTE(LEFT(UPPER(TRIM(D291)),8),"X","0"),"Y","1"),"Z","2")),23)+1,1)=RIGHT(UPPER(TRIM(D291)),1),"OK","REVISAR"),IF(OR(RIGHT(UPPER(TRIM(D291)),1)=TEXT(MOD(10-MOD((VALUE(MID(UPPER(TRIM(D291)),3,1))+VALUE(MID(UPPER(TRIM(D291)),5,1))+VALUE(MID(UPPER(TRIM(D291)),7,1)))+(INT(2*VALUE(MID(UPPER(TRIM(D291)),2,1))/10)+MOD(2*VALUE(MID(UPPER(TRIM(D291)),2,1)),10))+(INT(2*VALUE(MID(UPPER(TRIM(D291)),4,1))/10)+MOD(2*VALUE(MID(UPPER(TRIM(D291)),4,1)),10))+(INT(2*VALUE(MID(UPPER(TRIM(D291)),6,1))/10)+MOD(2*VALUE(MID(UPPER(TRIM(D291)),6,1)),10))+(INT(2*VALUE(MID(UPPER(TRIM(D291)),8,1))/10)+MOD(2*VALUE(MID(UPPER(TRIM(D291)),8,1)),10)),10),10),"0"),RIGHT(UPPER(TRIM(D291)),1)=MID("JABCDEFGHI",MOD(10-MOD((VALUE(MID(UPPER(TRIM(D291)),3,1))+VALUE(MID(UPPER(TRIM(D291)),5,1))+VALUE(MID(UPPER(TRIM(D291)),7,1)))+(INT(2*VALUE(MID(UPPER(TRIM(D291)),2,1))/10)+MOD(2*VALUE(MID(UPPER(TRIM(D291)),2,1)),10))+(INT(2*VALUE(MID(UPPER(TRIM(D291)),4,1))/10)+MOD(2*VALUE(MID(UPPER(TRIM(D291)),4,1)),10))+(INT(2*VALUE(MID(UPPER(TRIM(D291)),6,1))/10)+MOD(2*VALUE(MID(UPPER(TRIM(D291)),6,1)),10))+(INT(2*VALUE(MID(UPPER(TRIM(D291)),8,1))/10)+MOD(2*VALUE(MID(UPPER(TRIM(D291)),8,1)),10)),10),10)+1,1)),"OK","REVISAR")),"REVISAR")))</f>
        <v/>
      </c>
      <c r="Q291">
        <f>IF(B291="","",IF(COUNTIFS($B$2:$B$501,B291,$D$2:$D$501,D291)&gt;1,"DUPLICADA",""))</f>
        <v/>
      </c>
      <c r="R291">
        <f>IF(A291="","",ROUNDUP(MONTH(A291)/3,0))</f>
        <v/>
      </c>
      <c r="S291" s="3" t="n"/>
    </row>
    <row r="292">
      <c r="A292" s="2" t="n"/>
      <c r="B292" s="3" t="n"/>
      <c r="C292" s="3" t="n"/>
      <c r="D292" s="3" t="n"/>
      <c r="E292" s="4" t="n"/>
      <c r="F292" s="4" t="n"/>
      <c r="G292" s="4" t="n"/>
      <c r="H292" s="4" t="n"/>
      <c r="I292" s="5">
        <f>IF(E292="","",ROUND(E292*0.21,2))</f>
        <v/>
      </c>
      <c r="J292" s="5">
        <f>IF(F292="","",ROUND(F292*0.1,2))</f>
        <v/>
      </c>
      <c r="K292" s="5">
        <f>IF(G292="","",ROUND(G292*0.04,2))</f>
        <v/>
      </c>
      <c r="L292" s="4" t="n"/>
      <c r="M292" s="4" t="n"/>
      <c r="N292" s="5">
        <f>IF(A292="","",SUM(E292:K292)-N(L292))</f>
        <v/>
      </c>
      <c r="O292">
        <f>IF(OR(A292="",M292=""),"",IF(ABS(M292-N292)&lt;=0.02,"OK","REVISAR"))</f>
        <v/>
      </c>
      <c r="P292">
        <f>IF(D292="","",IF(LEN(TRIM(D292))&lt;&gt;9,"REVISAR",IFERROR(IF(OR(ISNUMBER(VALUE(LEFT(UPPER(TRIM(D292)),1))),LEFT(UPPER(TRIM(D292)),1)="X",LEFT(UPPER(TRIM(D292)),1)="Y",LEFT(UPPER(TRIM(D292)),1)="Z"),IF(MID("TRWAGMYFPDXBNJZSQVHLCKE",MOD(VALUE(SUBSTITUTE(SUBSTITUTE(SUBSTITUTE(LEFT(UPPER(TRIM(D292)),8),"X","0"),"Y","1"),"Z","2")),23)+1,1)=RIGHT(UPPER(TRIM(D292)),1),"OK","REVISAR"),IF(OR(RIGHT(UPPER(TRIM(D292)),1)=TEXT(MOD(10-MOD((VALUE(MID(UPPER(TRIM(D292)),3,1))+VALUE(MID(UPPER(TRIM(D292)),5,1))+VALUE(MID(UPPER(TRIM(D292)),7,1)))+(INT(2*VALUE(MID(UPPER(TRIM(D292)),2,1))/10)+MOD(2*VALUE(MID(UPPER(TRIM(D292)),2,1)),10))+(INT(2*VALUE(MID(UPPER(TRIM(D292)),4,1))/10)+MOD(2*VALUE(MID(UPPER(TRIM(D292)),4,1)),10))+(INT(2*VALUE(MID(UPPER(TRIM(D292)),6,1))/10)+MOD(2*VALUE(MID(UPPER(TRIM(D292)),6,1)),10))+(INT(2*VALUE(MID(UPPER(TRIM(D292)),8,1))/10)+MOD(2*VALUE(MID(UPPER(TRIM(D292)),8,1)),10)),10),10),"0"),RIGHT(UPPER(TRIM(D292)),1)=MID("JABCDEFGHI",MOD(10-MOD((VALUE(MID(UPPER(TRIM(D292)),3,1))+VALUE(MID(UPPER(TRIM(D292)),5,1))+VALUE(MID(UPPER(TRIM(D292)),7,1)))+(INT(2*VALUE(MID(UPPER(TRIM(D292)),2,1))/10)+MOD(2*VALUE(MID(UPPER(TRIM(D292)),2,1)),10))+(INT(2*VALUE(MID(UPPER(TRIM(D292)),4,1))/10)+MOD(2*VALUE(MID(UPPER(TRIM(D292)),4,1)),10))+(INT(2*VALUE(MID(UPPER(TRIM(D292)),6,1))/10)+MOD(2*VALUE(MID(UPPER(TRIM(D292)),6,1)),10))+(INT(2*VALUE(MID(UPPER(TRIM(D292)),8,1))/10)+MOD(2*VALUE(MID(UPPER(TRIM(D292)),8,1)),10)),10),10)+1,1)),"OK","REVISAR")),"REVISAR")))</f>
        <v/>
      </c>
      <c r="Q292">
        <f>IF(B292="","",IF(COUNTIFS($B$2:$B$501,B292,$D$2:$D$501,D292)&gt;1,"DUPLICADA",""))</f>
        <v/>
      </c>
      <c r="R292">
        <f>IF(A292="","",ROUNDUP(MONTH(A292)/3,0))</f>
        <v/>
      </c>
      <c r="S292" s="3" t="n"/>
    </row>
    <row r="293">
      <c r="A293" s="2" t="n"/>
      <c r="B293" s="3" t="n"/>
      <c r="C293" s="3" t="n"/>
      <c r="D293" s="3" t="n"/>
      <c r="E293" s="4" t="n"/>
      <c r="F293" s="4" t="n"/>
      <c r="G293" s="4" t="n"/>
      <c r="H293" s="4" t="n"/>
      <c r="I293" s="5">
        <f>IF(E293="","",ROUND(E293*0.21,2))</f>
        <v/>
      </c>
      <c r="J293" s="5">
        <f>IF(F293="","",ROUND(F293*0.1,2))</f>
        <v/>
      </c>
      <c r="K293" s="5">
        <f>IF(G293="","",ROUND(G293*0.04,2))</f>
        <v/>
      </c>
      <c r="L293" s="4" t="n"/>
      <c r="M293" s="4" t="n"/>
      <c r="N293" s="5">
        <f>IF(A293="","",SUM(E293:K293)-N(L293))</f>
        <v/>
      </c>
      <c r="O293">
        <f>IF(OR(A293="",M293=""),"",IF(ABS(M293-N293)&lt;=0.02,"OK","REVISAR"))</f>
        <v/>
      </c>
      <c r="P293">
        <f>IF(D293="","",IF(LEN(TRIM(D293))&lt;&gt;9,"REVISAR",IFERROR(IF(OR(ISNUMBER(VALUE(LEFT(UPPER(TRIM(D293)),1))),LEFT(UPPER(TRIM(D293)),1)="X",LEFT(UPPER(TRIM(D293)),1)="Y",LEFT(UPPER(TRIM(D293)),1)="Z"),IF(MID("TRWAGMYFPDXBNJZSQVHLCKE",MOD(VALUE(SUBSTITUTE(SUBSTITUTE(SUBSTITUTE(LEFT(UPPER(TRIM(D293)),8),"X","0"),"Y","1"),"Z","2")),23)+1,1)=RIGHT(UPPER(TRIM(D293)),1),"OK","REVISAR"),IF(OR(RIGHT(UPPER(TRIM(D293)),1)=TEXT(MOD(10-MOD((VALUE(MID(UPPER(TRIM(D293)),3,1))+VALUE(MID(UPPER(TRIM(D293)),5,1))+VALUE(MID(UPPER(TRIM(D293)),7,1)))+(INT(2*VALUE(MID(UPPER(TRIM(D293)),2,1))/10)+MOD(2*VALUE(MID(UPPER(TRIM(D293)),2,1)),10))+(INT(2*VALUE(MID(UPPER(TRIM(D293)),4,1))/10)+MOD(2*VALUE(MID(UPPER(TRIM(D293)),4,1)),10))+(INT(2*VALUE(MID(UPPER(TRIM(D293)),6,1))/10)+MOD(2*VALUE(MID(UPPER(TRIM(D293)),6,1)),10))+(INT(2*VALUE(MID(UPPER(TRIM(D293)),8,1))/10)+MOD(2*VALUE(MID(UPPER(TRIM(D293)),8,1)),10)),10),10),"0"),RIGHT(UPPER(TRIM(D293)),1)=MID("JABCDEFGHI",MOD(10-MOD((VALUE(MID(UPPER(TRIM(D293)),3,1))+VALUE(MID(UPPER(TRIM(D293)),5,1))+VALUE(MID(UPPER(TRIM(D293)),7,1)))+(INT(2*VALUE(MID(UPPER(TRIM(D293)),2,1))/10)+MOD(2*VALUE(MID(UPPER(TRIM(D293)),2,1)),10))+(INT(2*VALUE(MID(UPPER(TRIM(D293)),4,1))/10)+MOD(2*VALUE(MID(UPPER(TRIM(D293)),4,1)),10))+(INT(2*VALUE(MID(UPPER(TRIM(D293)),6,1))/10)+MOD(2*VALUE(MID(UPPER(TRIM(D293)),6,1)),10))+(INT(2*VALUE(MID(UPPER(TRIM(D293)),8,1))/10)+MOD(2*VALUE(MID(UPPER(TRIM(D293)),8,1)),10)),10),10)+1,1)),"OK","REVISAR")),"REVISAR")))</f>
        <v/>
      </c>
      <c r="Q293">
        <f>IF(B293="","",IF(COUNTIFS($B$2:$B$501,B293,$D$2:$D$501,D293)&gt;1,"DUPLICADA",""))</f>
        <v/>
      </c>
      <c r="R293">
        <f>IF(A293="","",ROUNDUP(MONTH(A293)/3,0))</f>
        <v/>
      </c>
      <c r="S293" s="3" t="n"/>
    </row>
    <row r="294">
      <c r="A294" s="2" t="n"/>
      <c r="B294" s="3" t="n"/>
      <c r="C294" s="3" t="n"/>
      <c r="D294" s="3" t="n"/>
      <c r="E294" s="4" t="n"/>
      <c r="F294" s="4" t="n"/>
      <c r="G294" s="4" t="n"/>
      <c r="H294" s="4" t="n"/>
      <c r="I294" s="5">
        <f>IF(E294="","",ROUND(E294*0.21,2))</f>
        <v/>
      </c>
      <c r="J294" s="5">
        <f>IF(F294="","",ROUND(F294*0.1,2))</f>
        <v/>
      </c>
      <c r="K294" s="5">
        <f>IF(G294="","",ROUND(G294*0.04,2))</f>
        <v/>
      </c>
      <c r="L294" s="4" t="n"/>
      <c r="M294" s="4" t="n"/>
      <c r="N294" s="5">
        <f>IF(A294="","",SUM(E294:K294)-N(L294))</f>
        <v/>
      </c>
      <c r="O294">
        <f>IF(OR(A294="",M294=""),"",IF(ABS(M294-N294)&lt;=0.02,"OK","REVISAR"))</f>
        <v/>
      </c>
      <c r="P294">
        <f>IF(D294="","",IF(LEN(TRIM(D294))&lt;&gt;9,"REVISAR",IFERROR(IF(OR(ISNUMBER(VALUE(LEFT(UPPER(TRIM(D294)),1))),LEFT(UPPER(TRIM(D294)),1)="X",LEFT(UPPER(TRIM(D294)),1)="Y",LEFT(UPPER(TRIM(D294)),1)="Z"),IF(MID("TRWAGMYFPDXBNJZSQVHLCKE",MOD(VALUE(SUBSTITUTE(SUBSTITUTE(SUBSTITUTE(LEFT(UPPER(TRIM(D294)),8),"X","0"),"Y","1"),"Z","2")),23)+1,1)=RIGHT(UPPER(TRIM(D294)),1),"OK","REVISAR"),IF(OR(RIGHT(UPPER(TRIM(D294)),1)=TEXT(MOD(10-MOD((VALUE(MID(UPPER(TRIM(D294)),3,1))+VALUE(MID(UPPER(TRIM(D294)),5,1))+VALUE(MID(UPPER(TRIM(D294)),7,1)))+(INT(2*VALUE(MID(UPPER(TRIM(D294)),2,1))/10)+MOD(2*VALUE(MID(UPPER(TRIM(D294)),2,1)),10))+(INT(2*VALUE(MID(UPPER(TRIM(D294)),4,1))/10)+MOD(2*VALUE(MID(UPPER(TRIM(D294)),4,1)),10))+(INT(2*VALUE(MID(UPPER(TRIM(D294)),6,1))/10)+MOD(2*VALUE(MID(UPPER(TRIM(D294)),6,1)),10))+(INT(2*VALUE(MID(UPPER(TRIM(D294)),8,1))/10)+MOD(2*VALUE(MID(UPPER(TRIM(D294)),8,1)),10)),10),10),"0"),RIGHT(UPPER(TRIM(D294)),1)=MID("JABCDEFGHI",MOD(10-MOD((VALUE(MID(UPPER(TRIM(D294)),3,1))+VALUE(MID(UPPER(TRIM(D294)),5,1))+VALUE(MID(UPPER(TRIM(D294)),7,1)))+(INT(2*VALUE(MID(UPPER(TRIM(D294)),2,1))/10)+MOD(2*VALUE(MID(UPPER(TRIM(D294)),2,1)),10))+(INT(2*VALUE(MID(UPPER(TRIM(D294)),4,1))/10)+MOD(2*VALUE(MID(UPPER(TRIM(D294)),4,1)),10))+(INT(2*VALUE(MID(UPPER(TRIM(D294)),6,1))/10)+MOD(2*VALUE(MID(UPPER(TRIM(D294)),6,1)),10))+(INT(2*VALUE(MID(UPPER(TRIM(D294)),8,1))/10)+MOD(2*VALUE(MID(UPPER(TRIM(D294)),8,1)),10)),10),10)+1,1)),"OK","REVISAR")),"REVISAR")))</f>
        <v/>
      </c>
      <c r="Q294">
        <f>IF(B294="","",IF(COUNTIFS($B$2:$B$501,B294,$D$2:$D$501,D294)&gt;1,"DUPLICADA",""))</f>
        <v/>
      </c>
      <c r="R294">
        <f>IF(A294="","",ROUNDUP(MONTH(A294)/3,0))</f>
        <v/>
      </c>
      <c r="S294" s="3" t="n"/>
    </row>
    <row r="295">
      <c r="A295" s="2" t="n"/>
      <c r="B295" s="3" t="n"/>
      <c r="C295" s="3" t="n"/>
      <c r="D295" s="3" t="n"/>
      <c r="E295" s="4" t="n"/>
      <c r="F295" s="4" t="n"/>
      <c r="G295" s="4" t="n"/>
      <c r="H295" s="4" t="n"/>
      <c r="I295" s="5">
        <f>IF(E295="","",ROUND(E295*0.21,2))</f>
        <v/>
      </c>
      <c r="J295" s="5">
        <f>IF(F295="","",ROUND(F295*0.1,2))</f>
        <v/>
      </c>
      <c r="K295" s="5">
        <f>IF(G295="","",ROUND(G295*0.04,2))</f>
        <v/>
      </c>
      <c r="L295" s="4" t="n"/>
      <c r="M295" s="4" t="n"/>
      <c r="N295" s="5">
        <f>IF(A295="","",SUM(E295:K295)-N(L295))</f>
        <v/>
      </c>
      <c r="O295">
        <f>IF(OR(A295="",M295=""),"",IF(ABS(M295-N295)&lt;=0.02,"OK","REVISAR"))</f>
        <v/>
      </c>
      <c r="P295">
        <f>IF(D295="","",IF(LEN(TRIM(D295))&lt;&gt;9,"REVISAR",IFERROR(IF(OR(ISNUMBER(VALUE(LEFT(UPPER(TRIM(D295)),1))),LEFT(UPPER(TRIM(D295)),1)="X",LEFT(UPPER(TRIM(D295)),1)="Y",LEFT(UPPER(TRIM(D295)),1)="Z"),IF(MID("TRWAGMYFPDXBNJZSQVHLCKE",MOD(VALUE(SUBSTITUTE(SUBSTITUTE(SUBSTITUTE(LEFT(UPPER(TRIM(D295)),8),"X","0"),"Y","1"),"Z","2")),23)+1,1)=RIGHT(UPPER(TRIM(D295)),1),"OK","REVISAR"),IF(OR(RIGHT(UPPER(TRIM(D295)),1)=TEXT(MOD(10-MOD((VALUE(MID(UPPER(TRIM(D295)),3,1))+VALUE(MID(UPPER(TRIM(D295)),5,1))+VALUE(MID(UPPER(TRIM(D295)),7,1)))+(INT(2*VALUE(MID(UPPER(TRIM(D295)),2,1))/10)+MOD(2*VALUE(MID(UPPER(TRIM(D295)),2,1)),10))+(INT(2*VALUE(MID(UPPER(TRIM(D295)),4,1))/10)+MOD(2*VALUE(MID(UPPER(TRIM(D295)),4,1)),10))+(INT(2*VALUE(MID(UPPER(TRIM(D295)),6,1))/10)+MOD(2*VALUE(MID(UPPER(TRIM(D295)),6,1)),10))+(INT(2*VALUE(MID(UPPER(TRIM(D295)),8,1))/10)+MOD(2*VALUE(MID(UPPER(TRIM(D295)),8,1)),10)),10),10),"0"),RIGHT(UPPER(TRIM(D295)),1)=MID("JABCDEFGHI",MOD(10-MOD((VALUE(MID(UPPER(TRIM(D295)),3,1))+VALUE(MID(UPPER(TRIM(D295)),5,1))+VALUE(MID(UPPER(TRIM(D295)),7,1)))+(INT(2*VALUE(MID(UPPER(TRIM(D295)),2,1))/10)+MOD(2*VALUE(MID(UPPER(TRIM(D295)),2,1)),10))+(INT(2*VALUE(MID(UPPER(TRIM(D295)),4,1))/10)+MOD(2*VALUE(MID(UPPER(TRIM(D295)),4,1)),10))+(INT(2*VALUE(MID(UPPER(TRIM(D295)),6,1))/10)+MOD(2*VALUE(MID(UPPER(TRIM(D295)),6,1)),10))+(INT(2*VALUE(MID(UPPER(TRIM(D295)),8,1))/10)+MOD(2*VALUE(MID(UPPER(TRIM(D295)),8,1)),10)),10),10)+1,1)),"OK","REVISAR")),"REVISAR")))</f>
        <v/>
      </c>
      <c r="Q295">
        <f>IF(B295="","",IF(COUNTIFS($B$2:$B$501,B295,$D$2:$D$501,D295)&gt;1,"DUPLICADA",""))</f>
        <v/>
      </c>
      <c r="R295">
        <f>IF(A295="","",ROUNDUP(MONTH(A295)/3,0))</f>
        <v/>
      </c>
      <c r="S295" s="3" t="n"/>
    </row>
    <row r="296">
      <c r="A296" s="2" t="n"/>
      <c r="B296" s="3" t="n"/>
      <c r="C296" s="3" t="n"/>
      <c r="D296" s="3" t="n"/>
      <c r="E296" s="4" t="n"/>
      <c r="F296" s="4" t="n"/>
      <c r="G296" s="4" t="n"/>
      <c r="H296" s="4" t="n"/>
      <c r="I296" s="5">
        <f>IF(E296="","",ROUND(E296*0.21,2))</f>
        <v/>
      </c>
      <c r="J296" s="5">
        <f>IF(F296="","",ROUND(F296*0.1,2))</f>
        <v/>
      </c>
      <c r="K296" s="5">
        <f>IF(G296="","",ROUND(G296*0.04,2))</f>
        <v/>
      </c>
      <c r="L296" s="4" t="n"/>
      <c r="M296" s="4" t="n"/>
      <c r="N296" s="5">
        <f>IF(A296="","",SUM(E296:K296)-N(L296))</f>
        <v/>
      </c>
      <c r="O296">
        <f>IF(OR(A296="",M296=""),"",IF(ABS(M296-N296)&lt;=0.02,"OK","REVISAR"))</f>
        <v/>
      </c>
      <c r="P296">
        <f>IF(D296="","",IF(LEN(TRIM(D296))&lt;&gt;9,"REVISAR",IFERROR(IF(OR(ISNUMBER(VALUE(LEFT(UPPER(TRIM(D296)),1))),LEFT(UPPER(TRIM(D296)),1)="X",LEFT(UPPER(TRIM(D296)),1)="Y",LEFT(UPPER(TRIM(D296)),1)="Z"),IF(MID("TRWAGMYFPDXBNJZSQVHLCKE",MOD(VALUE(SUBSTITUTE(SUBSTITUTE(SUBSTITUTE(LEFT(UPPER(TRIM(D296)),8),"X","0"),"Y","1"),"Z","2")),23)+1,1)=RIGHT(UPPER(TRIM(D296)),1),"OK","REVISAR"),IF(OR(RIGHT(UPPER(TRIM(D296)),1)=TEXT(MOD(10-MOD((VALUE(MID(UPPER(TRIM(D296)),3,1))+VALUE(MID(UPPER(TRIM(D296)),5,1))+VALUE(MID(UPPER(TRIM(D296)),7,1)))+(INT(2*VALUE(MID(UPPER(TRIM(D296)),2,1))/10)+MOD(2*VALUE(MID(UPPER(TRIM(D296)),2,1)),10))+(INT(2*VALUE(MID(UPPER(TRIM(D296)),4,1))/10)+MOD(2*VALUE(MID(UPPER(TRIM(D296)),4,1)),10))+(INT(2*VALUE(MID(UPPER(TRIM(D296)),6,1))/10)+MOD(2*VALUE(MID(UPPER(TRIM(D296)),6,1)),10))+(INT(2*VALUE(MID(UPPER(TRIM(D296)),8,1))/10)+MOD(2*VALUE(MID(UPPER(TRIM(D296)),8,1)),10)),10),10),"0"),RIGHT(UPPER(TRIM(D296)),1)=MID("JABCDEFGHI",MOD(10-MOD((VALUE(MID(UPPER(TRIM(D296)),3,1))+VALUE(MID(UPPER(TRIM(D296)),5,1))+VALUE(MID(UPPER(TRIM(D296)),7,1)))+(INT(2*VALUE(MID(UPPER(TRIM(D296)),2,1))/10)+MOD(2*VALUE(MID(UPPER(TRIM(D296)),2,1)),10))+(INT(2*VALUE(MID(UPPER(TRIM(D296)),4,1))/10)+MOD(2*VALUE(MID(UPPER(TRIM(D296)),4,1)),10))+(INT(2*VALUE(MID(UPPER(TRIM(D296)),6,1))/10)+MOD(2*VALUE(MID(UPPER(TRIM(D296)),6,1)),10))+(INT(2*VALUE(MID(UPPER(TRIM(D296)),8,1))/10)+MOD(2*VALUE(MID(UPPER(TRIM(D296)),8,1)),10)),10),10)+1,1)),"OK","REVISAR")),"REVISAR")))</f>
        <v/>
      </c>
      <c r="Q296">
        <f>IF(B296="","",IF(COUNTIFS($B$2:$B$501,B296,$D$2:$D$501,D296)&gt;1,"DUPLICADA",""))</f>
        <v/>
      </c>
      <c r="R296">
        <f>IF(A296="","",ROUNDUP(MONTH(A296)/3,0))</f>
        <v/>
      </c>
      <c r="S296" s="3" t="n"/>
    </row>
    <row r="297">
      <c r="A297" s="2" t="n"/>
      <c r="B297" s="3" t="n"/>
      <c r="C297" s="3" t="n"/>
      <c r="D297" s="3" t="n"/>
      <c r="E297" s="4" t="n"/>
      <c r="F297" s="4" t="n"/>
      <c r="G297" s="4" t="n"/>
      <c r="H297" s="4" t="n"/>
      <c r="I297" s="5">
        <f>IF(E297="","",ROUND(E297*0.21,2))</f>
        <v/>
      </c>
      <c r="J297" s="5">
        <f>IF(F297="","",ROUND(F297*0.1,2))</f>
        <v/>
      </c>
      <c r="K297" s="5">
        <f>IF(G297="","",ROUND(G297*0.04,2))</f>
        <v/>
      </c>
      <c r="L297" s="4" t="n"/>
      <c r="M297" s="4" t="n"/>
      <c r="N297" s="5">
        <f>IF(A297="","",SUM(E297:K297)-N(L297))</f>
        <v/>
      </c>
      <c r="O297">
        <f>IF(OR(A297="",M297=""),"",IF(ABS(M297-N297)&lt;=0.02,"OK","REVISAR"))</f>
        <v/>
      </c>
      <c r="P297">
        <f>IF(D297="","",IF(LEN(TRIM(D297))&lt;&gt;9,"REVISAR",IFERROR(IF(OR(ISNUMBER(VALUE(LEFT(UPPER(TRIM(D297)),1))),LEFT(UPPER(TRIM(D297)),1)="X",LEFT(UPPER(TRIM(D297)),1)="Y",LEFT(UPPER(TRIM(D297)),1)="Z"),IF(MID("TRWAGMYFPDXBNJZSQVHLCKE",MOD(VALUE(SUBSTITUTE(SUBSTITUTE(SUBSTITUTE(LEFT(UPPER(TRIM(D297)),8),"X","0"),"Y","1"),"Z","2")),23)+1,1)=RIGHT(UPPER(TRIM(D297)),1),"OK","REVISAR"),IF(OR(RIGHT(UPPER(TRIM(D297)),1)=TEXT(MOD(10-MOD((VALUE(MID(UPPER(TRIM(D297)),3,1))+VALUE(MID(UPPER(TRIM(D297)),5,1))+VALUE(MID(UPPER(TRIM(D297)),7,1)))+(INT(2*VALUE(MID(UPPER(TRIM(D297)),2,1))/10)+MOD(2*VALUE(MID(UPPER(TRIM(D297)),2,1)),10))+(INT(2*VALUE(MID(UPPER(TRIM(D297)),4,1))/10)+MOD(2*VALUE(MID(UPPER(TRIM(D297)),4,1)),10))+(INT(2*VALUE(MID(UPPER(TRIM(D297)),6,1))/10)+MOD(2*VALUE(MID(UPPER(TRIM(D297)),6,1)),10))+(INT(2*VALUE(MID(UPPER(TRIM(D297)),8,1))/10)+MOD(2*VALUE(MID(UPPER(TRIM(D297)),8,1)),10)),10),10),"0"),RIGHT(UPPER(TRIM(D297)),1)=MID("JABCDEFGHI",MOD(10-MOD((VALUE(MID(UPPER(TRIM(D297)),3,1))+VALUE(MID(UPPER(TRIM(D297)),5,1))+VALUE(MID(UPPER(TRIM(D297)),7,1)))+(INT(2*VALUE(MID(UPPER(TRIM(D297)),2,1))/10)+MOD(2*VALUE(MID(UPPER(TRIM(D297)),2,1)),10))+(INT(2*VALUE(MID(UPPER(TRIM(D297)),4,1))/10)+MOD(2*VALUE(MID(UPPER(TRIM(D297)),4,1)),10))+(INT(2*VALUE(MID(UPPER(TRIM(D297)),6,1))/10)+MOD(2*VALUE(MID(UPPER(TRIM(D297)),6,1)),10))+(INT(2*VALUE(MID(UPPER(TRIM(D297)),8,1))/10)+MOD(2*VALUE(MID(UPPER(TRIM(D297)),8,1)),10)),10),10)+1,1)),"OK","REVISAR")),"REVISAR")))</f>
        <v/>
      </c>
      <c r="Q297">
        <f>IF(B297="","",IF(COUNTIFS($B$2:$B$501,B297,$D$2:$D$501,D297)&gt;1,"DUPLICADA",""))</f>
        <v/>
      </c>
      <c r="R297">
        <f>IF(A297="","",ROUNDUP(MONTH(A297)/3,0))</f>
        <v/>
      </c>
      <c r="S297" s="3" t="n"/>
    </row>
    <row r="298">
      <c r="A298" s="2" t="n"/>
      <c r="B298" s="3" t="n"/>
      <c r="C298" s="3" t="n"/>
      <c r="D298" s="3" t="n"/>
      <c r="E298" s="4" t="n"/>
      <c r="F298" s="4" t="n"/>
      <c r="G298" s="4" t="n"/>
      <c r="H298" s="4" t="n"/>
      <c r="I298" s="5">
        <f>IF(E298="","",ROUND(E298*0.21,2))</f>
        <v/>
      </c>
      <c r="J298" s="5">
        <f>IF(F298="","",ROUND(F298*0.1,2))</f>
        <v/>
      </c>
      <c r="K298" s="5">
        <f>IF(G298="","",ROUND(G298*0.04,2))</f>
        <v/>
      </c>
      <c r="L298" s="4" t="n"/>
      <c r="M298" s="4" t="n"/>
      <c r="N298" s="5">
        <f>IF(A298="","",SUM(E298:K298)-N(L298))</f>
        <v/>
      </c>
      <c r="O298">
        <f>IF(OR(A298="",M298=""),"",IF(ABS(M298-N298)&lt;=0.02,"OK","REVISAR"))</f>
        <v/>
      </c>
      <c r="P298">
        <f>IF(D298="","",IF(LEN(TRIM(D298))&lt;&gt;9,"REVISAR",IFERROR(IF(OR(ISNUMBER(VALUE(LEFT(UPPER(TRIM(D298)),1))),LEFT(UPPER(TRIM(D298)),1)="X",LEFT(UPPER(TRIM(D298)),1)="Y",LEFT(UPPER(TRIM(D298)),1)="Z"),IF(MID("TRWAGMYFPDXBNJZSQVHLCKE",MOD(VALUE(SUBSTITUTE(SUBSTITUTE(SUBSTITUTE(LEFT(UPPER(TRIM(D298)),8),"X","0"),"Y","1"),"Z","2")),23)+1,1)=RIGHT(UPPER(TRIM(D298)),1),"OK","REVISAR"),IF(OR(RIGHT(UPPER(TRIM(D298)),1)=TEXT(MOD(10-MOD((VALUE(MID(UPPER(TRIM(D298)),3,1))+VALUE(MID(UPPER(TRIM(D298)),5,1))+VALUE(MID(UPPER(TRIM(D298)),7,1)))+(INT(2*VALUE(MID(UPPER(TRIM(D298)),2,1))/10)+MOD(2*VALUE(MID(UPPER(TRIM(D298)),2,1)),10))+(INT(2*VALUE(MID(UPPER(TRIM(D298)),4,1))/10)+MOD(2*VALUE(MID(UPPER(TRIM(D298)),4,1)),10))+(INT(2*VALUE(MID(UPPER(TRIM(D298)),6,1))/10)+MOD(2*VALUE(MID(UPPER(TRIM(D298)),6,1)),10))+(INT(2*VALUE(MID(UPPER(TRIM(D298)),8,1))/10)+MOD(2*VALUE(MID(UPPER(TRIM(D298)),8,1)),10)),10),10),"0"),RIGHT(UPPER(TRIM(D298)),1)=MID("JABCDEFGHI",MOD(10-MOD((VALUE(MID(UPPER(TRIM(D298)),3,1))+VALUE(MID(UPPER(TRIM(D298)),5,1))+VALUE(MID(UPPER(TRIM(D298)),7,1)))+(INT(2*VALUE(MID(UPPER(TRIM(D298)),2,1))/10)+MOD(2*VALUE(MID(UPPER(TRIM(D298)),2,1)),10))+(INT(2*VALUE(MID(UPPER(TRIM(D298)),4,1))/10)+MOD(2*VALUE(MID(UPPER(TRIM(D298)),4,1)),10))+(INT(2*VALUE(MID(UPPER(TRIM(D298)),6,1))/10)+MOD(2*VALUE(MID(UPPER(TRIM(D298)),6,1)),10))+(INT(2*VALUE(MID(UPPER(TRIM(D298)),8,1))/10)+MOD(2*VALUE(MID(UPPER(TRIM(D298)),8,1)),10)),10),10)+1,1)),"OK","REVISAR")),"REVISAR")))</f>
        <v/>
      </c>
      <c r="Q298">
        <f>IF(B298="","",IF(COUNTIFS($B$2:$B$501,B298,$D$2:$D$501,D298)&gt;1,"DUPLICADA",""))</f>
        <v/>
      </c>
      <c r="R298">
        <f>IF(A298="","",ROUNDUP(MONTH(A298)/3,0))</f>
        <v/>
      </c>
      <c r="S298" s="3" t="n"/>
    </row>
    <row r="299">
      <c r="A299" s="2" t="n"/>
      <c r="B299" s="3" t="n"/>
      <c r="C299" s="3" t="n"/>
      <c r="D299" s="3" t="n"/>
      <c r="E299" s="4" t="n"/>
      <c r="F299" s="4" t="n"/>
      <c r="G299" s="4" t="n"/>
      <c r="H299" s="4" t="n"/>
      <c r="I299" s="5">
        <f>IF(E299="","",ROUND(E299*0.21,2))</f>
        <v/>
      </c>
      <c r="J299" s="5">
        <f>IF(F299="","",ROUND(F299*0.1,2))</f>
        <v/>
      </c>
      <c r="K299" s="5">
        <f>IF(G299="","",ROUND(G299*0.04,2))</f>
        <v/>
      </c>
      <c r="L299" s="4" t="n"/>
      <c r="M299" s="4" t="n"/>
      <c r="N299" s="5">
        <f>IF(A299="","",SUM(E299:K299)-N(L299))</f>
        <v/>
      </c>
      <c r="O299">
        <f>IF(OR(A299="",M299=""),"",IF(ABS(M299-N299)&lt;=0.02,"OK","REVISAR"))</f>
        <v/>
      </c>
      <c r="P299">
        <f>IF(D299="","",IF(LEN(TRIM(D299))&lt;&gt;9,"REVISAR",IFERROR(IF(OR(ISNUMBER(VALUE(LEFT(UPPER(TRIM(D299)),1))),LEFT(UPPER(TRIM(D299)),1)="X",LEFT(UPPER(TRIM(D299)),1)="Y",LEFT(UPPER(TRIM(D299)),1)="Z"),IF(MID("TRWAGMYFPDXBNJZSQVHLCKE",MOD(VALUE(SUBSTITUTE(SUBSTITUTE(SUBSTITUTE(LEFT(UPPER(TRIM(D299)),8),"X","0"),"Y","1"),"Z","2")),23)+1,1)=RIGHT(UPPER(TRIM(D299)),1),"OK","REVISAR"),IF(OR(RIGHT(UPPER(TRIM(D299)),1)=TEXT(MOD(10-MOD((VALUE(MID(UPPER(TRIM(D299)),3,1))+VALUE(MID(UPPER(TRIM(D299)),5,1))+VALUE(MID(UPPER(TRIM(D299)),7,1)))+(INT(2*VALUE(MID(UPPER(TRIM(D299)),2,1))/10)+MOD(2*VALUE(MID(UPPER(TRIM(D299)),2,1)),10))+(INT(2*VALUE(MID(UPPER(TRIM(D299)),4,1))/10)+MOD(2*VALUE(MID(UPPER(TRIM(D299)),4,1)),10))+(INT(2*VALUE(MID(UPPER(TRIM(D299)),6,1))/10)+MOD(2*VALUE(MID(UPPER(TRIM(D299)),6,1)),10))+(INT(2*VALUE(MID(UPPER(TRIM(D299)),8,1))/10)+MOD(2*VALUE(MID(UPPER(TRIM(D299)),8,1)),10)),10),10),"0"),RIGHT(UPPER(TRIM(D299)),1)=MID("JABCDEFGHI",MOD(10-MOD((VALUE(MID(UPPER(TRIM(D299)),3,1))+VALUE(MID(UPPER(TRIM(D299)),5,1))+VALUE(MID(UPPER(TRIM(D299)),7,1)))+(INT(2*VALUE(MID(UPPER(TRIM(D299)),2,1))/10)+MOD(2*VALUE(MID(UPPER(TRIM(D299)),2,1)),10))+(INT(2*VALUE(MID(UPPER(TRIM(D299)),4,1))/10)+MOD(2*VALUE(MID(UPPER(TRIM(D299)),4,1)),10))+(INT(2*VALUE(MID(UPPER(TRIM(D299)),6,1))/10)+MOD(2*VALUE(MID(UPPER(TRIM(D299)),6,1)),10))+(INT(2*VALUE(MID(UPPER(TRIM(D299)),8,1))/10)+MOD(2*VALUE(MID(UPPER(TRIM(D299)),8,1)),10)),10),10)+1,1)),"OK","REVISAR")),"REVISAR")))</f>
        <v/>
      </c>
      <c r="Q299">
        <f>IF(B299="","",IF(COUNTIFS($B$2:$B$501,B299,$D$2:$D$501,D299)&gt;1,"DUPLICADA",""))</f>
        <v/>
      </c>
      <c r="R299">
        <f>IF(A299="","",ROUNDUP(MONTH(A299)/3,0))</f>
        <v/>
      </c>
      <c r="S299" s="3" t="n"/>
    </row>
    <row r="300">
      <c r="A300" s="2" t="n"/>
      <c r="B300" s="3" t="n"/>
      <c r="C300" s="3" t="n"/>
      <c r="D300" s="3" t="n"/>
      <c r="E300" s="4" t="n"/>
      <c r="F300" s="4" t="n"/>
      <c r="G300" s="4" t="n"/>
      <c r="H300" s="4" t="n"/>
      <c r="I300" s="5">
        <f>IF(E300="","",ROUND(E300*0.21,2))</f>
        <v/>
      </c>
      <c r="J300" s="5">
        <f>IF(F300="","",ROUND(F300*0.1,2))</f>
        <v/>
      </c>
      <c r="K300" s="5">
        <f>IF(G300="","",ROUND(G300*0.04,2))</f>
        <v/>
      </c>
      <c r="L300" s="4" t="n"/>
      <c r="M300" s="4" t="n"/>
      <c r="N300" s="5">
        <f>IF(A300="","",SUM(E300:K300)-N(L300))</f>
        <v/>
      </c>
      <c r="O300">
        <f>IF(OR(A300="",M300=""),"",IF(ABS(M300-N300)&lt;=0.02,"OK","REVISAR"))</f>
        <v/>
      </c>
      <c r="P300">
        <f>IF(D300="","",IF(LEN(TRIM(D300))&lt;&gt;9,"REVISAR",IFERROR(IF(OR(ISNUMBER(VALUE(LEFT(UPPER(TRIM(D300)),1))),LEFT(UPPER(TRIM(D300)),1)="X",LEFT(UPPER(TRIM(D300)),1)="Y",LEFT(UPPER(TRIM(D300)),1)="Z"),IF(MID("TRWAGMYFPDXBNJZSQVHLCKE",MOD(VALUE(SUBSTITUTE(SUBSTITUTE(SUBSTITUTE(LEFT(UPPER(TRIM(D300)),8),"X","0"),"Y","1"),"Z","2")),23)+1,1)=RIGHT(UPPER(TRIM(D300)),1),"OK","REVISAR"),IF(OR(RIGHT(UPPER(TRIM(D300)),1)=TEXT(MOD(10-MOD((VALUE(MID(UPPER(TRIM(D300)),3,1))+VALUE(MID(UPPER(TRIM(D300)),5,1))+VALUE(MID(UPPER(TRIM(D300)),7,1)))+(INT(2*VALUE(MID(UPPER(TRIM(D300)),2,1))/10)+MOD(2*VALUE(MID(UPPER(TRIM(D300)),2,1)),10))+(INT(2*VALUE(MID(UPPER(TRIM(D300)),4,1))/10)+MOD(2*VALUE(MID(UPPER(TRIM(D300)),4,1)),10))+(INT(2*VALUE(MID(UPPER(TRIM(D300)),6,1))/10)+MOD(2*VALUE(MID(UPPER(TRIM(D300)),6,1)),10))+(INT(2*VALUE(MID(UPPER(TRIM(D300)),8,1))/10)+MOD(2*VALUE(MID(UPPER(TRIM(D300)),8,1)),10)),10),10),"0"),RIGHT(UPPER(TRIM(D300)),1)=MID("JABCDEFGHI",MOD(10-MOD((VALUE(MID(UPPER(TRIM(D300)),3,1))+VALUE(MID(UPPER(TRIM(D300)),5,1))+VALUE(MID(UPPER(TRIM(D300)),7,1)))+(INT(2*VALUE(MID(UPPER(TRIM(D300)),2,1))/10)+MOD(2*VALUE(MID(UPPER(TRIM(D300)),2,1)),10))+(INT(2*VALUE(MID(UPPER(TRIM(D300)),4,1))/10)+MOD(2*VALUE(MID(UPPER(TRIM(D300)),4,1)),10))+(INT(2*VALUE(MID(UPPER(TRIM(D300)),6,1))/10)+MOD(2*VALUE(MID(UPPER(TRIM(D300)),6,1)),10))+(INT(2*VALUE(MID(UPPER(TRIM(D300)),8,1))/10)+MOD(2*VALUE(MID(UPPER(TRIM(D300)),8,1)),10)),10),10)+1,1)),"OK","REVISAR")),"REVISAR")))</f>
        <v/>
      </c>
      <c r="Q300">
        <f>IF(B300="","",IF(COUNTIFS($B$2:$B$501,B300,$D$2:$D$501,D300)&gt;1,"DUPLICADA",""))</f>
        <v/>
      </c>
      <c r="R300">
        <f>IF(A300="","",ROUNDUP(MONTH(A300)/3,0))</f>
        <v/>
      </c>
      <c r="S300" s="3" t="n"/>
    </row>
    <row r="301">
      <c r="A301" s="2" t="n"/>
      <c r="B301" s="3" t="n"/>
      <c r="C301" s="3" t="n"/>
      <c r="D301" s="3" t="n"/>
      <c r="E301" s="4" t="n"/>
      <c r="F301" s="4" t="n"/>
      <c r="G301" s="4" t="n"/>
      <c r="H301" s="4" t="n"/>
      <c r="I301" s="5">
        <f>IF(E301="","",ROUND(E301*0.21,2))</f>
        <v/>
      </c>
      <c r="J301" s="5">
        <f>IF(F301="","",ROUND(F301*0.1,2))</f>
        <v/>
      </c>
      <c r="K301" s="5">
        <f>IF(G301="","",ROUND(G301*0.04,2))</f>
        <v/>
      </c>
      <c r="L301" s="4" t="n"/>
      <c r="M301" s="4" t="n"/>
      <c r="N301" s="5">
        <f>IF(A301="","",SUM(E301:K301)-N(L301))</f>
        <v/>
      </c>
      <c r="O301">
        <f>IF(OR(A301="",M301=""),"",IF(ABS(M301-N301)&lt;=0.02,"OK","REVISAR"))</f>
        <v/>
      </c>
      <c r="P301">
        <f>IF(D301="","",IF(LEN(TRIM(D301))&lt;&gt;9,"REVISAR",IFERROR(IF(OR(ISNUMBER(VALUE(LEFT(UPPER(TRIM(D301)),1))),LEFT(UPPER(TRIM(D301)),1)="X",LEFT(UPPER(TRIM(D301)),1)="Y",LEFT(UPPER(TRIM(D301)),1)="Z"),IF(MID("TRWAGMYFPDXBNJZSQVHLCKE",MOD(VALUE(SUBSTITUTE(SUBSTITUTE(SUBSTITUTE(LEFT(UPPER(TRIM(D301)),8),"X","0"),"Y","1"),"Z","2")),23)+1,1)=RIGHT(UPPER(TRIM(D301)),1),"OK","REVISAR"),IF(OR(RIGHT(UPPER(TRIM(D301)),1)=TEXT(MOD(10-MOD((VALUE(MID(UPPER(TRIM(D301)),3,1))+VALUE(MID(UPPER(TRIM(D301)),5,1))+VALUE(MID(UPPER(TRIM(D301)),7,1)))+(INT(2*VALUE(MID(UPPER(TRIM(D301)),2,1))/10)+MOD(2*VALUE(MID(UPPER(TRIM(D301)),2,1)),10))+(INT(2*VALUE(MID(UPPER(TRIM(D301)),4,1))/10)+MOD(2*VALUE(MID(UPPER(TRIM(D301)),4,1)),10))+(INT(2*VALUE(MID(UPPER(TRIM(D301)),6,1))/10)+MOD(2*VALUE(MID(UPPER(TRIM(D301)),6,1)),10))+(INT(2*VALUE(MID(UPPER(TRIM(D301)),8,1))/10)+MOD(2*VALUE(MID(UPPER(TRIM(D301)),8,1)),10)),10),10),"0"),RIGHT(UPPER(TRIM(D301)),1)=MID("JABCDEFGHI",MOD(10-MOD((VALUE(MID(UPPER(TRIM(D301)),3,1))+VALUE(MID(UPPER(TRIM(D301)),5,1))+VALUE(MID(UPPER(TRIM(D301)),7,1)))+(INT(2*VALUE(MID(UPPER(TRIM(D301)),2,1))/10)+MOD(2*VALUE(MID(UPPER(TRIM(D301)),2,1)),10))+(INT(2*VALUE(MID(UPPER(TRIM(D301)),4,1))/10)+MOD(2*VALUE(MID(UPPER(TRIM(D301)),4,1)),10))+(INT(2*VALUE(MID(UPPER(TRIM(D301)),6,1))/10)+MOD(2*VALUE(MID(UPPER(TRIM(D301)),6,1)),10))+(INT(2*VALUE(MID(UPPER(TRIM(D301)),8,1))/10)+MOD(2*VALUE(MID(UPPER(TRIM(D301)),8,1)),10)),10),10)+1,1)),"OK","REVISAR")),"REVISAR")))</f>
        <v/>
      </c>
      <c r="Q301">
        <f>IF(B301="","",IF(COUNTIFS($B$2:$B$501,B301,$D$2:$D$501,D301)&gt;1,"DUPLICADA",""))</f>
        <v/>
      </c>
      <c r="R301">
        <f>IF(A301="","",ROUNDUP(MONTH(A301)/3,0))</f>
        <v/>
      </c>
      <c r="S301" s="3" t="n"/>
    </row>
    <row r="302">
      <c r="A302" s="2" t="n"/>
      <c r="B302" s="3" t="n"/>
      <c r="C302" s="3" t="n"/>
      <c r="D302" s="3" t="n"/>
      <c r="E302" s="4" t="n"/>
      <c r="F302" s="4" t="n"/>
      <c r="G302" s="4" t="n"/>
      <c r="H302" s="4" t="n"/>
      <c r="I302" s="5">
        <f>IF(E302="","",ROUND(E302*0.21,2))</f>
        <v/>
      </c>
      <c r="J302" s="5">
        <f>IF(F302="","",ROUND(F302*0.1,2))</f>
        <v/>
      </c>
      <c r="K302" s="5">
        <f>IF(G302="","",ROUND(G302*0.04,2))</f>
        <v/>
      </c>
      <c r="L302" s="4" t="n"/>
      <c r="M302" s="4" t="n"/>
      <c r="N302" s="5">
        <f>IF(A302="","",SUM(E302:K302)-N(L302))</f>
        <v/>
      </c>
      <c r="O302">
        <f>IF(OR(A302="",M302=""),"",IF(ABS(M302-N302)&lt;=0.02,"OK","REVISAR"))</f>
        <v/>
      </c>
      <c r="P302">
        <f>IF(D302="","",IF(LEN(TRIM(D302))&lt;&gt;9,"REVISAR",IFERROR(IF(OR(ISNUMBER(VALUE(LEFT(UPPER(TRIM(D302)),1))),LEFT(UPPER(TRIM(D302)),1)="X",LEFT(UPPER(TRIM(D302)),1)="Y",LEFT(UPPER(TRIM(D302)),1)="Z"),IF(MID("TRWAGMYFPDXBNJZSQVHLCKE",MOD(VALUE(SUBSTITUTE(SUBSTITUTE(SUBSTITUTE(LEFT(UPPER(TRIM(D302)),8),"X","0"),"Y","1"),"Z","2")),23)+1,1)=RIGHT(UPPER(TRIM(D302)),1),"OK","REVISAR"),IF(OR(RIGHT(UPPER(TRIM(D302)),1)=TEXT(MOD(10-MOD((VALUE(MID(UPPER(TRIM(D302)),3,1))+VALUE(MID(UPPER(TRIM(D302)),5,1))+VALUE(MID(UPPER(TRIM(D302)),7,1)))+(INT(2*VALUE(MID(UPPER(TRIM(D302)),2,1))/10)+MOD(2*VALUE(MID(UPPER(TRIM(D302)),2,1)),10))+(INT(2*VALUE(MID(UPPER(TRIM(D302)),4,1))/10)+MOD(2*VALUE(MID(UPPER(TRIM(D302)),4,1)),10))+(INT(2*VALUE(MID(UPPER(TRIM(D302)),6,1))/10)+MOD(2*VALUE(MID(UPPER(TRIM(D302)),6,1)),10))+(INT(2*VALUE(MID(UPPER(TRIM(D302)),8,1))/10)+MOD(2*VALUE(MID(UPPER(TRIM(D302)),8,1)),10)),10),10),"0"),RIGHT(UPPER(TRIM(D302)),1)=MID("JABCDEFGHI",MOD(10-MOD((VALUE(MID(UPPER(TRIM(D302)),3,1))+VALUE(MID(UPPER(TRIM(D302)),5,1))+VALUE(MID(UPPER(TRIM(D302)),7,1)))+(INT(2*VALUE(MID(UPPER(TRIM(D302)),2,1))/10)+MOD(2*VALUE(MID(UPPER(TRIM(D302)),2,1)),10))+(INT(2*VALUE(MID(UPPER(TRIM(D302)),4,1))/10)+MOD(2*VALUE(MID(UPPER(TRIM(D302)),4,1)),10))+(INT(2*VALUE(MID(UPPER(TRIM(D302)),6,1))/10)+MOD(2*VALUE(MID(UPPER(TRIM(D302)),6,1)),10))+(INT(2*VALUE(MID(UPPER(TRIM(D302)),8,1))/10)+MOD(2*VALUE(MID(UPPER(TRIM(D302)),8,1)),10)),10),10)+1,1)),"OK","REVISAR")),"REVISAR")))</f>
        <v/>
      </c>
      <c r="Q302">
        <f>IF(B302="","",IF(COUNTIFS($B$2:$B$501,B302,$D$2:$D$501,D302)&gt;1,"DUPLICADA",""))</f>
        <v/>
      </c>
      <c r="R302">
        <f>IF(A302="","",ROUNDUP(MONTH(A302)/3,0))</f>
        <v/>
      </c>
      <c r="S302" s="3" t="n"/>
    </row>
    <row r="303">
      <c r="A303" s="2" t="n"/>
      <c r="B303" s="3" t="n"/>
      <c r="C303" s="3" t="n"/>
      <c r="D303" s="3" t="n"/>
      <c r="E303" s="4" t="n"/>
      <c r="F303" s="4" t="n"/>
      <c r="G303" s="4" t="n"/>
      <c r="H303" s="4" t="n"/>
      <c r="I303" s="5">
        <f>IF(E303="","",ROUND(E303*0.21,2))</f>
        <v/>
      </c>
      <c r="J303" s="5">
        <f>IF(F303="","",ROUND(F303*0.1,2))</f>
        <v/>
      </c>
      <c r="K303" s="5">
        <f>IF(G303="","",ROUND(G303*0.04,2))</f>
        <v/>
      </c>
      <c r="L303" s="4" t="n"/>
      <c r="M303" s="4" t="n"/>
      <c r="N303" s="5">
        <f>IF(A303="","",SUM(E303:K303)-N(L303))</f>
        <v/>
      </c>
      <c r="O303">
        <f>IF(OR(A303="",M303=""),"",IF(ABS(M303-N303)&lt;=0.02,"OK","REVISAR"))</f>
        <v/>
      </c>
      <c r="P303">
        <f>IF(D303="","",IF(LEN(TRIM(D303))&lt;&gt;9,"REVISAR",IFERROR(IF(OR(ISNUMBER(VALUE(LEFT(UPPER(TRIM(D303)),1))),LEFT(UPPER(TRIM(D303)),1)="X",LEFT(UPPER(TRIM(D303)),1)="Y",LEFT(UPPER(TRIM(D303)),1)="Z"),IF(MID("TRWAGMYFPDXBNJZSQVHLCKE",MOD(VALUE(SUBSTITUTE(SUBSTITUTE(SUBSTITUTE(LEFT(UPPER(TRIM(D303)),8),"X","0"),"Y","1"),"Z","2")),23)+1,1)=RIGHT(UPPER(TRIM(D303)),1),"OK","REVISAR"),IF(OR(RIGHT(UPPER(TRIM(D303)),1)=TEXT(MOD(10-MOD((VALUE(MID(UPPER(TRIM(D303)),3,1))+VALUE(MID(UPPER(TRIM(D303)),5,1))+VALUE(MID(UPPER(TRIM(D303)),7,1)))+(INT(2*VALUE(MID(UPPER(TRIM(D303)),2,1))/10)+MOD(2*VALUE(MID(UPPER(TRIM(D303)),2,1)),10))+(INT(2*VALUE(MID(UPPER(TRIM(D303)),4,1))/10)+MOD(2*VALUE(MID(UPPER(TRIM(D303)),4,1)),10))+(INT(2*VALUE(MID(UPPER(TRIM(D303)),6,1))/10)+MOD(2*VALUE(MID(UPPER(TRIM(D303)),6,1)),10))+(INT(2*VALUE(MID(UPPER(TRIM(D303)),8,1))/10)+MOD(2*VALUE(MID(UPPER(TRIM(D303)),8,1)),10)),10),10),"0"),RIGHT(UPPER(TRIM(D303)),1)=MID("JABCDEFGHI",MOD(10-MOD((VALUE(MID(UPPER(TRIM(D303)),3,1))+VALUE(MID(UPPER(TRIM(D303)),5,1))+VALUE(MID(UPPER(TRIM(D303)),7,1)))+(INT(2*VALUE(MID(UPPER(TRIM(D303)),2,1))/10)+MOD(2*VALUE(MID(UPPER(TRIM(D303)),2,1)),10))+(INT(2*VALUE(MID(UPPER(TRIM(D303)),4,1))/10)+MOD(2*VALUE(MID(UPPER(TRIM(D303)),4,1)),10))+(INT(2*VALUE(MID(UPPER(TRIM(D303)),6,1))/10)+MOD(2*VALUE(MID(UPPER(TRIM(D303)),6,1)),10))+(INT(2*VALUE(MID(UPPER(TRIM(D303)),8,1))/10)+MOD(2*VALUE(MID(UPPER(TRIM(D303)),8,1)),10)),10),10)+1,1)),"OK","REVISAR")),"REVISAR")))</f>
        <v/>
      </c>
      <c r="Q303">
        <f>IF(B303="","",IF(COUNTIFS($B$2:$B$501,B303,$D$2:$D$501,D303)&gt;1,"DUPLICADA",""))</f>
        <v/>
      </c>
      <c r="R303">
        <f>IF(A303="","",ROUNDUP(MONTH(A303)/3,0))</f>
        <v/>
      </c>
      <c r="S303" s="3" t="n"/>
    </row>
    <row r="304">
      <c r="A304" s="2" t="n"/>
      <c r="B304" s="3" t="n"/>
      <c r="C304" s="3" t="n"/>
      <c r="D304" s="3" t="n"/>
      <c r="E304" s="4" t="n"/>
      <c r="F304" s="4" t="n"/>
      <c r="G304" s="4" t="n"/>
      <c r="H304" s="4" t="n"/>
      <c r="I304" s="5">
        <f>IF(E304="","",ROUND(E304*0.21,2))</f>
        <v/>
      </c>
      <c r="J304" s="5">
        <f>IF(F304="","",ROUND(F304*0.1,2))</f>
        <v/>
      </c>
      <c r="K304" s="5">
        <f>IF(G304="","",ROUND(G304*0.04,2))</f>
        <v/>
      </c>
      <c r="L304" s="4" t="n"/>
      <c r="M304" s="4" t="n"/>
      <c r="N304" s="5">
        <f>IF(A304="","",SUM(E304:K304)-N(L304))</f>
        <v/>
      </c>
      <c r="O304">
        <f>IF(OR(A304="",M304=""),"",IF(ABS(M304-N304)&lt;=0.02,"OK","REVISAR"))</f>
        <v/>
      </c>
      <c r="P304">
        <f>IF(D304="","",IF(LEN(TRIM(D304))&lt;&gt;9,"REVISAR",IFERROR(IF(OR(ISNUMBER(VALUE(LEFT(UPPER(TRIM(D304)),1))),LEFT(UPPER(TRIM(D304)),1)="X",LEFT(UPPER(TRIM(D304)),1)="Y",LEFT(UPPER(TRIM(D304)),1)="Z"),IF(MID("TRWAGMYFPDXBNJZSQVHLCKE",MOD(VALUE(SUBSTITUTE(SUBSTITUTE(SUBSTITUTE(LEFT(UPPER(TRIM(D304)),8),"X","0"),"Y","1"),"Z","2")),23)+1,1)=RIGHT(UPPER(TRIM(D304)),1),"OK","REVISAR"),IF(OR(RIGHT(UPPER(TRIM(D304)),1)=TEXT(MOD(10-MOD((VALUE(MID(UPPER(TRIM(D304)),3,1))+VALUE(MID(UPPER(TRIM(D304)),5,1))+VALUE(MID(UPPER(TRIM(D304)),7,1)))+(INT(2*VALUE(MID(UPPER(TRIM(D304)),2,1))/10)+MOD(2*VALUE(MID(UPPER(TRIM(D304)),2,1)),10))+(INT(2*VALUE(MID(UPPER(TRIM(D304)),4,1))/10)+MOD(2*VALUE(MID(UPPER(TRIM(D304)),4,1)),10))+(INT(2*VALUE(MID(UPPER(TRIM(D304)),6,1))/10)+MOD(2*VALUE(MID(UPPER(TRIM(D304)),6,1)),10))+(INT(2*VALUE(MID(UPPER(TRIM(D304)),8,1))/10)+MOD(2*VALUE(MID(UPPER(TRIM(D304)),8,1)),10)),10),10),"0"),RIGHT(UPPER(TRIM(D304)),1)=MID("JABCDEFGHI",MOD(10-MOD((VALUE(MID(UPPER(TRIM(D304)),3,1))+VALUE(MID(UPPER(TRIM(D304)),5,1))+VALUE(MID(UPPER(TRIM(D304)),7,1)))+(INT(2*VALUE(MID(UPPER(TRIM(D304)),2,1))/10)+MOD(2*VALUE(MID(UPPER(TRIM(D304)),2,1)),10))+(INT(2*VALUE(MID(UPPER(TRIM(D304)),4,1))/10)+MOD(2*VALUE(MID(UPPER(TRIM(D304)),4,1)),10))+(INT(2*VALUE(MID(UPPER(TRIM(D304)),6,1))/10)+MOD(2*VALUE(MID(UPPER(TRIM(D304)),6,1)),10))+(INT(2*VALUE(MID(UPPER(TRIM(D304)),8,1))/10)+MOD(2*VALUE(MID(UPPER(TRIM(D304)),8,1)),10)),10),10)+1,1)),"OK","REVISAR")),"REVISAR")))</f>
        <v/>
      </c>
      <c r="Q304">
        <f>IF(B304="","",IF(COUNTIFS($B$2:$B$501,B304,$D$2:$D$501,D304)&gt;1,"DUPLICADA",""))</f>
        <v/>
      </c>
      <c r="R304">
        <f>IF(A304="","",ROUNDUP(MONTH(A304)/3,0))</f>
        <v/>
      </c>
      <c r="S304" s="3" t="n"/>
    </row>
    <row r="305">
      <c r="A305" s="2" t="n"/>
      <c r="B305" s="3" t="n"/>
      <c r="C305" s="3" t="n"/>
      <c r="D305" s="3" t="n"/>
      <c r="E305" s="4" t="n"/>
      <c r="F305" s="4" t="n"/>
      <c r="G305" s="4" t="n"/>
      <c r="H305" s="4" t="n"/>
      <c r="I305" s="5">
        <f>IF(E305="","",ROUND(E305*0.21,2))</f>
        <v/>
      </c>
      <c r="J305" s="5">
        <f>IF(F305="","",ROUND(F305*0.1,2))</f>
        <v/>
      </c>
      <c r="K305" s="5">
        <f>IF(G305="","",ROUND(G305*0.04,2))</f>
        <v/>
      </c>
      <c r="L305" s="4" t="n"/>
      <c r="M305" s="4" t="n"/>
      <c r="N305" s="5">
        <f>IF(A305="","",SUM(E305:K305)-N(L305))</f>
        <v/>
      </c>
      <c r="O305">
        <f>IF(OR(A305="",M305=""),"",IF(ABS(M305-N305)&lt;=0.02,"OK","REVISAR"))</f>
        <v/>
      </c>
      <c r="P305">
        <f>IF(D305="","",IF(LEN(TRIM(D305))&lt;&gt;9,"REVISAR",IFERROR(IF(OR(ISNUMBER(VALUE(LEFT(UPPER(TRIM(D305)),1))),LEFT(UPPER(TRIM(D305)),1)="X",LEFT(UPPER(TRIM(D305)),1)="Y",LEFT(UPPER(TRIM(D305)),1)="Z"),IF(MID("TRWAGMYFPDXBNJZSQVHLCKE",MOD(VALUE(SUBSTITUTE(SUBSTITUTE(SUBSTITUTE(LEFT(UPPER(TRIM(D305)),8),"X","0"),"Y","1"),"Z","2")),23)+1,1)=RIGHT(UPPER(TRIM(D305)),1),"OK","REVISAR"),IF(OR(RIGHT(UPPER(TRIM(D305)),1)=TEXT(MOD(10-MOD((VALUE(MID(UPPER(TRIM(D305)),3,1))+VALUE(MID(UPPER(TRIM(D305)),5,1))+VALUE(MID(UPPER(TRIM(D305)),7,1)))+(INT(2*VALUE(MID(UPPER(TRIM(D305)),2,1))/10)+MOD(2*VALUE(MID(UPPER(TRIM(D305)),2,1)),10))+(INT(2*VALUE(MID(UPPER(TRIM(D305)),4,1))/10)+MOD(2*VALUE(MID(UPPER(TRIM(D305)),4,1)),10))+(INT(2*VALUE(MID(UPPER(TRIM(D305)),6,1))/10)+MOD(2*VALUE(MID(UPPER(TRIM(D305)),6,1)),10))+(INT(2*VALUE(MID(UPPER(TRIM(D305)),8,1))/10)+MOD(2*VALUE(MID(UPPER(TRIM(D305)),8,1)),10)),10),10),"0"),RIGHT(UPPER(TRIM(D305)),1)=MID("JABCDEFGHI",MOD(10-MOD((VALUE(MID(UPPER(TRIM(D305)),3,1))+VALUE(MID(UPPER(TRIM(D305)),5,1))+VALUE(MID(UPPER(TRIM(D305)),7,1)))+(INT(2*VALUE(MID(UPPER(TRIM(D305)),2,1))/10)+MOD(2*VALUE(MID(UPPER(TRIM(D305)),2,1)),10))+(INT(2*VALUE(MID(UPPER(TRIM(D305)),4,1))/10)+MOD(2*VALUE(MID(UPPER(TRIM(D305)),4,1)),10))+(INT(2*VALUE(MID(UPPER(TRIM(D305)),6,1))/10)+MOD(2*VALUE(MID(UPPER(TRIM(D305)),6,1)),10))+(INT(2*VALUE(MID(UPPER(TRIM(D305)),8,1))/10)+MOD(2*VALUE(MID(UPPER(TRIM(D305)),8,1)),10)),10),10)+1,1)),"OK","REVISAR")),"REVISAR")))</f>
        <v/>
      </c>
      <c r="Q305">
        <f>IF(B305="","",IF(COUNTIFS($B$2:$B$501,B305,$D$2:$D$501,D305)&gt;1,"DUPLICADA",""))</f>
        <v/>
      </c>
      <c r="R305">
        <f>IF(A305="","",ROUNDUP(MONTH(A305)/3,0))</f>
        <v/>
      </c>
      <c r="S305" s="3" t="n"/>
    </row>
    <row r="306">
      <c r="A306" s="2" t="n"/>
      <c r="B306" s="3" t="n"/>
      <c r="C306" s="3" t="n"/>
      <c r="D306" s="3" t="n"/>
      <c r="E306" s="4" t="n"/>
      <c r="F306" s="4" t="n"/>
      <c r="G306" s="4" t="n"/>
      <c r="H306" s="4" t="n"/>
      <c r="I306" s="5">
        <f>IF(E306="","",ROUND(E306*0.21,2))</f>
        <v/>
      </c>
      <c r="J306" s="5">
        <f>IF(F306="","",ROUND(F306*0.1,2))</f>
        <v/>
      </c>
      <c r="K306" s="5">
        <f>IF(G306="","",ROUND(G306*0.04,2))</f>
        <v/>
      </c>
      <c r="L306" s="4" t="n"/>
      <c r="M306" s="4" t="n"/>
      <c r="N306" s="5">
        <f>IF(A306="","",SUM(E306:K306)-N(L306))</f>
        <v/>
      </c>
      <c r="O306">
        <f>IF(OR(A306="",M306=""),"",IF(ABS(M306-N306)&lt;=0.02,"OK","REVISAR"))</f>
        <v/>
      </c>
      <c r="P306">
        <f>IF(D306="","",IF(LEN(TRIM(D306))&lt;&gt;9,"REVISAR",IFERROR(IF(OR(ISNUMBER(VALUE(LEFT(UPPER(TRIM(D306)),1))),LEFT(UPPER(TRIM(D306)),1)="X",LEFT(UPPER(TRIM(D306)),1)="Y",LEFT(UPPER(TRIM(D306)),1)="Z"),IF(MID("TRWAGMYFPDXBNJZSQVHLCKE",MOD(VALUE(SUBSTITUTE(SUBSTITUTE(SUBSTITUTE(LEFT(UPPER(TRIM(D306)),8),"X","0"),"Y","1"),"Z","2")),23)+1,1)=RIGHT(UPPER(TRIM(D306)),1),"OK","REVISAR"),IF(OR(RIGHT(UPPER(TRIM(D306)),1)=TEXT(MOD(10-MOD((VALUE(MID(UPPER(TRIM(D306)),3,1))+VALUE(MID(UPPER(TRIM(D306)),5,1))+VALUE(MID(UPPER(TRIM(D306)),7,1)))+(INT(2*VALUE(MID(UPPER(TRIM(D306)),2,1))/10)+MOD(2*VALUE(MID(UPPER(TRIM(D306)),2,1)),10))+(INT(2*VALUE(MID(UPPER(TRIM(D306)),4,1))/10)+MOD(2*VALUE(MID(UPPER(TRIM(D306)),4,1)),10))+(INT(2*VALUE(MID(UPPER(TRIM(D306)),6,1))/10)+MOD(2*VALUE(MID(UPPER(TRIM(D306)),6,1)),10))+(INT(2*VALUE(MID(UPPER(TRIM(D306)),8,1))/10)+MOD(2*VALUE(MID(UPPER(TRIM(D306)),8,1)),10)),10),10),"0"),RIGHT(UPPER(TRIM(D306)),1)=MID("JABCDEFGHI",MOD(10-MOD((VALUE(MID(UPPER(TRIM(D306)),3,1))+VALUE(MID(UPPER(TRIM(D306)),5,1))+VALUE(MID(UPPER(TRIM(D306)),7,1)))+(INT(2*VALUE(MID(UPPER(TRIM(D306)),2,1))/10)+MOD(2*VALUE(MID(UPPER(TRIM(D306)),2,1)),10))+(INT(2*VALUE(MID(UPPER(TRIM(D306)),4,1))/10)+MOD(2*VALUE(MID(UPPER(TRIM(D306)),4,1)),10))+(INT(2*VALUE(MID(UPPER(TRIM(D306)),6,1))/10)+MOD(2*VALUE(MID(UPPER(TRIM(D306)),6,1)),10))+(INT(2*VALUE(MID(UPPER(TRIM(D306)),8,1))/10)+MOD(2*VALUE(MID(UPPER(TRIM(D306)),8,1)),10)),10),10)+1,1)),"OK","REVISAR")),"REVISAR")))</f>
        <v/>
      </c>
      <c r="Q306">
        <f>IF(B306="","",IF(COUNTIFS($B$2:$B$501,B306,$D$2:$D$501,D306)&gt;1,"DUPLICADA",""))</f>
        <v/>
      </c>
      <c r="R306">
        <f>IF(A306="","",ROUNDUP(MONTH(A306)/3,0))</f>
        <v/>
      </c>
      <c r="S306" s="3" t="n"/>
    </row>
    <row r="307">
      <c r="A307" s="2" t="n"/>
      <c r="B307" s="3" t="n"/>
      <c r="C307" s="3" t="n"/>
      <c r="D307" s="3" t="n"/>
      <c r="E307" s="4" t="n"/>
      <c r="F307" s="4" t="n"/>
      <c r="G307" s="4" t="n"/>
      <c r="H307" s="4" t="n"/>
      <c r="I307" s="5">
        <f>IF(E307="","",ROUND(E307*0.21,2))</f>
        <v/>
      </c>
      <c r="J307" s="5">
        <f>IF(F307="","",ROUND(F307*0.1,2))</f>
        <v/>
      </c>
      <c r="K307" s="5">
        <f>IF(G307="","",ROUND(G307*0.04,2))</f>
        <v/>
      </c>
      <c r="L307" s="4" t="n"/>
      <c r="M307" s="4" t="n"/>
      <c r="N307" s="5">
        <f>IF(A307="","",SUM(E307:K307)-N(L307))</f>
        <v/>
      </c>
      <c r="O307">
        <f>IF(OR(A307="",M307=""),"",IF(ABS(M307-N307)&lt;=0.02,"OK","REVISAR"))</f>
        <v/>
      </c>
      <c r="P307">
        <f>IF(D307="","",IF(LEN(TRIM(D307))&lt;&gt;9,"REVISAR",IFERROR(IF(OR(ISNUMBER(VALUE(LEFT(UPPER(TRIM(D307)),1))),LEFT(UPPER(TRIM(D307)),1)="X",LEFT(UPPER(TRIM(D307)),1)="Y",LEFT(UPPER(TRIM(D307)),1)="Z"),IF(MID("TRWAGMYFPDXBNJZSQVHLCKE",MOD(VALUE(SUBSTITUTE(SUBSTITUTE(SUBSTITUTE(LEFT(UPPER(TRIM(D307)),8),"X","0"),"Y","1"),"Z","2")),23)+1,1)=RIGHT(UPPER(TRIM(D307)),1),"OK","REVISAR"),IF(OR(RIGHT(UPPER(TRIM(D307)),1)=TEXT(MOD(10-MOD((VALUE(MID(UPPER(TRIM(D307)),3,1))+VALUE(MID(UPPER(TRIM(D307)),5,1))+VALUE(MID(UPPER(TRIM(D307)),7,1)))+(INT(2*VALUE(MID(UPPER(TRIM(D307)),2,1))/10)+MOD(2*VALUE(MID(UPPER(TRIM(D307)),2,1)),10))+(INT(2*VALUE(MID(UPPER(TRIM(D307)),4,1))/10)+MOD(2*VALUE(MID(UPPER(TRIM(D307)),4,1)),10))+(INT(2*VALUE(MID(UPPER(TRIM(D307)),6,1))/10)+MOD(2*VALUE(MID(UPPER(TRIM(D307)),6,1)),10))+(INT(2*VALUE(MID(UPPER(TRIM(D307)),8,1))/10)+MOD(2*VALUE(MID(UPPER(TRIM(D307)),8,1)),10)),10),10),"0"),RIGHT(UPPER(TRIM(D307)),1)=MID("JABCDEFGHI",MOD(10-MOD((VALUE(MID(UPPER(TRIM(D307)),3,1))+VALUE(MID(UPPER(TRIM(D307)),5,1))+VALUE(MID(UPPER(TRIM(D307)),7,1)))+(INT(2*VALUE(MID(UPPER(TRIM(D307)),2,1))/10)+MOD(2*VALUE(MID(UPPER(TRIM(D307)),2,1)),10))+(INT(2*VALUE(MID(UPPER(TRIM(D307)),4,1))/10)+MOD(2*VALUE(MID(UPPER(TRIM(D307)),4,1)),10))+(INT(2*VALUE(MID(UPPER(TRIM(D307)),6,1))/10)+MOD(2*VALUE(MID(UPPER(TRIM(D307)),6,1)),10))+(INT(2*VALUE(MID(UPPER(TRIM(D307)),8,1))/10)+MOD(2*VALUE(MID(UPPER(TRIM(D307)),8,1)),10)),10),10)+1,1)),"OK","REVISAR")),"REVISAR")))</f>
        <v/>
      </c>
      <c r="Q307">
        <f>IF(B307="","",IF(COUNTIFS($B$2:$B$501,B307,$D$2:$D$501,D307)&gt;1,"DUPLICADA",""))</f>
        <v/>
      </c>
      <c r="R307">
        <f>IF(A307="","",ROUNDUP(MONTH(A307)/3,0))</f>
        <v/>
      </c>
      <c r="S307" s="3" t="n"/>
    </row>
    <row r="308">
      <c r="A308" s="2" t="n"/>
      <c r="B308" s="3" t="n"/>
      <c r="C308" s="3" t="n"/>
      <c r="D308" s="3" t="n"/>
      <c r="E308" s="4" t="n"/>
      <c r="F308" s="4" t="n"/>
      <c r="G308" s="4" t="n"/>
      <c r="H308" s="4" t="n"/>
      <c r="I308" s="5">
        <f>IF(E308="","",ROUND(E308*0.21,2))</f>
        <v/>
      </c>
      <c r="J308" s="5">
        <f>IF(F308="","",ROUND(F308*0.1,2))</f>
        <v/>
      </c>
      <c r="K308" s="5">
        <f>IF(G308="","",ROUND(G308*0.04,2))</f>
        <v/>
      </c>
      <c r="L308" s="4" t="n"/>
      <c r="M308" s="4" t="n"/>
      <c r="N308" s="5">
        <f>IF(A308="","",SUM(E308:K308)-N(L308))</f>
        <v/>
      </c>
      <c r="O308">
        <f>IF(OR(A308="",M308=""),"",IF(ABS(M308-N308)&lt;=0.02,"OK","REVISAR"))</f>
        <v/>
      </c>
      <c r="P308">
        <f>IF(D308="","",IF(LEN(TRIM(D308))&lt;&gt;9,"REVISAR",IFERROR(IF(OR(ISNUMBER(VALUE(LEFT(UPPER(TRIM(D308)),1))),LEFT(UPPER(TRIM(D308)),1)="X",LEFT(UPPER(TRIM(D308)),1)="Y",LEFT(UPPER(TRIM(D308)),1)="Z"),IF(MID("TRWAGMYFPDXBNJZSQVHLCKE",MOD(VALUE(SUBSTITUTE(SUBSTITUTE(SUBSTITUTE(LEFT(UPPER(TRIM(D308)),8),"X","0"),"Y","1"),"Z","2")),23)+1,1)=RIGHT(UPPER(TRIM(D308)),1),"OK","REVISAR"),IF(OR(RIGHT(UPPER(TRIM(D308)),1)=TEXT(MOD(10-MOD((VALUE(MID(UPPER(TRIM(D308)),3,1))+VALUE(MID(UPPER(TRIM(D308)),5,1))+VALUE(MID(UPPER(TRIM(D308)),7,1)))+(INT(2*VALUE(MID(UPPER(TRIM(D308)),2,1))/10)+MOD(2*VALUE(MID(UPPER(TRIM(D308)),2,1)),10))+(INT(2*VALUE(MID(UPPER(TRIM(D308)),4,1))/10)+MOD(2*VALUE(MID(UPPER(TRIM(D308)),4,1)),10))+(INT(2*VALUE(MID(UPPER(TRIM(D308)),6,1))/10)+MOD(2*VALUE(MID(UPPER(TRIM(D308)),6,1)),10))+(INT(2*VALUE(MID(UPPER(TRIM(D308)),8,1))/10)+MOD(2*VALUE(MID(UPPER(TRIM(D308)),8,1)),10)),10),10),"0"),RIGHT(UPPER(TRIM(D308)),1)=MID("JABCDEFGHI",MOD(10-MOD((VALUE(MID(UPPER(TRIM(D308)),3,1))+VALUE(MID(UPPER(TRIM(D308)),5,1))+VALUE(MID(UPPER(TRIM(D308)),7,1)))+(INT(2*VALUE(MID(UPPER(TRIM(D308)),2,1))/10)+MOD(2*VALUE(MID(UPPER(TRIM(D308)),2,1)),10))+(INT(2*VALUE(MID(UPPER(TRIM(D308)),4,1))/10)+MOD(2*VALUE(MID(UPPER(TRIM(D308)),4,1)),10))+(INT(2*VALUE(MID(UPPER(TRIM(D308)),6,1))/10)+MOD(2*VALUE(MID(UPPER(TRIM(D308)),6,1)),10))+(INT(2*VALUE(MID(UPPER(TRIM(D308)),8,1))/10)+MOD(2*VALUE(MID(UPPER(TRIM(D308)),8,1)),10)),10),10)+1,1)),"OK","REVISAR")),"REVISAR")))</f>
        <v/>
      </c>
      <c r="Q308">
        <f>IF(B308="","",IF(COUNTIFS($B$2:$B$501,B308,$D$2:$D$501,D308)&gt;1,"DUPLICADA",""))</f>
        <v/>
      </c>
      <c r="R308">
        <f>IF(A308="","",ROUNDUP(MONTH(A308)/3,0))</f>
        <v/>
      </c>
      <c r="S308" s="3" t="n"/>
    </row>
    <row r="309">
      <c r="A309" s="2" t="n"/>
      <c r="B309" s="3" t="n"/>
      <c r="C309" s="3" t="n"/>
      <c r="D309" s="3" t="n"/>
      <c r="E309" s="4" t="n"/>
      <c r="F309" s="4" t="n"/>
      <c r="G309" s="4" t="n"/>
      <c r="H309" s="4" t="n"/>
      <c r="I309" s="5">
        <f>IF(E309="","",ROUND(E309*0.21,2))</f>
        <v/>
      </c>
      <c r="J309" s="5">
        <f>IF(F309="","",ROUND(F309*0.1,2))</f>
        <v/>
      </c>
      <c r="K309" s="5">
        <f>IF(G309="","",ROUND(G309*0.04,2))</f>
        <v/>
      </c>
      <c r="L309" s="4" t="n"/>
      <c r="M309" s="4" t="n"/>
      <c r="N309" s="5">
        <f>IF(A309="","",SUM(E309:K309)-N(L309))</f>
        <v/>
      </c>
      <c r="O309">
        <f>IF(OR(A309="",M309=""),"",IF(ABS(M309-N309)&lt;=0.02,"OK","REVISAR"))</f>
        <v/>
      </c>
      <c r="P309">
        <f>IF(D309="","",IF(LEN(TRIM(D309))&lt;&gt;9,"REVISAR",IFERROR(IF(OR(ISNUMBER(VALUE(LEFT(UPPER(TRIM(D309)),1))),LEFT(UPPER(TRIM(D309)),1)="X",LEFT(UPPER(TRIM(D309)),1)="Y",LEFT(UPPER(TRIM(D309)),1)="Z"),IF(MID("TRWAGMYFPDXBNJZSQVHLCKE",MOD(VALUE(SUBSTITUTE(SUBSTITUTE(SUBSTITUTE(LEFT(UPPER(TRIM(D309)),8),"X","0"),"Y","1"),"Z","2")),23)+1,1)=RIGHT(UPPER(TRIM(D309)),1),"OK","REVISAR"),IF(OR(RIGHT(UPPER(TRIM(D309)),1)=TEXT(MOD(10-MOD((VALUE(MID(UPPER(TRIM(D309)),3,1))+VALUE(MID(UPPER(TRIM(D309)),5,1))+VALUE(MID(UPPER(TRIM(D309)),7,1)))+(INT(2*VALUE(MID(UPPER(TRIM(D309)),2,1))/10)+MOD(2*VALUE(MID(UPPER(TRIM(D309)),2,1)),10))+(INT(2*VALUE(MID(UPPER(TRIM(D309)),4,1))/10)+MOD(2*VALUE(MID(UPPER(TRIM(D309)),4,1)),10))+(INT(2*VALUE(MID(UPPER(TRIM(D309)),6,1))/10)+MOD(2*VALUE(MID(UPPER(TRIM(D309)),6,1)),10))+(INT(2*VALUE(MID(UPPER(TRIM(D309)),8,1))/10)+MOD(2*VALUE(MID(UPPER(TRIM(D309)),8,1)),10)),10),10),"0"),RIGHT(UPPER(TRIM(D309)),1)=MID("JABCDEFGHI",MOD(10-MOD((VALUE(MID(UPPER(TRIM(D309)),3,1))+VALUE(MID(UPPER(TRIM(D309)),5,1))+VALUE(MID(UPPER(TRIM(D309)),7,1)))+(INT(2*VALUE(MID(UPPER(TRIM(D309)),2,1))/10)+MOD(2*VALUE(MID(UPPER(TRIM(D309)),2,1)),10))+(INT(2*VALUE(MID(UPPER(TRIM(D309)),4,1))/10)+MOD(2*VALUE(MID(UPPER(TRIM(D309)),4,1)),10))+(INT(2*VALUE(MID(UPPER(TRIM(D309)),6,1))/10)+MOD(2*VALUE(MID(UPPER(TRIM(D309)),6,1)),10))+(INT(2*VALUE(MID(UPPER(TRIM(D309)),8,1))/10)+MOD(2*VALUE(MID(UPPER(TRIM(D309)),8,1)),10)),10),10)+1,1)),"OK","REVISAR")),"REVISAR")))</f>
        <v/>
      </c>
      <c r="Q309">
        <f>IF(B309="","",IF(COUNTIFS($B$2:$B$501,B309,$D$2:$D$501,D309)&gt;1,"DUPLICADA",""))</f>
        <v/>
      </c>
      <c r="R309">
        <f>IF(A309="","",ROUNDUP(MONTH(A309)/3,0))</f>
        <v/>
      </c>
      <c r="S309" s="3" t="n"/>
    </row>
    <row r="310">
      <c r="A310" s="2" t="n"/>
      <c r="B310" s="3" t="n"/>
      <c r="C310" s="3" t="n"/>
      <c r="D310" s="3" t="n"/>
      <c r="E310" s="4" t="n"/>
      <c r="F310" s="4" t="n"/>
      <c r="G310" s="4" t="n"/>
      <c r="H310" s="4" t="n"/>
      <c r="I310" s="5">
        <f>IF(E310="","",ROUND(E310*0.21,2))</f>
        <v/>
      </c>
      <c r="J310" s="5">
        <f>IF(F310="","",ROUND(F310*0.1,2))</f>
        <v/>
      </c>
      <c r="K310" s="5">
        <f>IF(G310="","",ROUND(G310*0.04,2))</f>
        <v/>
      </c>
      <c r="L310" s="4" t="n"/>
      <c r="M310" s="4" t="n"/>
      <c r="N310" s="5">
        <f>IF(A310="","",SUM(E310:K310)-N(L310))</f>
        <v/>
      </c>
      <c r="O310">
        <f>IF(OR(A310="",M310=""),"",IF(ABS(M310-N310)&lt;=0.02,"OK","REVISAR"))</f>
        <v/>
      </c>
      <c r="P310">
        <f>IF(D310="","",IF(LEN(TRIM(D310))&lt;&gt;9,"REVISAR",IFERROR(IF(OR(ISNUMBER(VALUE(LEFT(UPPER(TRIM(D310)),1))),LEFT(UPPER(TRIM(D310)),1)="X",LEFT(UPPER(TRIM(D310)),1)="Y",LEFT(UPPER(TRIM(D310)),1)="Z"),IF(MID("TRWAGMYFPDXBNJZSQVHLCKE",MOD(VALUE(SUBSTITUTE(SUBSTITUTE(SUBSTITUTE(LEFT(UPPER(TRIM(D310)),8),"X","0"),"Y","1"),"Z","2")),23)+1,1)=RIGHT(UPPER(TRIM(D310)),1),"OK","REVISAR"),IF(OR(RIGHT(UPPER(TRIM(D310)),1)=TEXT(MOD(10-MOD((VALUE(MID(UPPER(TRIM(D310)),3,1))+VALUE(MID(UPPER(TRIM(D310)),5,1))+VALUE(MID(UPPER(TRIM(D310)),7,1)))+(INT(2*VALUE(MID(UPPER(TRIM(D310)),2,1))/10)+MOD(2*VALUE(MID(UPPER(TRIM(D310)),2,1)),10))+(INT(2*VALUE(MID(UPPER(TRIM(D310)),4,1))/10)+MOD(2*VALUE(MID(UPPER(TRIM(D310)),4,1)),10))+(INT(2*VALUE(MID(UPPER(TRIM(D310)),6,1))/10)+MOD(2*VALUE(MID(UPPER(TRIM(D310)),6,1)),10))+(INT(2*VALUE(MID(UPPER(TRIM(D310)),8,1))/10)+MOD(2*VALUE(MID(UPPER(TRIM(D310)),8,1)),10)),10),10),"0"),RIGHT(UPPER(TRIM(D310)),1)=MID("JABCDEFGHI",MOD(10-MOD((VALUE(MID(UPPER(TRIM(D310)),3,1))+VALUE(MID(UPPER(TRIM(D310)),5,1))+VALUE(MID(UPPER(TRIM(D310)),7,1)))+(INT(2*VALUE(MID(UPPER(TRIM(D310)),2,1))/10)+MOD(2*VALUE(MID(UPPER(TRIM(D310)),2,1)),10))+(INT(2*VALUE(MID(UPPER(TRIM(D310)),4,1))/10)+MOD(2*VALUE(MID(UPPER(TRIM(D310)),4,1)),10))+(INT(2*VALUE(MID(UPPER(TRIM(D310)),6,1))/10)+MOD(2*VALUE(MID(UPPER(TRIM(D310)),6,1)),10))+(INT(2*VALUE(MID(UPPER(TRIM(D310)),8,1))/10)+MOD(2*VALUE(MID(UPPER(TRIM(D310)),8,1)),10)),10),10)+1,1)),"OK","REVISAR")),"REVISAR")))</f>
        <v/>
      </c>
      <c r="Q310">
        <f>IF(B310="","",IF(COUNTIFS($B$2:$B$501,B310,$D$2:$D$501,D310)&gt;1,"DUPLICADA",""))</f>
        <v/>
      </c>
      <c r="R310">
        <f>IF(A310="","",ROUNDUP(MONTH(A310)/3,0))</f>
        <v/>
      </c>
      <c r="S310" s="3" t="n"/>
    </row>
    <row r="311">
      <c r="A311" s="2" t="n"/>
      <c r="B311" s="3" t="n"/>
      <c r="C311" s="3" t="n"/>
      <c r="D311" s="3" t="n"/>
      <c r="E311" s="4" t="n"/>
      <c r="F311" s="4" t="n"/>
      <c r="G311" s="4" t="n"/>
      <c r="H311" s="4" t="n"/>
      <c r="I311" s="5">
        <f>IF(E311="","",ROUND(E311*0.21,2))</f>
        <v/>
      </c>
      <c r="J311" s="5">
        <f>IF(F311="","",ROUND(F311*0.1,2))</f>
        <v/>
      </c>
      <c r="K311" s="5">
        <f>IF(G311="","",ROUND(G311*0.04,2))</f>
        <v/>
      </c>
      <c r="L311" s="4" t="n"/>
      <c r="M311" s="4" t="n"/>
      <c r="N311" s="5">
        <f>IF(A311="","",SUM(E311:K311)-N(L311))</f>
        <v/>
      </c>
      <c r="O311">
        <f>IF(OR(A311="",M311=""),"",IF(ABS(M311-N311)&lt;=0.02,"OK","REVISAR"))</f>
        <v/>
      </c>
      <c r="P311">
        <f>IF(D311="","",IF(LEN(TRIM(D311))&lt;&gt;9,"REVISAR",IFERROR(IF(OR(ISNUMBER(VALUE(LEFT(UPPER(TRIM(D311)),1))),LEFT(UPPER(TRIM(D311)),1)="X",LEFT(UPPER(TRIM(D311)),1)="Y",LEFT(UPPER(TRIM(D311)),1)="Z"),IF(MID("TRWAGMYFPDXBNJZSQVHLCKE",MOD(VALUE(SUBSTITUTE(SUBSTITUTE(SUBSTITUTE(LEFT(UPPER(TRIM(D311)),8),"X","0"),"Y","1"),"Z","2")),23)+1,1)=RIGHT(UPPER(TRIM(D311)),1),"OK","REVISAR"),IF(OR(RIGHT(UPPER(TRIM(D311)),1)=TEXT(MOD(10-MOD((VALUE(MID(UPPER(TRIM(D311)),3,1))+VALUE(MID(UPPER(TRIM(D311)),5,1))+VALUE(MID(UPPER(TRIM(D311)),7,1)))+(INT(2*VALUE(MID(UPPER(TRIM(D311)),2,1))/10)+MOD(2*VALUE(MID(UPPER(TRIM(D311)),2,1)),10))+(INT(2*VALUE(MID(UPPER(TRIM(D311)),4,1))/10)+MOD(2*VALUE(MID(UPPER(TRIM(D311)),4,1)),10))+(INT(2*VALUE(MID(UPPER(TRIM(D311)),6,1))/10)+MOD(2*VALUE(MID(UPPER(TRIM(D311)),6,1)),10))+(INT(2*VALUE(MID(UPPER(TRIM(D311)),8,1))/10)+MOD(2*VALUE(MID(UPPER(TRIM(D311)),8,1)),10)),10),10),"0"),RIGHT(UPPER(TRIM(D311)),1)=MID("JABCDEFGHI",MOD(10-MOD((VALUE(MID(UPPER(TRIM(D311)),3,1))+VALUE(MID(UPPER(TRIM(D311)),5,1))+VALUE(MID(UPPER(TRIM(D311)),7,1)))+(INT(2*VALUE(MID(UPPER(TRIM(D311)),2,1))/10)+MOD(2*VALUE(MID(UPPER(TRIM(D311)),2,1)),10))+(INT(2*VALUE(MID(UPPER(TRIM(D311)),4,1))/10)+MOD(2*VALUE(MID(UPPER(TRIM(D311)),4,1)),10))+(INT(2*VALUE(MID(UPPER(TRIM(D311)),6,1))/10)+MOD(2*VALUE(MID(UPPER(TRIM(D311)),6,1)),10))+(INT(2*VALUE(MID(UPPER(TRIM(D311)),8,1))/10)+MOD(2*VALUE(MID(UPPER(TRIM(D311)),8,1)),10)),10),10)+1,1)),"OK","REVISAR")),"REVISAR")))</f>
        <v/>
      </c>
      <c r="Q311">
        <f>IF(B311="","",IF(COUNTIFS($B$2:$B$501,B311,$D$2:$D$501,D311)&gt;1,"DUPLICADA",""))</f>
        <v/>
      </c>
      <c r="R311">
        <f>IF(A311="","",ROUNDUP(MONTH(A311)/3,0))</f>
        <v/>
      </c>
      <c r="S311" s="3" t="n"/>
    </row>
    <row r="312">
      <c r="A312" s="2" t="n"/>
      <c r="B312" s="3" t="n"/>
      <c r="C312" s="3" t="n"/>
      <c r="D312" s="3" t="n"/>
      <c r="E312" s="4" t="n"/>
      <c r="F312" s="4" t="n"/>
      <c r="G312" s="4" t="n"/>
      <c r="H312" s="4" t="n"/>
      <c r="I312" s="5">
        <f>IF(E312="","",ROUND(E312*0.21,2))</f>
        <v/>
      </c>
      <c r="J312" s="5">
        <f>IF(F312="","",ROUND(F312*0.1,2))</f>
        <v/>
      </c>
      <c r="K312" s="5">
        <f>IF(G312="","",ROUND(G312*0.04,2))</f>
        <v/>
      </c>
      <c r="L312" s="4" t="n"/>
      <c r="M312" s="4" t="n"/>
      <c r="N312" s="5">
        <f>IF(A312="","",SUM(E312:K312)-N(L312))</f>
        <v/>
      </c>
      <c r="O312">
        <f>IF(OR(A312="",M312=""),"",IF(ABS(M312-N312)&lt;=0.02,"OK","REVISAR"))</f>
        <v/>
      </c>
      <c r="P312">
        <f>IF(D312="","",IF(LEN(TRIM(D312))&lt;&gt;9,"REVISAR",IFERROR(IF(OR(ISNUMBER(VALUE(LEFT(UPPER(TRIM(D312)),1))),LEFT(UPPER(TRIM(D312)),1)="X",LEFT(UPPER(TRIM(D312)),1)="Y",LEFT(UPPER(TRIM(D312)),1)="Z"),IF(MID("TRWAGMYFPDXBNJZSQVHLCKE",MOD(VALUE(SUBSTITUTE(SUBSTITUTE(SUBSTITUTE(LEFT(UPPER(TRIM(D312)),8),"X","0"),"Y","1"),"Z","2")),23)+1,1)=RIGHT(UPPER(TRIM(D312)),1),"OK","REVISAR"),IF(OR(RIGHT(UPPER(TRIM(D312)),1)=TEXT(MOD(10-MOD((VALUE(MID(UPPER(TRIM(D312)),3,1))+VALUE(MID(UPPER(TRIM(D312)),5,1))+VALUE(MID(UPPER(TRIM(D312)),7,1)))+(INT(2*VALUE(MID(UPPER(TRIM(D312)),2,1))/10)+MOD(2*VALUE(MID(UPPER(TRIM(D312)),2,1)),10))+(INT(2*VALUE(MID(UPPER(TRIM(D312)),4,1))/10)+MOD(2*VALUE(MID(UPPER(TRIM(D312)),4,1)),10))+(INT(2*VALUE(MID(UPPER(TRIM(D312)),6,1))/10)+MOD(2*VALUE(MID(UPPER(TRIM(D312)),6,1)),10))+(INT(2*VALUE(MID(UPPER(TRIM(D312)),8,1))/10)+MOD(2*VALUE(MID(UPPER(TRIM(D312)),8,1)),10)),10),10),"0"),RIGHT(UPPER(TRIM(D312)),1)=MID("JABCDEFGHI",MOD(10-MOD((VALUE(MID(UPPER(TRIM(D312)),3,1))+VALUE(MID(UPPER(TRIM(D312)),5,1))+VALUE(MID(UPPER(TRIM(D312)),7,1)))+(INT(2*VALUE(MID(UPPER(TRIM(D312)),2,1))/10)+MOD(2*VALUE(MID(UPPER(TRIM(D312)),2,1)),10))+(INT(2*VALUE(MID(UPPER(TRIM(D312)),4,1))/10)+MOD(2*VALUE(MID(UPPER(TRIM(D312)),4,1)),10))+(INT(2*VALUE(MID(UPPER(TRIM(D312)),6,1))/10)+MOD(2*VALUE(MID(UPPER(TRIM(D312)),6,1)),10))+(INT(2*VALUE(MID(UPPER(TRIM(D312)),8,1))/10)+MOD(2*VALUE(MID(UPPER(TRIM(D312)),8,1)),10)),10),10)+1,1)),"OK","REVISAR")),"REVISAR")))</f>
        <v/>
      </c>
      <c r="Q312">
        <f>IF(B312="","",IF(COUNTIFS($B$2:$B$501,B312,$D$2:$D$501,D312)&gt;1,"DUPLICADA",""))</f>
        <v/>
      </c>
      <c r="R312">
        <f>IF(A312="","",ROUNDUP(MONTH(A312)/3,0))</f>
        <v/>
      </c>
      <c r="S312" s="3" t="n"/>
    </row>
    <row r="313">
      <c r="A313" s="2" t="n"/>
      <c r="B313" s="3" t="n"/>
      <c r="C313" s="3" t="n"/>
      <c r="D313" s="3" t="n"/>
      <c r="E313" s="4" t="n"/>
      <c r="F313" s="4" t="n"/>
      <c r="G313" s="4" t="n"/>
      <c r="H313" s="4" t="n"/>
      <c r="I313" s="5">
        <f>IF(E313="","",ROUND(E313*0.21,2))</f>
        <v/>
      </c>
      <c r="J313" s="5">
        <f>IF(F313="","",ROUND(F313*0.1,2))</f>
        <v/>
      </c>
      <c r="K313" s="5">
        <f>IF(G313="","",ROUND(G313*0.04,2))</f>
        <v/>
      </c>
      <c r="L313" s="4" t="n"/>
      <c r="M313" s="4" t="n"/>
      <c r="N313" s="5">
        <f>IF(A313="","",SUM(E313:K313)-N(L313))</f>
        <v/>
      </c>
      <c r="O313">
        <f>IF(OR(A313="",M313=""),"",IF(ABS(M313-N313)&lt;=0.02,"OK","REVISAR"))</f>
        <v/>
      </c>
      <c r="P313">
        <f>IF(D313="","",IF(LEN(TRIM(D313))&lt;&gt;9,"REVISAR",IFERROR(IF(OR(ISNUMBER(VALUE(LEFT(UPPER(TRIM(D313)),1))),LEFT(UPPER(TRIM(D313)),1)="X",LEFT(UPPER(TRIM(D313)),1)="Y",LEFT(UPPER(TRIM(D313)),1)="Z"),IF(MID("TRWAGMYFPDXBNJZSQVHLCKE",MOD(VALUE(SUBSTITUTE(SUBSTITUTE(SUBSTITUTE(LEFT(UPPER(TRIM(D313)),8),"X","0"),"Y","1"),"Z","2")),23)+1,1)=RIGHT(UPPER(TRIM(D313)),1),"OK","REVISAR"),IF(OR(RIGHT(UPPER(TRIM(D313)),1)=TEXT(MOD(10-MOD((VALUE(MID(UPPER(TRIM(D313)),3,1))+VALUE(MID(UPPER(TRIM(D313)),5,1))+VALUE(MID(UPPER(TRIM(D313)),7,1)))+(INT(2*VALUE(MID(UPPER(TRIM(D313)),2,1))/10)+MOD(2*VALUE(MID(UPPER(TRIM(D313)),2,1)),10))+(INT(2*VALUE(MID(UPPER(TRIM(D313)),4,1))/10)+MOD(2*VALUE(MID(UPPER(TRIM(D313)),4,1)),10))+(INT(2*VALUE(MID(UPPER(TRIM(D313)),6,1))/10)+MOD(2*VALUE(MID(UPPER(TRIM(D313)),6,1)),10))+(INT(2*VALUE(MID(UPPER(TRIM(D313)),8,1))/10)+MOD(2*VALUE(MID(UPPER(TRIM(D313)),8,1)),10)),10),10),"0"),RIGHT(UPPER(TRIM(D313)),1)=MID("JABCDEFGHI",MOD(10-MOD((VALUE(MID(UPPER(TRIM(D313)),3,1))+VALUE(MID(UPPER(TRIM(D313)),5,1))+VALUE(MID(UPPER(TRIM(D313)),7,1)))+(INT(2*VALUE(MID(UPPER(TRIM(D313)),2,1))/10)+MOD(2*VALUE(MID(UPPER(TRIM(D313)),2,1)),10))+(INT(2*VALUE(MID(UPPER(TRIM(D313)),4,1))/10)+MOD(2*VALUE(MID(UPPER(TRIM(D313)),4,1)),10))+(INT(2*VALUE(MID(UPPER(TRIM(D313)),6,1))/10)+MOD(2*VALUE(MID(UPPER(TRIM(D313)),6,1)),10))+(INT(2*VALUE(MID(UPPER(TRIM(D313)),8,1))/10)+MOD(2*VALUE(MID(UPPER(TRIM(D313)),8,1)),10)),10),10)+1,1)),"OK","REVISAR")),"REVISAR")))</f>
        <v/>
      </c>
      <c r="Q313">
        <f>IF(B313="","",IF(COUNTIFS($B$2:$B$501,B313,$D$2:$D$501,D313)&gt;1,"DUPLICADA",""))</f>
        <v/>
      </c>
      <c r="R313">
        <f>IF(A313="","",ROUNDUP(MONTH(A313)/3,0))</f>
        <v/>
      </c>
      <c r="S313" s="3" t="n"/>
    </row>
    <row r="314">
      <c r="A314" s="2" t="n"/>
      <c r="B314" s="3" t="n"/>
      <c r="C314" s="3" t="n"/>
      <c r="D314" s="3" t="n"/>
      <c r="E314" s="4" t="n"/>
      <c r="F314" s="4" t="n"/>
      <c r="G314" s="4" t="n"/>
      <c r="H314" s="4" t="n"/>
      <c r="I314" s="5">
        <f>IF(E314="","",ROUND(E314*0.21,2))</f>
        <v/>
      </c>
      <c r="J314" s="5">
        <f>IF(F314="","",ROUND(F314*0.1,2))</f>
        <v/>
      </c>
      <c r="K314" s="5">
        <f>IF(G314="","",ROUND(G314*0.04,2))</f>
        <v/>
      </c>
      <c r="L314" s="4" t="n"/>
      <c r="M314" s="4" t="n"/>
      <c r="N314" s="5">
        <f>IF(A314="","",SUM(E314:K314)-N(L314))</f>
        <v/>
      </c>
      <c r="O314">
        <f>IF(OR(A314="",M314=""),"",IF(ABS(M314-N314)&lt;=0.02,"OK","REVISAR"))</f>
        <v/>
      </c>
      <c r="P314">
        <f>IF(D314="","",IF(LEN(TRIM(D314))&lt;&gt;9,"REVISAR",IFERROR(IF(OR(ISNUMBER(VALUE(LEFT(UPPER(TRIM(D314)),1))),LEFT(UPPER(TRIM(D314)),1)="X",LEFT(UPPER(TRIM(D314)),1)="Y",LEFT(UPPER(TRIM(D314)),1)="Z"),IF(MID("TRWAGMYFPDXBNJZSQVHLCKE",MOD(VALUE(SUBSTITUTE(SUBSTITUTE(SUBSTITUTE(LEFT(UPPER(TRIM(D314)),8),"X","0"),"Y","1"),"Z","2")),23)+1,1)=RIGHT(UPPER(TRIM(D314)),1),"OK","REVISAR"),IF(OR(RIGHT(UPPER(TRIM(D314)),1)=TEXT(MOD(10-MOD((VALUE(MID(UPPER(TRIM(D314)),3,1))+VALUE(MID(UPPER(TRIM(D314)),5,1))+VALUE(MID(UPPER(TRIM(D314)),7,1)))+(INT(2*VALUE(MID(UPPER(TRIM(D314)),2,1))/10)+MOD(2*VALUE(MID(UPPER(TRIM(D314)),2,1)),10))+(INT(2*VALUE(MID(UPPER(TRIM(D314)),4,1))/10)+MOD(2*VALUE(MID(UPPER(TRIM(D314)),4,1)),10))+(INT(2*VALUE(MID(UPPER(TRIM(D314)),6,1))/10)+MOD(2*VALUE(MID(UPPER(TRIM(D314)),6,1)),10))+(INT(2*VALUE(MID(UPPER(TRIM(D314)),8,1))/10)+MOD(2*VALUE(MID(UPPER(TRIM(D314)),8,1)),10)),10),10),"0"),RIGHT(UPPER(TRIM(D314)),1)=MID("JABCDEFGHI",MOD(10-MOD((VALUE(MID(UPPER(TRIM(D314)),3,1))+VALUE(MID(UPPER(TRIM(D314)),5,1))+VALUE(MID(UPPER(TRIM(D314)),7,1)))+(INT(2*VALUE(MID(UPPER(TRIM(D314)),2,1))/10)+MOD(2*VALUE(MID(UPPER(TRIM(D314)),2,1)),10))+(INT(2*VALUE(MID(UPPER(TRIM(D314)),4,1))/10)+MOD(2*VALUE(MID(UPPER(TRIM(D314)),4,1)),10))+(INT(2*VALUE(MID(UPPER(TRIM(D314)),6,1))/10)+MOD(2*VALUE(MID(UPPER(TRIM(D314)),6,1)),10))+(INT(2*VALUE(MID(UPPER(TRIM(D314)),8,1))/10)+MOD(2*VALUE(MID(UPPER(TRIM(D314)),8,1)),10)),10),10)+1,1)),"OK","REVISAR")),"REVISAR")))</f>
        <v/>
      </c>
      <c r="Q314">
        <f>IF(B314="","",IF(COUNTIFS($B$2:$B$501,B314,$D$2:$D$501,D314)&gt;1,"DUPLICADA",""))</f>
        <v/>
      </c>
      <c r="R314">
        <f>IF(A314="","",ROUNDUP(MONTH(A314)/3,0))</f>
        <v/>
      </c>
      <c r="S314" s="3" t="n"/>
    </row>
    <row r="315">
      <c r="A315" s="2" t="n"/>
      <c r="B315" s="3" t="n"/>
      <c r="C315" s="3" t="n"/>
      <c r="D315" s="3" t="n"/>
      <c r="E315" s="4" t="n"/>
      <c r="F315" s="4" t="n"/>
      <c r="G315" s="4" t="n"/>
      <c r="H315" s="4" t="n"/>
      <c r="I315" s="5">
        <f>IF(E315="","",ROUND(E315*0.21,2))</f>
        <v/>
      </c>
      <c r="J315" s="5">
        <f>IF(F315="","",ROUND(F315*0.1,2))</f>
        <v/>
      </c>
      <c r="K315" s="5">
        <f>IF(G315="","",ROUND(G315*0.04,2))</f>
        <v/>
      </c>
      <c r="L315" s="4" t="n"/>
      <c r="M315" s="4" t="n"/>
      <c r="N315" s="5">
        <f>IF(A315="","",SUM(E315:K315)-N(L315))</f>
        <v/>
      </c>
      <c r="O315">
        <f>IF(OR(A315="",M315=""),"",IF(ABS(M315-N315)&lt;=0.02,"OK","REVISAR"))</f>
        <v/>
      </c>
      <c r="P315">
        <f>IF(D315="","",IF(LEN(TRIM(D315))&lt;&gt;9,"REVISAR",IFERROR(IF(OR(ISNUMBER(VALUE(LEFT(UPPER(TRIM(D315)),1))),LEFT(UPPER(TRIM(D315)),1)="X",LEFT(UPPER(TRIM(D315)),1)="Y",LEFT(UPPER(TRIM(D315)),1)="Z"),IF(MID("TRWAGMYFPDXBNJZSQVHLCKE",MOD(VALUE(SUBSTITUTE(SUBSTITUTE(SUBSTITUTE(LEFT(UPPER(TRIM(D315)),8),"X","0"),"Y","1"),"Z","2")),23)+1,1)=RIGHT(UPPER(TRIM(D315)),1),"OK","REVISAR"),IF(OR(RIGHT(UPPER(TRIM(D315)),1)=TEXT(MOD(10-MOD((VALUE(MID(UPPER(TRIM(D315)),3,1))+VALUE(MID(UPPER(TRIM(D315)),5,1))+VALUE(MID(UPPER(TRIM(D315)),7,1)))+(INT(2*VALUE(MID(UPPER(TRIM(D315)),2,1))/10)+MOD(2*VALUE(MID(UPPER(TRIM(D315)),2,1)),10))+(INT(2*VALUE(MID(UPPER(TRIM(D315)),4,1))/10)+MOD(2*VALUE(MID(UPPER(TRIM(D315)),4,1)),10))+(INT(2*VALUE(MID(UPPER(TRIM(D315)),6,1))/10)+MOD(2*VALUE(MID(UPPER(TRIM(D315)),6,1)),10))+(INT(2*VALUE(MID(UPPER(TRIM(D315)),8,1))/10)+MOD(2*VALUE(MID(UPPER(TRIM(D315)),8,1)),10)),10),10),"0"),RIGHT(UPPER(TRIM(D315)),1)=MID("JABCDEFGHI",MOD(10-MOD((VALUE(MID(UPPER(TRIM(D315)),3,1))+VALUE(MID(UPPER(TRIM(D315)),5,1))+VALUE(MID(UPPER(TRIM(D315)),7,1)))+(INT(2*VALUE(MID(UPPER(TRIM(D315)),2,1))/10)+MOD(2*VALUE(MID(UPPER(TRIM(D315)),2,1)),10))+(INT(2*VALUE(MID(UPPER(TRIM(D315)),4,1))/10)+MOD(2*VALUE(MID(UPPER(TRIM(D315)),4,1)),10))+(INT(2*VALUE(MID(UPPER(TRIM(D315)),6,1))/10)+MOD(2*VALUE(MID(UPPER(TRIM(D315)),6,1)),10))+(INT(2*VALUE(MID(UPPER(TRIM(D315)),8,1))/10)+MOD(2*VALUE(MID(UPPER(TRIM(D315)),8,1)),10)),10),10)+1,1)),"OK","REVISAR")),"REVISAR")))</f>
        <v/>
      </c>
      <c r="Q315">
        <f>IF(B315="","",IF(COUNTIFS($B$2:$B$501,B315,$D$2:$D$501,D315)&gt;1,"DUPLICADA",""))</f>
        <v/>
      </c>
      <c r="R315">
        <f>IF(A315="","",ROUNDUP(MONTH(A315)/3,0))</f>
        <v/>
      </c>
      <c r="S315" s="3" t="n"/>
    </row>
    <row r="316">
      <c r="A316" s="2" t="n"/>
      <c r="B316" s="3" t="n"/>
      <c r="C316" s="3" t="n"/>
      <c r="D316" s="3" t="n"/>
      <c r="E316" s="4" t="n"/>
      <c r="F316" s="4" t="n"/>
      <c r="G316" s="4" t="n"/>
      <c r="H316" s="4" t="n"/>
      <c r="I316" s="5">
        <f>IF(E316="","",ROUND(E316*0.21,2))</f>
        <v/>
      </c>
      <c r="J316" s="5">
        <f>IF(F316="","",ROUND(F316*0.1,2))</f>
        <v/>
      </c>
      <c r="K316" s="5">
        <f>IF(G316="","",ROUND(G316*0.04,2))</f>
        <v/>
      </c>
      <c r="L316" s="4" t="n"/>
      <c r="M316" s="4" t="n"/>
      <c r="N316" s="5">
        <f>IF(A316="","",SUM(E316:K316)-N(L316))</f>
        <v/>
      </c>
      <c r="O316">
        <f>IF(OR(A316="",M316=""),"",IF(ABS(M316-N316)&lt;=0.02,"OK","REVISAR"))</f>
        <v/>
      </c>
      <c r="P316">
        <f>IF(D316="","",IF(LEN(TRIM(D316))&lt;&gt;9,"REVISAR",IFERROR(IF(OR(ISNUMBER(VALUE(LEFT(UPPER(TRIM(D316)),1))),LEFT(UPPER(TRIM(D316)),1)="X",LEFT(UPPER(TRIM(D316)),1)="Y",LEFT(UPPER(TRIM(D316)),1)="Z"),IF(MID("TRWAGMYFPDXBNJZSQVHLCKE",MOD(VALUE(SUBSTITUTE(SUBSTITUTE(SUBSTITUTE(LEFT(UPPER(TRIM(D316)),8),"X","0"),"Y","1"),"Z","2")),23)+1,1)=RIGHT(UPPER(TRIM(D316)),1),"OK","REVISAR"),IF(OR(RIGHT(UPPER(TRIM(D316)),1)=TEXT(MOD(10-MOD((VALUE(MID(UPPER(TRIM(D316)),3,1))+VALUE(MID(UPPER(TRIM(D316)),5,1))+VALUE(MID(UPPER(TRIM(D316)),7,1)))+(INT(2*VALUE(MID(UPPER(TRIM(D316)),2,1))/10)+MOD(2*VALUE(MID(UPPER(TRIM(D316)),2,1)),10))+(INT(2*VALUE(MID(UPPER(TRIM(D316)),4,1))/10)+MOD(2*VALUE(MID(UPPER(TRIM(D316)),4,1)),10))+(INT(2*VALUE(MID(UPPER(TRIM(D316)),6,1))/10)+MOD(2*VALUE(MID(UPPER(TRIM(D316)),6,1)),10))+(INT(2*VALUE(MID(UPPER(TRIM(D316)),8,1))/10)+MOD(2*VALUE(MID(UPPER(TRIM(D316)),8,1)),10)),10),10),"0"),RIGHT(UPPER(TRIM(D316)),1)=MID("JABCDEFGHI",MOD(10-MOD((VALUE(MID(UPPER(TRIM(D316)),3,1))+VALUE(MID(UPPER(TRIM(D316)),5,1))+VALUE(MID(UPPER(TRIM(D316)),7,1)))+(INT(2*VALUE(MID(UPPER(TRIM(D316)),2,1))/10)+MOD(2*VALUE(MID(UPPER(TRIM(D316)),2,1)),10))+(INT(2*VALUE(MID(UPPER(TRIM(D316)),4,1))/10)+MOD(2*VALUE(MID(UPPER(TRIM(D316)),4,1)),10))+(INT(2*VALUE(MID(UPPER(TRIM(D316)),6,1))/10)+MOD(2*VALUE(MID(UPPER(TRIM(D316)),6,1)),10))+(INT(2*VALUE(MID(UPPER(TRIM(D316)),8,1))/10)+MOD(2*VALUE(MID(UPPER(TRIM(D316)),8,1)),10)),10),10)+1,1)),"OK","REVISAR")),"REVISAR")))</f>
        <v/>
      </c>
      <c r="Q316">
        <f>IF(B316="","",IF(COUNTIFS($B$2:$B$501,B316,$D$2:$D$501,D316)&gt;1,"DUPLICADA",""))</f>
        <v/>
      </c>
      <c r="R316">
        <f>IF(A316="","",ROUNDUP(MONTH(A316)/3,0))</f>
        <v/>
      </c>
      <c r="S316" s="3" t="n"/>
    </row>
    <row r="317">
      <c r="A317" s="2" t="n"/>
      <c r="B317" s="3" t="n"/>
      <c r="C317" s="3" t="n"/>
      <c r="D317" s="3" t="n"/>
      <c r="E317" s="4" t="n"/>
      <c r="F317" s="4" t="n"/>
      <c r="G317" s="4" t="n"/>
      <c r="H317" s="4" t="n"/>
      <c r="I317" s="5">
        <f>IF(E317="","",ROUND(E317*0.21,2))</f>
        <v/>
      </c>
      <c r="J317" s="5">
        <f>IF(F317="","",ROUND(F317*0.1,2))</f>
        <v/>
      </c>
      <c r="K317" s="5">
        <f>IF(G317="","",ROUND(G317*0.04,2))</f>
        <v/>
      </c>
      <c r="L317" s="4" t="n"/>
      <c r="M317" s="4" t="n"/>
      <c r="N317" s="5">
        <f>IF(A317="","",SUM(E317:K317)-N(L317))</f>
        <v/>
      </c>
      <c r="O317">
        <f>IF(OR(A317="",M317=""),"",IF(ABS(M317-N317)&lt;=0.02,"OK","REVISAR"))</f>
        <v/>
      </c>
      <c r="P317">
        <f>IF(D317="","",IF(LEN(TRIM(D317))&lt;&gt;9,"REVISAR",IFERROR(IF(OR(ISNUMBER(VALUE(LEFT(UPPER(TRIM(D317)),1))),LEFT(UPPER(TRIM(D317)),1)="X",LEFT(UPPER(TRIM(D317)),1)="Y",LEFT(UPPER(TRIM(D317)),1)="Z"),IF(MID("TRWAGMYFPDXBNJZSQVHLCKE",MOD(VALUE(SUBSTITUTE(SUBSTITUTE(SUBSTITUTE(LEFT(UPPER(TRIM(D317)),8),"X","0"),"Y","1"),"Z","2")),23)+1,1)=RIGHT(UPPER(TRIM(D317)),1),"OK","REVISAR"),IF(OR(RIGHT(UPPER(TRIM(D317)),1)=TEXT(MOD(10-MOD((VALUE(MID(UPPER(TRIM(D317)),3,1))+VALUE(MID(UPPER(TRIM(D317)),5,1))+VALUE(MID(UPPER(TRIM(D317)),7,1)))+(INT(2*VALUE(MID(UPPER(TRIM(D317)),2,1))/10)+MOD(2*VALUE(MID(UPPER(TRIM(D317)),2,1)),10))+(INT(2*VALUE(MID(UPPER(TRIM(D317)),4,1))/10)+MOD(2*VALUE(MID(UPPER(TRIM(D317)),4,1)),10))+(INT(2*VALUE(MID(UPPER(TRIM(D317)),6,1))/10)+MOD(2*VALUE(MID(UPPER(TRIM(D317)),6,1)),10))+(INT(2*VALUE(MID(UPPER(TRIM(D317)),8,1))/10)+MOD(2*VALUE(MID(UPPER(TRIM(D317)),8,1)),10)),10),10),"0"),RIGHT(UPPER(TRIM(D317)),1)=MID("JABCDEFGHI",MOD(10-MOD((VALUE(MID(UPPER(TRIM(D317)),3,1))+VALUE(MID(UPPER(TRIM(D317)),5,1))+VALUE(MID(UPPER(TRIM(D317)),7,1)))+(INT(2*VALUE(MID(UPPER(TRIM(D317)),2,1))/10)+MOD(2*VALUE(MID(UPPER(TRIM(D317)),2,1)),10))+(INT(2*VALUE(MID(UPPER(TRIM(D317)),4,1))/10)+MOD(2*VALUE(MID(UPPER(TRIM(D317)),4,1)),10))+(INT(2*VALUE(MID(UPPER(TRIM(D317)),6,1))/10)+MOD(2*VALUE(MID(UPPER(TRIM(D317)),6,1)),10))+(INT(2*VALUE(MID(UPPER(TRIM(D317)),8,1))/10)+MOD(2*VALUE(MID(UPPER(TRIM(D317)),8,1)),10)),10),10)+1,1)),"OK","REVISAR")),"REVISAR")))</f>
        <v/>
      </c>
      <c r="Q317">
        <f>IF(B317="","",IF(COUNTIFS($B$2:$B$501,B317,$D$2:$D$501,D317)&gt;1,"DUPLICADA",""))</f>
        <v/>
      </c>
      <c r="R317">
        <f>IF(A317="","",ROUNDUP(MONTH(A317)/3,0))</f>
        <v/>
      </c>
      <c r="S317" s="3" t="n"/>
    </row>
    <row r="318">
      <c r="A318" s="2" t="n"/>
      <c r="B318" s="3" t="n"/>
      <c r="C318" s="3" t="n"/>
      <c r="D318" s="3" t="n"/>
      <c r="E318" s="4" t="n"/>
      <c r="F318" s="4" t="n"/>
      <c r="G318" s="4" t="n"/>
      <c r="H318" s="4" t="n"/>
      <c r="I318" s="5">
        <f>IF(E318="","",ROUND(E318*0.21,2))</f>
        <v/>
      </c>
      <c r="J318" s="5">
        <f>IF(F318="","",ROUND(F318*0.1,2))</f>
        <v/>
      </c>
      <c r="K318" s="5">
        <f>IF(G318="","",ROUND(G318*0.04,2))</f>
        <v/>
      </c>
      <c r="L318" s="4" t="n"/>
      <c r="M318" s="4" t="n"/>
      <c r="N318" s="5">
        <f>IF(A318="","",SUM(E318:K318)-N(L318))</f>
        <v/>
      </c>
      <c r="O318">
        <f>IF(OR(A318="",M318=""),"",IF(ABS(M318-N318)&lt;=0.02,"OK","REVISAR"))</f>
        <v/>
      </c>
      <c r="P318">
        <f>IF(D318="","",IF(LEN(TRIM(D318))&lt;&gt;9,"REVISAR",IFERROR(IF(OR(ISNUMBER(VALUE(LEFT(UPPER(TRIM(D318)),1))),LEFT(UPPER(TRIM(D318)),1)="X",LEFT(UPPER(TRIM(D318)),1)="Y",LEFT(UPPER(TRIM(D318)),1)="Z"),IF(MID("TRWAGMYFPDXBNJZSQVHLCKE",MOD(VALUE(SUBSTITUTE(SUBSTITUTE(SUBSTITUTE(LEFT(UPPER(TRIM(D318)),8),"X","0"),"Y","1"),"Z","2")),23)+1,1)=RIGHT(UPPER(TRIM(D318)),1),"OK","REVISAR"),IF(OR(RIGHT(UPPER(TRIM(D318)),1)=TEXT(MOD(10-MOD((VALUE(MID(UPPER(TRIM(D318)),3,1))+VALUE(MID(UPPER(TRIM(D318)),5,1))+VALUE(MID(UPPER(TRIM(D318)),7,1)))+(INT(2*VALUE(MID(UPPER(TRIM(D318)),2,1))/10)+MOD(2*VALUE(MID(UPPER(TRIM(D318)),2,1)),10))+(INT(2*VALUE(MID(UPPER(TRIM(D318)),4,1))/10)+MOD(2*VALUE(MID(UPPER(TRIM(D318)),4,1)),10))+(INT(2*VALUE(MID(UPPER(TRIM(D318)),6,1))/10)+MOD(2*VALUE(MID(UPPER(TRIM(D318)),6,1)),10))+(INT(2*VALUE(MID(UPPER(TRIM(D318)),8,1))/10)+MOD(2*VALUE(MID(UPPER(TRIM(D318)),8,1)),10)),10),10),"0"),RIGHT(UPPER(TRIM(D318)),1)=MID("JABCDEFGHI",MOD(10-MOD((VALUE(MID(UPPER(TRIM(D318)),3,1))+VALUE(MID(UPPER(TRIM(D318)),5,1))+VALUE(MID(UPPER(TRIM(D318)),7,1)))+(INT(2*VALUE(MID(UPPER(TRIM(D318)),2,1))/10)+MOD(2*VALUE(MID(UPPER(TRIM(D318)),2,1)),10))+(INT(2*VALUE(MID(UPPER(TRIM(D318)),4,1))/10)+MOD(2*VALUE(MID(UPPER(TRIM(D318)),4,1)),10))+(INT(2*VALUE(MID(UPPER(TRIM(D318)),6,1))/10)+MOD(2*VALUE(MID(UPPER(TRIM(D318)),6,1)),10))+(INT(2*VALUE(MID(UPPER(TRIM(D318)),8,1))/10)+MOD(2*VALUE(MID(UPPER(TRIM(D318)),8,1)),10)),10),10)+1,1)),"OK","REVISAR")),"REVISAR")))</f>
        <v/>
      </c>
      <c r="Q318">
        <f>IF(B318="","",IF(COUNTIFS($B$2:$B$501,B318,$D$2:$D$501,D318)&gt;1,"DUPLICADA",""))</f>
        <v/>
      </c>
      <c r="R318">
        <f>IF(A318="","",ROUNDUP(MONTH(A318)/3,0))</f>
        <v/>
      </c>
      <c r="S318" s="3" t="n"/>
    </row>
    <row r="319">
      <c r="A319" s="2" t="n"/>
      <c r="B319" s="3" t="n"/>
      <c r="C319" s="3" t="n"/>
      <c r="D319" s="3" t="n"/>
      <c r="E319" s="4" t="n"/>
      <c r="F319" s="4" t="n"/>
      <c r="G319" s="4" t="n"/>
      <c r="H319" s="4" t="n"/>
      <c r="I319" s="5">
        <f>IF(E319="","",ROUND(E319*0.21,2))</f>
        <v/>
      </c>
      <c r="J319" s="5">
        <f>IF(F319="","",ROUND(F319*0.1,2))</f>
        <v/>
      </c>
      <c r="K319" s="5">
        <f>IF(G319="","",ROUND(G319*0.04,2))</f>
        <v/>
      </c>
      <c r="L319" s="4" t="n"/>
      <c r="M319" s="4" t="n"/>
      <c r="N319" s="5">
        <f>IF(A319="","",SUM(E319:K319)-N(L319))</f>
        <v/>
      </c>
      <c r="O319">
        <f>IF(OR(A319="",M319=""),"",IF(ABS(M319-N319)&lt;=0.02,"OK","REVISAR"))</f>
        <v/>
      </c>
      <c r="P319">
        <f>IF(D319="","",IF(LEN(TRIM(D319))&lt;&gt;9,"REVISAR",IFERROR(IF(OR(ISNUMBER(VALUE(LEFT(UPPER(TRIM(D319)),1))),LEFT(UPPER(TRIM(D319)),1)="X",LEFT(UPPER(TRIM(D319)),1)="Y",LEFT(UPPER(TRIM(D319)),1)="Z"),IF(MID("TRWAGMYFPDXBNJZSQVHLCKE",MOD(VALUE(SUBSTITUTE(SUBSTITUTE(SUBSTITUTE(LEFT(UPPER(TRIM(D319)),8),"X","0"),"Y","1"),"Z","2")),23)+1,1)=RIGHT(UPPER(TRIM(D319)),1),"OK","REVISAR"),IF(OR(RIGHT(UPPER(TRIM(D319)),1)=TEXT(MOD(10-MOD((VALUE(MID(UPPER(TRIM(D319)),3,1))+VALUE(MID(UPPER(TRIM(D319)),5,1))+VALUE(MID(UPPER(TRIM(D319)),7,1)))+(INT(2*VALUE(MID(UPPER(TRIM(D319)),2,1))/10)+MOD(2*VALUE(MID(UPPER(TRIM(D319)),2,1)),10))+(INT(2*VALUE(MID(UPPER(TRIM(D319)),4,1))/10)+MOD(2*VALUE(MID(UPPER(TRIM(D319)),4,1)),10))+(INT(2*VALUE(MID(UPPER(TRIM(D319)),6,1))/10)+MOD(2*VALUE(MID(UPPER(TRIM(D319)),6,1)),10))+(INT(2*VALUE(MID(UPPER(TRIM(D319)),8,1))/10)+MOD(2*VALUE(MID(UPPER(TRIM(D319)),8,1)),10)),10),10),"0"),RIGHT(UPPER(TRIM(D319)),1)=MID("JABCDEFGHI",MOD(10-MOD((VALUE(MID(UPPER(TRIM(D319)),3,1))+VALUE(MID(UPPER(TRIM(D319)),5,1))+VALUE(MID(UPPER(TRIM(D319)),7,1)))+(INT(2*VALUE(MID(UPPER(TRIM(D319)),2,1))/10)+MOD(2*VALUE(MID(UPPER(TRIM(D319)),2,1)),10))+(INT(2*VALUE(MID(UPPER(TRIM(D319)),4,1))/10)+MOD(2*VALUE(MID(UPPER(TRIM(D319)),4,1)),10))+(INT(2*VALUE(MID(UPPER(TRIM(D319)),6,1))/10)+MOD(2*VALUE(MID(UPPER(TRIM(D319)),6,1)),10))+(INT(2*VALUE(MID(UPPER(TRIM(D319)),8,1))/10)+MOD(2*VALUE(MID(UPPER(TRIM(D319)),8,1)),10)),10),10)+1,1)),"OK","REVISAR")),"REVISAR")))</f>
        <v/>
      </c>
      <c r="Q319">
        <f>IF(B319="","",IF(COUNTIFS($B$2:$B$501,B319,$D$2:$D$501,D319)&gt;1,"DUPLICADA",""))</f>
        <v/>
      </c>
      <c r="R319">
        <f>IF(A319="","",ROUNDUP(MONTH(A319)/3,0))</f>
        <v/>
      </c>
      <c r="S319" s="3" t="n"/>
    </row>
    <row r="320">
      <c r="A320" s="2" t="n"/>
      <c r="B320" s="3" t="n"/>
      <c r="C320" s="3" t="n"/>
      <c r="D320" s="3" t="n"/>
      <c r="E320" s="4" t="n"/>
      <c r="F320" s="4" t="n"/>
      <c r="G320" s="4" t="n"/>
      <c r="H320" s="4" t="n"/>
      <c r="I320" s="5">
        <f>IF(E320="","",ROUND(E320*0.21,2))</f>
        <v/>
      </c>
      <c r="J320" s="5">
        <f>IF(F320="","",ROUND(F320*0.1,2))</f>
        <v/>
      </c>
      <c r="K320" s="5">
        <f>IF(G320="","",ROUND(G320*0.04,2))</f>
        <v/>
      </c>
      <c r="L320" s="4" t="n"/>
      <c r="M320" s="4" t="n"/>
      <c r="N320" s="5">
        <f>IF(A320="","",SUM(E320:K320)-N(L320))</f>
        <v/>
      </c>
      <c r="O320">
        <f>IF(OR(A320="",M320=""),"",IF(ABS(M320-N320)&lt;=0.02,"OK","REVISAR"))</f>
        <v/>
      </c>
      <c r="P320">
        <f>IF(D320="","",IF(LEN(TRIM(D320))&lt;&gt;9,"REVISAR",IFERROR(IF(OR(ISNUMBER(VALUE(LEFT(UPPER(TRIM(D320)),1))),LEFT(UPPER(TRIM(D320)),1)="X",LEFT(UPPER(TRIM(D320)),1)="Y",LEFT(UPPER(TRIM(D320)),1)="Z"),IF(MID("TRWAGMYFPDXBNJZSQVHLCKE",MOD(VALUE(SUBSTITUTE(SUBSTITUTE(SUBSTITUTE(LEFT(UPPER(TRIM(D320)),8),"X","0"),"Y","1"),"Z","2")),23)+1,1)=RIGHT(UPPER(TRIM(D320)),1),"OK","REVISAR"),IF(OR(RIGHT(UPPER(TRIM(D320)),1)=TEXT(MOD(10-MOD((VALUE(MID(UPPER(TRIM(D320)),3,1))+VALUE(MID(UPPER(TRIM(D320)),5,1))+VALUE(MID(UPPER(TRIM(D320)),7,1)))+(INT(2*VALUE(MID(UPPER(TRIM(D320)),2,1))/10)+MOD(2*VALUE(MID(UPPER(TRIM(D320)),2,1)),10))+(INT(2*VALUE(MID(UPPER(TRIM(D320)),4,1))/10)+MOD(2*VALUE(MID(UPPER(TRIM(D320)),4,1)),10))+(INT(2*VALUE(MID(UPPER(TRIM(D320)),6,1))/10)+MOD(2*VALUE(MID(UPPER(TRIM(D320)),6,1)),10))+(INT(2*VALUE(MID(UPPER(TRIM(D320)),8,1))/10)+MOD(2*VALUE(MID(UPPER(TRIM(D320)),8,1)),10)),10),10),"0"),RIGHT(UPPER(TRIM(D320)),1)=MID("JABCDEFGHI",MOD(10-MOD((VALUE(MID(UPPER(TRIM(D320)),3,1))+VALUE(MID(UPPER(TRIM(D320)),5,1))+VALUE(MID(UPPER(TRIM(D320)),7,1)))+(INT(2*VALUE(MID(UPPER(TRIM(D320)),2,1))/10)+MOD(2*VALUE(MID(UPPER(TRIM(D320)),2,1)),10))+(INT(2*VALUE(MID(UPPER(TRIM(D320)),4,1))/10)+MOD(2*VALUE(MID(UPPER(TRIM(D320)),4,1)),10))+(INT(2*VALUE(MID(UPPER(TRIM(D320)),6,1))/10)+MOD(2*VALUE(MID(UPPER(TRIM(D320)),6,1)),10))+(INT(2*VALUE(MID(UPPER(TRIM(D320)),8,1))/10)+MOD(2*VALUE(MID(UPPER(TRIM(D320)),8,1)),10)),10),10)+1,1)),"OK","REVISAR")),"REVISAR")))</f>
        <v/>
      </c>
      <c r="Q320">
        <f>IF(B320="","",IF(COUNTIFS($B$2:$B$501,B320,$D$2:$D$501,D320)&gt;1,"DUPLICADA",""))</f>
        <v/>
      </c>
      <c r="R320">
        <f>IF(A320="","",ROUNDUP(MONTH(A320)/3,0))</f>
        <v/>
      </c>
      <c r="S320" s="3" t="n"/>
    </row>
    <row r="321">
      <c r="A321" s="2" t="n"/>
      <c r="B321" s="3" t="n"/>
      <c r="C321" s="3" t="n"/>
      <c r="D321" s="3" t="n"/>
      <c r="E321" s="4" t="n"/>
      <c r="F321" s="4" t="n"/>
      <c r="G321" s="4" t="n"/>
      <c r="H321" s="4" t="n"/>
      <c r="I321" s="5">
        <f>IF(E321="","",ROUND(E321*0.21,2))</f>
        <v/>
      </c>
      <c r="J321" s="5">
        <f>IF(F321="","",ROUND(F321*0.1,2))</f>
        <v/>
      </c>
      <c r="K321" s="5">
        <f>IF(G321="","",ROUND(G321*0.04,2))</f>
        <v/>
      </c>
      <c r="L321" s="4" t="n"/>
      <c r="M321" s="4" t="n"/>
      <c r="N321" s="5">
        <f>IF(A321="","",SUM(E321:K321)-N(L321))</f>
        <v/>
      </c>
      <c r="O321">
        <f>IF(OR(A321="",M321=""),"",IF(ABS(M321-N321)&lt;=0.02,"OK","REVISAR"))</f>
        <v/>
      </c>
      <c r="P321">
        <f>IF(D321="","",IF(LEN(TRIM(D321))&lt;&gt;9,"REVISAR",IFERROR(IF(OR(ISNUMBER(VALUE(LEFT(UPPER(TRIM(D321)),1))),LEFT(UPPER(TRIM(D321)),1)="X",LEFT(UPPER(TRIM(D321)),1)="Y",LEFT(UPPER(TRIM(D321)),1)="Z"),IF(MID("TRWAGMYFPDXBNJZSQVHLCKE",MOD(VALUE(SUBSTITUTE(SUBSTITUTE(SUBSTITUTE(LEFT(UPPER(TRIM(D321)),8),"X","0"),"Y","1"),"Z","2")),23)+1,1)=RIGHT(UPPER(TRIM(D321)),1),"OK","REVISAR"),IF(OR(RIGHT(UPPER(TRIM(D321)),1)=TEXT(MOD(10-MOD((VALUE(MID(UPPER(TRIM(D321)),3,1))+VALUE(MID(UPPER(TRIM(D321)),5,1))+VALUE(MID(UPPER(TRIM(D321)),7,1)))+(INT(2*VALUE(MID(UPPER(TRIM(D321)),2,1))/10)+MOD(2*VALUE(MID(UPPER(TRIM(D321)),2,1)),10))+(INT(2*VALUE(MID(UPPER(TRIM(D321)),4,1))/10)+MOD(2*VALUE(MID(UPPER(TRIM(D321)),4,1)),10))+(INT(2*VALUE(MID(UPPER(TRIM(D321)),6,1))/10)+MOD(2*VALUE(MID(UPPER(TRIM(D321)),6,1)),10))+(INT(2*VALUE(MID(UPPER(TRIM(D321)),8,1))/10)+MOD(2*VALUE(MID(UPPER(TRIM(D321)),8,1)),10)),10),10),"0"),RIGHT(UPPER(TRIM(D321)),1)=MID("JABCDEFGHI",MOD(10-MOD((VALUE(MID(UPPER(TRIM(D321)),3,1))+VALUE(MID(UPPER(TRIM(D321)),5,1))+VALUE(MID(UPPER(TRIM(D321)),7,1)))+(INT(2*VALUE(MID(UPPER(TRIM(D321)),2,1))/10)+MOD(2*VALUE(MID(UPPER(TRIM(D321)),2,1)),10))+(INT(2*VALUE(MID(UPPER(TRIM(D321)),4,1))/10)+MOD(2*VALUE(MID(UPPER(TRIM(D321)),4,1)),10))+(INT(2*VALUE(MID(UPPER(TRIM(D321)),6,1))/10)+MOD(2*VALUE(MID(UPPER(TRIM(D321)),6,1)),10))+(INT(2*VALUE(MID(UPPER(TRIM(D321)),8,1))/10)+MOD(2*VALUE(MID(UPPER(TRIM(D321)),8,1)),10)),10),10)+1,1)),"OK","REVISAR")),"REVISAR")))</f>
        <v/>
      </c>
      <c r="Q321">
        <f>IF(B321="","",IF(COUNTIFS($B$2:$B$501,B321,$D$2:$D$501,D321)&gt;1,"DUPLICADA",""))</f>
        <v/>
      </c>
      <c r="R321">
        <f>IF(A321="","",ROUNDUP(MONTH(A321)/3,0))</f>
        <v/>
      </c>
      <c r="S321" s="3" t="n"/>
    </row>
    <row r="322">
      <c r="A322" s="2" t="n"/>
      <c r="B322" s="3" t="n"/>
      <c r="C322" s="3" t="n"/>
      <c r="D322" s="3" t="n"/>
      <c r="E322" s="4" t="n"/>
      <c r="F322" s="4" t="n"/>
      <c r="G322" s="4" t="n"/>
      <c r="H322" s="4" t="n"/>
      <c r="I322" s="5">
        <f>IF(E322="","",ROUND(E322*0.21,2))</f>
        <v/>
      </c>
      <c r="J322" s="5">
        <f>IF(F322="","",ROUND(F322*0.1,2))</f>
        <v/>
      </c>
      <c r="K322" s="5">
        <f>IF(G322="","",ROUND(G322*0.04,2))</f>
        <v/>
      </c>
      <c r="L322" s="4" t="n"/>
      <c r="M322" s="4" t="n"/>
      <c r="N322" s="5">
        <f>IF(A322="","",SUM(E322:K322)-N(L322))</f>
        <v/>
      </c>
      <c r="O322">
        <f>IF(OR(A322="",M322=""),"",IF(ABS(M322-N322)&lt;=0.02,"OK","REVISAR"))</f>
        <v/>
      </c>
      <c r="P322">
        <f>IF(D322="","",IF(LEN(TRIM(D322))&lt;&gt;9,"REVISAR",IFERROR(IF(OR(ISNUMBER(VALUE(LEFT(UPPER(TRIM(D322)),1))),LEFT(UPPER(TRIM(D322)),1)="X",LEFT(UPPER(TRIM(D322)),1)="Y",LEFT(UPPER(TRIM(D322)),1)="Z"),IF(MID("TRWAGMYFPDXBNJZSQVHLCKE",MOD(VALUE(SUBSTITUTE(SUBSTITUTE(SUBSTITUTE(LEFT(UPPER(TRIM(D322)),8),"X","0"),"Y","1"),"Z","2")),23)+1,1)=RIGHT(UPPER(TRIM(D322)),1),"OK","REVISAR"),IF(OR(RIGHT(UPPER(TRIM(D322)),1)=TEXT(MOD(10-MOD((VALUE(MID(UPPER(TRIM(D322)),3,1))+VALUE(MID(UPPER(TRIM(D322)),5,1))+VALUE(MID(UPPER(TRIM(D322)),7,1)))+(INT(2*VALUE(MID(UPPER(TRIM(D322)),2,1))/10)+MOD(2*VALUE(MID(UPPER(TRIM(D322)),2,1)),10))+(INT(2*VALUE(MID(UPPER(TRIM(D322)),4,1))/10)+MOD(2*VALUE(MID(UPPER(TRIM(D322)),4,1)),10))+(INT(2*VALUE(MID(UPPER(TRIM(D322)),6,1))/10)+MOD(2*VALUE(MID(UPPER(TRIM(D322)),6,1)),10))+(INT(2*VALUE(MID(UPPER(TRIM(D322)),8,1))/10)+MOD(2*VALUE(MID(UPPER(TRIM(D322)),8,1)),10)),10),10),"0"),RIGHT(UPPER(TRIM(D322)),1)=MID("JABCDEFGHI",MOD(10-MOD((VALUE(MID(UPPER(TRIM(D322)),3,1))+VALUE(MID(UPPER(TRIM(D322)),5,1))+VALUE(MID(UPPER(TRIM(D322)),7,1)))+(INT(2*VALUE(MID(UPPER(TRIM(D322)),2,1))/10)+MOD(2*VALUE(MID(UPPER(TRIM(D322)),2,1)),10))+(INT(2*VALUE(MID(UPPER(TRIM(D322)),4,1))/10)+MOD(2*VALUE(MID(UPPER(TRIM(D322)),4,1)),10))+(INT(2*VALUE(MID(UPPER(TRIM(D322)),6,1))/10)+MOD(2*VALUE(MID(UPPER(TRIM(D322)),6,1)),10))+(INT(2*VALUE(MID(UPPER(TRIM(D322)),8,1))/10)+MOD(2*VALUE(MID(UPPER(TRIM(D322)),8,1)),10)),10),10)+1,1)),"OK","REVISAR")),"REVISAR")))</f>
        <v/>
      </c>
      <c r="Q322">
        <f>IF(B322="","",IF(COUNTIFS($B$2:$B$501,B322,$D$2:$D$501,D322)&gt;1,"DUPLICADA",""))</f>
        <v/>
      </c>
      <c r="R322">
        <f>IF(A322="","",ROUNDUP(MONTH(A322)/3,0))</f>
        <v/>
      </c>
      <c r="S322" s="3" t="n"/>
    </row>
    <row r="323">
      <c r="A323" s="2" t="n"/>
      <c r="B323" s="3" t="n"/>
      <c r="C323" s="3" t="n"/>
      <c r="D323" s="3" t="n"/>
      <c r="E323" s="4" t="n"/>
      <c r="F323" s="4" t="n"/>
      <c r="G323" s="4" t="n"/>
      <c r="H323" s="4" t="n"/>
      <c r="I323" s="5">
        <f>IF(E323="","",ROUND(E323*0.21,2))</f>
        <v/>
      </c>
      <c r="J323" s="5">
        <f>IF(F323="","",ROUND(F323*0.1,2))</f>
        <v/>
      </c>
      <c r="K323" s="5">
        <f>IF(G323="","",ROUND(G323*0.04,2))</f>
        <v/>
      </c>
      <c r="L323" s="4" t="n"/>
      <c r="M323" s="4" t="n"/>
      <c r="N323" s="5">
        <f>IF(A323="","",SUM(E323:K323)-N(L323))</f>
        <v/>
      </c>
      <c r="O323">
        <f>IF(OR(A323="",M323=""),"",IF(ABS(M323-N323)&lt;=0.02,"OK","REVISAR"))</f>
        <v/>
      </c>
      <c r="P323">
        <f>IF(D323="","",IF(LEN(TRIM(D323))&lt;&gt;9,"REVISAR",IFERROR(IF(OR(ISNUMBER(VALUE(LEFT(UPPER(TRIM(D323)),1))),LEFT(UPPER(TRIM(D323)),1)="X",LEFT(UPPER(TRIM(D323)),1)="Y",LEFT(UPPER(TRIM(D323)),1)="Z"),IF(MID("TRWAGMYFPDXBNJZSQVHLCKE",MOD(VALUE(SUBSTITUTE(SUBSTITUTE(SUBSTITUTE(LEFT(UPPER(TRIM(D323)),8),"X","0"),"Y","1"),"Z","2")),23)+1,1)=RIGHT(UPPER(TRIM(D323)),1),"OK","REVISAR"),IF(OR(RIGHT(UPPER(TRIM(D323)),1)=TEXT(MOD(10-MOD((VALUE(MID(UPPER(TRIM(D323)),3,1))+VALUE(MID(UPPER(TRIM(D323)),5,1))+VALUE(MID(UPPER(TRIM(D323)),7,1)))+(INT(2*VALUE(MID(UPPER(TRIM(D323)),2,1))/10)+MOD(2*VALUE(MID(UPPER(TRIM(D323)),2,1)),10))+(INT(2*VALUE(MID(UPPER(TRIM(D323)),4,1))/10)+MOD(2*VALUE(MID(UPPER(TRIM(D323)),4,1)),10))+(INT(2*VALUE(MID(UPPER(TRIM(D323)),6,1))/10)+MOD(2*VALUE(MID(UPPER(TRIM(D323)),6,1)),10))+(INT(2*VALUE(MID(UPPER(TRIM(D323)),8,1))/10)+MOD(2*VALUE(MID(UPPER(TRIM(D323)),8,1)),10)),10),10),"0"),RIGHT(UPPER(TRIM(D323)),1)=MID("JABCDEFGHI",MOD(10-MOD((VALUE(MID(UPPER(TRIM(D323)),3,1))+VALUE(MID(UPPER(TRIM(D323)),5,1))+VALUE(MID(UPPER(TRIM(D323)),7,1)))+(INT(2*VALUE(MID(UPPER(TRIM(D323)),2,1))/10)+MOD(2*VALUE(MID(UPPER(TRIM(D323)),2,1)),10))+(INT(2*VALUE(MID(UPPER(TRIM(D323)),4,1))/10)+MOD(2*VALUE(MID(UPPER(TRIM(D323)),4,1)),10))+(INT(2*VALUE(MID(UPPER(TRIM(D323)),6,1))/10)+MOD(2*VALUE(MID(UPPER(TRIM(D323)),6,1)),10))+(INT(2*VALUE(MID(UPPER(TRIM(D323)),8,1))/10)+MOD(2*VALUE(MID(UPPER(TRIM(D323)),8,1)),10)),10),10)+1,1)),"OK","REVISAR")),"REVISAR")))</f>
        <v/>
      </c>
      <c r="Q323">
        <f>IF(B323="","",IF(COUNTIFS($B$2:$B$501,B323,$D$2:$D$501,D323)&gt;1,"DUPLICADA",""))</f>
        <v/>
      </c>
      <c r="R323">
        <f>IF(A323="","",ROUNDUP(MONTH(A323)/3,0))</f>
        <v/>
      </c>
      <c r="S323" s="3" t="n"/>
    </row>
    <row r="324">
      <c r="A324" s="2" t="n"/>
      <c r="B324" s="3" t="n"/>
      <c r="C324" s="3" t="n"/>
      <c r="D324" s="3" t="n"/>
      <c r="E324" s="4" t="n"/>
      <c r="F324" s="4" t="n"/>
      <c r="G324" s="4" t="n"/>
      <c r="H324" s="4" t="n"/>
      <c r="I324" s="5">
        <f>IF(E324="","",ROUND(E324*0.21,2))</f>
        <v/>
      </c>
      <c r="J324" s="5">
        <f>IF(F324="","",ROUND(F324*0.1,2))</f>
        <v/>
      </c>
      <c r="K324" s="5">
        <f>IF(G324="","",ROUND(G324*0.04,2))</f>
        <v/>
      </c>
      <c r="L324" s="4" t="n"/>
      <c r="M324" s="4" t="n"/>
      <c r="N324" s="5">
        <f>IF(A324="","",SUM(E324:K324)-N(L324))</f>
        <v/>
      </c>
      <c r="O324">
        <f>IF(OR(A324="",M324=""),"",IF(ABS(M324-N324)&lt;=0.02,"OK","REVISAR"))</f>
        <v/>
      </c>
      <c r="P324">
        <f>IF(D324="","",IF(LEN(TRIM(D324))&lt;&gt;9,"REVISAR",IFERROR(IF(OR(ISNUMBER(VALUE(LEFT(UPPER(TRIM(D324)),1))),LEFT(UPPER(TRIM(D324)),1)="X",LEFT(UPPER(TRIM(D324)),1)="Y",LEFT(UPPER(TRIM(D324)),1)="Z"),IF(MID("TRWAGMYFPDXBNJZSQVHLCKE",MOD(VALUE(SUBSTITUTE(SUBSTITUTE(SUBSTITUTE(LEFT(UPPER(TRIM(D324)),8),"X","0"),"Y","1"),"Z","2")),23)+1,1)=RIGHT(UPPER(TRIM(D324)),1),"OK","REVISAR"),IF(OR(RIGHT(UPPER(TRIM(D324)),1)=TEXT(MOD(10-MOD((VALUE(MID(UPPER(TRIM(D324)),3,1))+VALUE(MID(UPPER(TRIM(D324)),5,1))+VALUE(MID(UPPER(TRIM(D324)),7,1)))+(INT(2*VALUE(MID(UPPER(TRIM(D324)),2,1))/10)+MOD(2*VALUE(MID(UPPER(TRIM(D324)),2,1)),10))+(INT(2*VALUE(MID(UPPER(TRIM(D324)),4,1))/10)+MOD(2*VALUE(MID(UPPER(TRIM(D324)),4,1)),10))+(INT(2*VALUE(MID(UPPER(TRIM(D324)),6,1))/10)+MOD(2*VALUE(MID(UPPER(TRIM(D324)),6,1)),10))+(INT(2*VALUE(MID(UPPER(TRIM(D324)),8,1))/10)+MOD(2*VALUE(MID(UPPER(TRIM(D324)),8,1)),10)),10),10),"0"),RIGHT(UPPER(TRIM(D324)),1)=MID("JABCDEFGHI",MOD(10-MOD((VALUE(MID(UPPER(TRIM(D324)),3,1))+VALUE(MID(UPPER(TRIM(D324)),5,1))+VALUE(MID(UPPER(TRIM(D324)),7,1)))+(INT(2*VALUE(MID(UPPER(TRIM(D324)),2,1))/10)+MOD(2*VALUE(MID(UPPER(TRIM(D324)),2,1)),10))+(INT(2*VALUE(MID(UPPER(TRIM(D324)),4,1))/10)+MOD(2*VALUE(MID(UPPER(TRIM(D324)),4,1)),10))+(INT(2*VALUE(MID(UPPER(TRIM(D324)),6,1))/10)+MOD(2*VALUE(MID(UPPER(TRIM(D324)),6,1)),10))+(INT(2*VALUE(MID(UPPER(TRIM(D324)),8,1))/10)+MOD(2*VALUE(MID(UPPER(TRIM(D324)),8,1)),10)),10),10)+1,1)),"OK","REVISAR")),"REVISAR")))</f>
        <v/>
      </c>
      <c r="Q324">
        <f>IF(B324="","",IF(COUNTIFS($B$2:$B$501,B324,$D$2:$D$501,D324)&gt;1,"DUPLICADA",""))</f>
        <v/>
      </c>
      <c r="R324">
        <f>IF(A324="","",ROUNDUP(MONTH(A324)/3,0))</f>
        <v/>
      </c>
      <c r="S324" s="3" t="n"/>
    </row>
    <row r="325">
      <c r="A325" s="2" t="n"/>
      <c r="B325" s="3" t="n"/>
      <c r="C325" s="3" t="n"/>
      <c r="D325" s="3" t="n"/>
      <c r="E325" s="4" t="n"/>
      <c r="F325" s="4" t="n"/>
      <c r="G325" s="4" t="n"/>
      <c r="H325" s="4" t="n"/>
      <c r="I325" s="5">
        <f>IF(E325="","",ROUND(E325*0.21,2))</f>
        <v/>
      </c>
      <c r="J325" s="5">
        <f>IF(F325="","",ROUND(F325*0.1,2))</f>
        <v/>
      </c>
      <c r="K325" s="5">
        <f>IF(G325="","",ROUND(G325*0.04,2))</f>
        <v/>
      </c>
      <c r="L325" s="4" t="n"/>
      <c r="M325" s="4" t="n"/>
      <c r="N325" s="5">
        <f>IF(A325="","",SUM(E325:K325)-N(L325))</f>
        <v/>
      </c>
      <c r="O325">
        <f>IF(OR(A325="",M325=""),"",IF(ABS(M325-N325)&lt;=0.02,"OK","REVISAR"))</f>
        <v/>
      </c>
      <c r="P325">
        <f>IF(D325="","",IF(LEN(TRIM(D325))&lt;&gt;9,"REVISAR",IFERROR(IF(OR(ISNUMBER(VALUE(LEFT(UPPER(TRIM(D325)),1))),LEFT(UPPER(TRIM(D325)),1)="X",LEFT(UPPER(TRIM(D325)),1)="Y",LEFT(UPPER(TRIM(D325)),1)="Z"),IF(MID("TRWAGMYFPDXBNJZSQVHLCKE",MOD(VALUE(SUBSTITUTE(SUBSTITUTE(SUBSTITUTE(LEFT(UPPER(TRIM(D325)),8),"X","0"),"Y","1"),"Z","2")),23)+1,1)=RIGHT(UPPER(TRIM(D325)),1),"OK","REVISAR"),IF(OR(RIGHT(UPPER(TRIM(D325)),1)=TEXT(MOD(10-MOD((VALUE(MID(UPPER(TRIM(D325)),3,1))+VALUE(MID(UPPER(TRIM(D325)),5,1))+VALUE(MID(UPPER(TRIM(D325)),7,1)))+(INT(2*VALUE(MID(UPPER(TRIM(D325)),2,1))/10)+MOD(2*VALUE(MID(UPPER(TRIM(D325)),2,1)),10))+(INT(2*VALUE(MID(UPPER(TRIM(D325)),4,1))/10)+MOD(2*VALUE(MID(UPPER(TRIM(D325)),4,1)),10))+(INT(2*VALUE(MID(UPPER(TRIM(D325)),6,1))/10)+MOD(2*VALUE(MID(UPPER(TRIM(D325)),6,1)),10))+(INT(2*VALUE(MID(UPPER(TRIM(D325)),8,1))/10)+MOD(2*VALUE(MID(UPPER(TRIM(D325)),8,1)),10)),10),10),"0"),RIGHT(UPPER(TRIM(D325)),1)=MID("JABCDEFGHI",MOD(10-MOD((VALUE(MID(UPPER(TRIM(D325)),3,1))+VALUE(MID(UPPER(TRIM(D325)),5,1))+VALUE(MID(UPPER(TRIM(D325)),7,1)))+(INT(2*VALUE(MID(UPPER(TRIM(D325)),2,1))/10)+MOD(2*VALUE(MID(UPPER(TRIM(D325)),2,1)),10))+(INT(2*VALUE(MID(UPPER(TRIM(D325)),4,1))/10)+MOD(2*VALUE(MID(UPPER(TRIM(D325)),4,1)),10))+(INT(2*VALUE(MID(UPPER(TRIM(D325)),6,1))/10)+MOD(2*VALUE(MID(UPPER(TRIM(D325)),6,1)),10))+(INT(2*VALUE(MID(UPPER(TRIM(D325)),8,1))/10)+MOD(2*VALUE(MID(UPPER(TRIM(D325)),8,1)),10)),10),10)+1,1)),"OK","REVISAR")),"REVISAR")))</f>
        <v/>
      </c>
      <c r="Q325">
        <f>IF(B325="","",IF(COUNTIFS($B$2:$B$501,B325,$D$2:$D$501,D325)&gt;1,"DUPLICADA",""))</f>
        <v/>
      </c>
      <c r="R325">
        <f>IF(A325="","",ROUNDUP(MONTH(A325)/3,0))</f>
        <v/>
      </c>
      <c r="S325" s="3" t="n"/>
    </row>
    <row r="326">
      <c r="A326" s="2" t="n"/>
      <c r="B326" s="3" t="n"/>
      <c r="C326" s="3" t="n"/>
      <c r="D326" s="3" t="n"/>
      <c r="E326" s="4" t="n"/>
      <c r="F326" s="4" t="n"/>
      <c r="G326" s="4" t="n"/>
      <c r="H326" s="4" t="n"/>
      <c r="I326" s="5">
        <f>IF(E326="","",ROUND(E326*0.21,2))</f>
        <v/>
      </c>
      <c r="J326" s="5">
        <f>IF(F326="","",ROUND(F326*0.1,2))</f>
        <v/>
      </c>
      <c r="K326" s="5">
        <f>IF(G326="","",ROUND(G326*0.04,2))</f>
        <v/>
      </c>
      <c r="L326" s="4" t="n"/>
      <c r="M326" s="4" t="n"/>
      <c r="N326" s="5">
        <f>IF(A326="","",SUM(E326:K326)-N(L326))</f>
        <v/>
      </c>
      <c r="O326">
        <f>IF(OR(A326="",M326=""),"",IF(ABS(M326-N326)&lt;=0.02,"OK","REVISAR"))</f>
        <v/>
      </c>
      <c r="P326">
        <f>IF(D326="","",IF(LEN(TRIM(D326))&lt;&gt;9,"REVISAR",IFERROR(IF(OR(ISNUMBER(VALUE(LEFT(UPPER(TRIM(D326)),1))),LEFT(UPPER(TRIM(D326)),1)="X",LEFT(UPPER(TRIM(D326)),1)="Y",LEFT(UPPER(TRIM(D326)),1)="Z"),IF(MID("TRWAGMYFPDXBNJZSQVHLCKE",MOD(VALUE(SUBSTITUTE(SUBSTITUTE(SUBSTITUTE(LEFT(UPPER(TRIM(D326)),8),"X","0"),"Y","1"),"Z","2")),23)+1,1)=RIGHT(UPPER(TRIM(D326)),1),"OK","REVISAR"),IF(OR(RIGHT(UPPER(TRIM(D326)),1)=TEXT(MOD(10-MOD((VALUE(MID(UPPER(TRIM(D326)),3,1))+VALUE(MID(UPPER(TRIM(D326)),5,1))+VALUE(MID(UPPER(TRIM(D326)),7,1)))+(INT(2*VALUE(MID(UPPER(TRIM(D326)),2,1))/10)+MOD(2*VALUE(MID(UPPER(TRIM(D326)),2,1)),10))+(INT(2*VALUE(MID(UPPER(TRIM(D326)),4,1))/10)+MOD(2*VALUE(MID(UPPER(TRIM(D326)),4,1)),10))+(INT(2*VALUE(MID(UPPER(TRIM(D326)),6,1))/10)+MOD(2*VALUE(MID(UPPER(TRIM(D326)),6,1)),10))+(INT(2*VALUE(MID(UPPER(TRIM(D326)),8,1))/10)+MOD(2*VALUE(MID(UPPER(TRIM(D326)),8,1)),10)),10),10),"0"),RIGHT(UPPER(TRIM(D326)),1)=MID("JABCDEFGHI",MOD(10-MOD((VALUE(MID(UPPER(TRIM(D326)),3,1))+VALUE(MID(UPPER(TRIM(D326)),5,1))+VALUE(MID(UPPER(TRIM(D326)),7,1)))+(INT(2*VALUE(MID(UPPER(TRIM(D326)),2,1))/10)+MOD(2*VALUE(MID(UPPER(TRIM(D326)),2,1)),10))+(INT(2*VALUE(MID(UPPER(TRIM(D326)),4,1))/10)+MOD(2*VALUE(MID(UPPER(TRIM(D326)),4,1)),10))+(INT(2*VALUE(MID(UPPER(TRIM(D326)),6,1))/10)+MOD(2*VALUE(MID(UPPER(TRIM(D326)),6,1)),10))+(INT(2*VALUE(MID(UPPER(TRIM(D326)),8,1))/10)+MOD(2*VALUE(MID(UPPER(TRIM(D326)),8,1)),10)),10),10)+1,1)),"OK","REVISAR")),"REVISAR")))</f>
        <v/>
      </c>
      <c r="Q326">
        <f>IF(B326="","",IF(COUNTIFS($B$2:$B$501,B326,$D$2:$D$501,D326)&gt;1,"DUPLICADA",""))</f>
        <v/>
      </c>
      <c r="R326">
        <f>IF(A326="","",ROUNDUP(MONTH(A326)/3,0))</f>
        <v/>
      </c>
      <c r="S326" s="3" t="n"/>
    </row>
    <row r="327">
      <c r="A327" s="2" t="n"/>
      <c r="B327" s="3" t="n"/>
      <c r="C327" s="3" t="n"/>
      <c r="D327" s="3" t="n"/>
      <c r="E327" s="4" t="n"/>
      <c r="F327" s="4" t="n"/>
      <c r="G327" s="4" t="n"/>
      <c r="H327" s="4" t="n"/>
      <c r="I327" s="5">
        <f>IF(E327="","",ROUND(E327*0.21,2))</f>
        <v/>
      </c>
      <c r="J327" s="5">
        <f>IF(F327="","",ROUND(F327*0.1,2))</f>
        <v/>
      </c>
      <c r="K327" s="5">
        <f>IF(G327="","",ROUND(G327*0.04,2))</f>
        <v/>
      </c>
      <c r="L327" s="4" t="n"/>
      <c r="M327" s="4" t="n"/>
      <c r="N327" s="5">
        <f>IF(A327="","",SUM(E327:K327)-N(L327))</f>
        <v/>
      </c>
      <c r="O327">
        <f>IF(OR(A327="",M327=""),"",IF(ABS(M327-N327)&lt;=0.02,"OK","REVISAR"))</f>
        <v/>
      </c>
      <c r="P327">
        <f>IF(D327="","",IF(LEN(TRIM(D327))&lt;&gt;9,"REVISAR",IFERROR(IF(OR(ISNUMBER(VALUE(LEFT(UPPER(TRIM(D327)),1))),LEFT(UPPER(TRIM(D327)),1)="X",LEFT(UPPER(TRIM(D327)),1)="Y",LEFT(UPPER(TRIM(D327)),1)="Z"),IF(MID("TRWAGMYFPDXBNJZSQVHLCKE",MOD(VALUE(SUBSTITUTE(SUBSTITUTE(SUBSTITUTE(LEFT(UPPER(TRIM(D327)),8),"X","0"),"Y","1"),"Z","2")),23)+1,1)=RIGHT(UPPER(TRIM(D327)),1),"OK","REVISAR"),IF(OR(RIGHT(UPPER(TRIM(D327)),1)=TEXT(MOD(10-MOD((VALUE(MID(UPPER(TRIM(D327)),3,1))+VALUE(MID(UPPER(TRIM(D327)),5,1))+VALUE(MID(UPPER(TRIM(D327)),7,1)))+(INT(2*VALUE(MID(UPPER(TRIM(D327)),2,1))/10)+MOD(2*VALUE(MID(UPPER(TRIM(D327)),2,1)),10))+(INT(2*VALUE(MID(UPPER(TRIM(D327)),4,1))/10)+MOD(2*VALUE(MID(UPPER(TRIM(D327)),4,1)),10))+(INT(2*VALUE(MID(UPPER(TRIM(D327)),6,1))/10)+MOD(2*VALUE(MID(UPPER(TRIM(D327)),6,1)),10))+(INT(2*VALUE(MID(UPPER(TRIM(D327)),8,1))/10)+MOD(2*VALUE(MID(UPPER(TRIM(D327)),8,1)),10)),10),10),"0"),RIGHT(UPPER(TRIM(D327)),1)=MID("JABCDEFGHI",MOD(10-MOD((VALUE(MID(UPPER(TRIM(D327)),3,1))+VALUE(MID(UPPER(TRIM(D327)),5,1))+VALUE(MID(UPPER(TRIM(D327)),7,1)))+(INT(2*VALUE(MID(UPPER(TRIM(D327)),2,1))/10)+MOD(2*VALUE(MID(UPPER(TRIM(D327)),2,1)),10))+(INT(2*VALUE(MID(UPPER(TRIM(D327)),4,1))/10)+MOD(2*VALUE(MID(UPPER(TRIM(D327)),4,1)),10))+(INT(2*VALUE(MID(UPPER(TRIM(D327)),6,1))/10)+MOD(2*VALUE(MID(UPPER(TRIM(D327)),6,1)),10))+(INT(2*VALUE(MID(UPPER(TRIM(D327)),8,1))/10)+MOD(2*VALUE(MID(UPPER(TRIM(D327)),8,1)),10)),10),10)+1,1)),"OK","REVISAR")),"REVISAR")))</f>
        <v/>
      </c>
      <c r="Q327">
        <f>IF(B327="","",IF(COUNTIFS($B$2:$B$501,B327,$D$2:$D$501,D327)&gt;1,"DUPLICADA",""))</f>
        <v/>
      </c>
      <c r="R327">
        <f>IF(A327="","",ROUNDUP(MONTH(A327)/3,0))</f>
        <v/>
      </c>
      <c r="S327" s="3" t="n"/>
    </row>
    <row r="328">
      <c r="A328" s="2" t="n"/>
      <c r="B328" s="3" t="n"/>
      <c r="C328" s="3" t="n"/>
      <c r="D328" s="3" t="n"/>
      <c r="E328" s="4" t="n"/>
      <c r="F328" s="4" t="n"/>
      <c r="G328" s="4" t="n"/>
      <c r="H328" s="4" t="n"/>
      <c r="I328" s="5">
        <f>IF(E328="","",ROUND(E328*0.21,2))</f>
        <v/>
      </c>
      <c r="J328" s="5">
        <f>IF(F328="","",ROUND(F328*0.1,2))</f>
        <v/>
      </c>
      <c r="K328" s="5">
        <f>IF(G328="","",ROUND(G328*0.04,2))</f>
        <v/>
      </c>
      <c r="L328" s="4" t="n"/>
      <c r="M328" s="4" t="n"/>
      <c r="N328" s="5">
        <f>IF(A328="","",SUM(E328:K328)-N(L328))</f>
        <v/>
      </c>
      <c r="O328">
        <f>IF(OR(A328="",M328=""),"",IF(ABS(M328-N328)&lt;=0.02,"OK","REVISAR"))</f>
        <v/>
      </c>
      <c r="P328">
        <f>IF(D328="","",IF(LEN(TRIM(D328))&lt;&gt;9,"REVISAR",IFERROR(IF(OR(ISNUMBER(VALUE(LEFT(UPPER(TRIM(D328)),1))),LEFT(UPPER(TRIM(D328)),1)="X",LEFT(UPPER(TRIM(D328)),1)="Y",LEFT(UPPER(TRIM(D328)),1)="Z"),IF(MID("TRWAGMYFPDXBNJZSQVHLCKE",MOD(VALUE(SUBSTITUTE(SUBSTITUTE(SUBSTITUTE(LEFT(UPPER(TRIM(D328)),8),"X","0"),"Y","1"),"Z","2")),23)+1,1)=RIGHT(UPPER(TRIM(D328)),1),"OK","REVISAR"),IF(OR(RIGHT(UPPER(TRIM(D328)),1)=TEXT(MOD(10-MOD((VALUE(MID(UPPER(TRIM(D328)),3,1))+VALUE(MID(UPPER(TRIM(D328)),5,1))+VALUE(MID(UPPER(TRIM(D328)),7,1)))+(INT(2*VALUE(MID(UPPER(TRIM(D328)),2,1))/10)+MOD(2*VALUE(MID(UPPER(TRIM(D328)),2,1)),10))+(INT(2*VALUE(MID(UPPER(TRIM(D328)),4,1))/10)+MOD(2*VALUE(MID(UPPER(TRIM(D328)),4,1)),10))+(INT(2*VALUE(MID(UPPER(TRIM(D328)),6,1))/10)+MOD(2*VALUE(MID(UPPER(TRIM(D328)),6,1)),10))+(INT(2*VALUE(MID(UPPER(TRIM(D328)),8,1))/10)+MOD(2*VALUE(MID(UPPER(TRIM(D328)),8,1)),10)),10),10),"0"),RIGHT(UPPER(TRIM(D328)),1)=MID("JABCDEFGHI",MOD(10-MOD((VALUE(MID(UPPER(TRIM(D328)),3,1))+VALUE(MID(UPPER(TRIM(D328)),5,1))+VALUE(MID(UPPER(TRIM(D328)),7,1)))+(INT(2*VALUE(MID(UPPER(TRIM(D328)),2,1))/10)+MOD(2*VALUE(MID(UPPER(TRIM(D328)),2,1)),10))+(INT(2*VALUE(MID(UPPER(TRIM(D328)),4,1))/10)+MOD(2*VALUE(MID(UPPER(TRIM(D328)),4,1)),10))+(INT(2*VALUE(MID(UPPER(TRIM(D328)),6,1))/10)+MOD(2*VALUE(MID(UPPER(TRIM(D328)),6,1)),10))+(INT(2*VALUE(MID(UPPER(TRIM(D328)),8,1))/10)+MOD(2*VALUE(MID(UPPER(TRIM(D328)),8,1)),10)),10),10)+1,1)),"OK","REVISAR")),"REVISAR")))</f>
        <v/>
      </c>
      <c r="Q328">
        <f>IF(B328="","",IF(COUNTIFS($B$2:$B$501,B328,$D$2:$D$501,D328)&gt;1,"DUPLICADA",""))</f>
        <v/>
      </c>
      <c r="R328">
        <f>IF(A328="","",ROUNDUP(MONTH(A328)/3,0))</f>
        <v/>
      </c>
      <c r="S328" s="3" t="n"/>
    </row>
    <row r="329">
      <c r="A329" s="2" t="n"/>
      <c r="B329" s="3" t="n"/>
      <c r="C329" s="3" t="n"/>
      <c r="D329" s="3" t="n"/>
      <c r="E329" s="4" t="n"/>
      <c r="F329" s="4" t="n"/>
      <c r="G329" s="4" t="n"/>
      <c r="H329" s="4" t="n"/>
      <c r="I329" s="5">
        <f>IF(E329="","",ROUND(E329*0.21,2))</f>
        <v/>
      </c>
      <c r="J329" s="5">
        <f>IF(F329="","",ROUND(F329*0.1,2))</f>
        <v/>
      </c>
      <c r="K329" s="5">
        <f>IF(G329="","",ROUND(G329*0.04,2))</f>
        <v/>
      </c>
      <c r="L329" s="4" t="n"/>
      <c r="M329" s="4" t="n"/>
      <c r="N329" s="5">
        <f>IF(A329="","",SUM(E329:K329)-N(L329))</f>
        <v/>
      </c>
      <c r="O329">
        <f>IF(OR(A329="",M329=""),"",IF(ABS(M329-N329)&lt;=0.02,"OK","REVISAR"))</f>
        <v/>
      </c>
      <c r="P329">
        <f>IF(D329="","",IF(LEN(TRIM(D329))&lt;&gt;9,"REVISAR",IFERROR(IF(OR(ISNUMBER(VALUE(LEFT(UPPER(TRIM(D329)),1))),LEFT(UPPER(TRIM(D329)),1)="X",LEFT(UPPER(TRIM(D329)),1)="Y",LEFT(UPPER(TRIM(D329)),1)="Z"),IF(MID("TRWAGMYFPDXBNJZSQVHLCKE",MOD(VALUE(SUBSTITUTE(SUBSTITUTE(SUBSTITUTE(LEFT(UPPER(TRIM(D329)),8),"X","0"),"Y","1"),"Z","2")),23)+1,1)=RIGHT(UPPER(TRIM(D329)),1),"OK","REVISAR"),IF(OR(RIGHT(UPPER(TRIM(D329)),1)=TEXT(MOD(10-MOD((VALUE(MID(UPPER(TRIM(D329)),3,1))+VALUE(MID(UPPER(TRIM(D329)),5,1))+VALUE(MID(UPPER(TRIM(D329)),7,1)))+(INT(2*VALUE(MID(UPPER(TRIM(D329)),2,1))/10)+MOD(2*VALUE(MID(UPPER(TRIM(D329)),2,1)),10))+(INT(2*VALUE(MID(UPPER(TRIM(D329)),4,1))/10)+MOD(2*VALUE(MID(UPPER(TRIM(D329)),4,1)),10))+(INT(2*VALUE(MID(UPPER(TRIM(D329)),6,1))/10)+MOD(2*VALUE(MID(UPPER(TRIM(D329)),6,1)),10))+(INT(2*VALUE(MID(UPPER(TRIM(D329)),8,1))/10)+MOD(2*VALUE(MID(UPPER(TRIM(D329)),8,1)),10)),10),10),"0"),RIGHT(UPPER(TRIM(D329)),1)=MID("JABCDEFGHI",MOD(10-MOD((VALUE(MID(UPPER(TRIM(D329)),3,1))+VALUE(MID(UPPER(TRIM(D329)),5,1))+VALUE(MID(UPPER(TRIM(D329)),7,1)))+(INT(2*VALUE(MID(UPPER(TRIM(D329)),2,1))/10)+MOD(2*VALUE(MID(UPPER(TRIM(D329)),2,1)),10))+(INT(2*VALUE(MID(UPPER(TRIM(D329)),4,1))/10)+MOD(2*VALUE(MID(UPPER(TRIM(D329)),4,1)),10))+(INT(2*VALUE(MID(UPPER(TRIM(D329)),6,1))/10)+MOD(2*VALUE(MID(UPPER(TRIM(D329)),6,1)),10))+(INT(2*VALUE(MID(UPPER(TRIM(D329)),8,1))/10)+MOD(2*VALUE(MID(UPPER(TRIM(D329)),8,1)),10)),10),10)+1,1)),"OK","REVISAR")),"REVISAR")))</f>
        <v/>
      </c>
      <c r="Q329">
        <f>IF(B329="","",IF(COUNTIFS($B$2:$B$501,B329,$D$2:$D$501,D329)&gt;1,"DUPLICADA",""))</f>
        <v/>
      </c>
      <c r="R329">
        <f>IF(A329="","",ROUNDUP(MONTH(A329)/3,0))</f>
        <v/>
      </c>
      <c r="S329" s="3" t="n"/>
    </row>
    <row r="330">
      <c r="A330" s="2" t="n"/>
      <c r="B330" s="3" t="n"/>
      <c r="C330" s="3" t="n"/>
      <c r="D330" s="3" t="n"/>
      <c r="E330" s="4" t="n"/>
      <c r="F330" s="4" t="n"/>
      <c r="G330" s="4" t="n"/>
      <c r="H330" s="4" t="n"/>
      <c r="I330" s="5">
        <f>IF(E330="","",ROUND(E330*0.21,2))</f>
        <v/>
      </c>
      <c r="J330" s="5">
        <f>IF(F330="","",ROUND(F330*0.1,2))</f>
        <v/>
      </c>
      <c r="K330" s="5">
        <f>IF(G330="","",ROUND(G330*0.04,2))</f>
        <v/>
      </c>
      <c r="L330" s="4" t="n"/>
      <c r="M330" s="4" t="n"/>
      <c r="N330" s="5">
        <f>IF(A330="","",SUM(E330:K330)-N(L330))</f>
        <v/>
      </c>
      <c r="O330">
        <f>IF(OR(A330="",M330=""),"",IF(ABS(M330-N330)&lt;=0.02,"OK","REVISAR"))</f>
        <v/>
      </c>
      <c r="P330">
        <f>IF(D330="","",IF(LEN(TRIM(D330))&lt;&gt;9,"REVISAR",IFERROR(IF(OR(ISNUMBER(VALUE(LEFT(UPPER(TRIM(D330)),1))),LEFT(UPPER(TRIM(D330)),1)="X",LEFT(UPPER(TRIM(D330)),1)="Y",LEFT(UPPER(TRIM(D330)),1)="Z"),IF(MID("TRWAGMYFPDXBNJZSQVHLCKE",MOD(VALUE(SUBSTITUTE(SUBSTITUTE(SUBSTITUTE(LEFT(UPPER(TRIM(D330)),8),"X","0"),"Y","1"),"Z","2")),23)+1,1)=RIGHT(UPPER(TRIM(D330)),1),"OK","REVISAR"),IF(OR(RIGHT(UPPER(TRIM(D330)),1)=TEXT(MOD(10-MOD((VALUE(MID(UPPER(TRIM(D330)),3,1))+VALUE(MID(UPPER(TRIM(D330)),5,1))+VALUE(MID(UPPER(TRIM(D330)),7,1)))+(INT(2*VALUE(MID(UPPER(TRIM(D330)),2,1))/10)+MOD(2*VALUE(MID(UPPER(TRIM(D330)),2,1)),10))+(INT(2*VALUE(MID(UPPER(TRIM(D330)),4,1))/10)+MOD(2*VALUE(MID(UPPER(TRIM(D330)),4,1)),10))+(INT(2*VALUE(MID(UPPER(TRIM(D330)),6,1))/10)+MOD(2*VALUE(MID(UPPER(TRIM(D330)),6,1)),10))+(INT(2*VALUE(MID(UPPER(TRIM(D330)),8,1))/10)+MOD(2*VALUE(MID(UPPER(TRIM(D330)),8,1)),10)),10),10),"0"),RIGHT(UPPER(TRIM(D330)),1)=MID("JABCDEFGHI",MOD(10-MOD((VALUE(MID(UPPER(TRIM(D330)),3,1))+VALUE(MID(UPPER(TRIM(D330)),5,1))+VALUE(MID(UPPER(TRIM(D330)),7,1)))+(INT(2*VALUE(MID(UPPER(TRIM(D330)),2,1))/10)+MOD(2*VALUE(MID(UPPER(TRIM(D330)),2,1)),10))+(INT(2*VALUE(MID(UPPER(TRIM(D330)),4,1))/10)+MOD(2*VALUE(MID(UPPER(TRIM(D330)),4,1)),10))+(INT(2*VALUE(MID(UPPER(TRIM(D330)),6,1))/10)+MOD(2*VALUE(MID(UPPER(TRIM(D330)),6,1)),10))+(INT(2*VALUE(MID(UPPER(TRIM(D330)),8,1))/10)+MOD(2*VALUE(MID(UPPER(TRIM(D330)),8,1)),10)),10),10)+1,1)),"OK","REVISAR")),"REVISAR")))</f>
        <v/>
      </c>
      <c r="Q330">
        <f>IF(B330="","",IF(COUNTIFS($B$2:$B$501,B330,$D$2:$D$501,D330)&gt;1,"DUPLICADA",""))</f>
        <v/>
      </c>
      <c r="R330">
        <f>IF(A330="","",ROUNDUP(MONTH(A330)/3,0))</f>
        <v/>
      </c>
      <c r="S330" s="3" t="n"/>
    </row>
    <row r="331">
      <c r="A331" s="2" t="n"/>
      <c r="B331" s="3" t="n"/>
      <c r="C331" s="3" t="n"/>
      <c r="D331" s="3" t="n"/>
      <c r="E331" s="4" t="n"/>
      <c r="F331" s="4" t="n"/>
      <c r="G331" s="4" t="n"/>
      <c r="H331" s="4" t="n"/>
      <c r="I331" s="5">
        <f>IF(E331="","",ROUND(E331*0.21,2))</f>
        <v/>
      </c>
      <c r="J331" s="5">
        <f>IF(F331="","",ROUND(F331*0.1,2))</f>
        <v/>
      </c>
      <c r="K331" s="5">
        <f>IF(G331="","",ROUND(G331*0.04,2))</f>
        <v/>
      </c>
      <c r="L331" s="4" t="n"/>
      <c r="M331" s="4" t="n"/>
      <c r="N331" s="5">
        <f>IF(A331="","",SUM(E331:K331)-N(L331))</f>
        <v/>
      </c>
      <c r="O331">
        <f>IF(OR(A331="",M331=""),"",IF(ABS(M331-N331)&lt;=0.02,"OK","REVISAR"))</f>
        <v/>
      </c>
      <c r="P331">
        <f>IF(D331="","",IF(LEN(TRIM(D331))&lt;&gt;9,"REVISAR",IFERROR(IF(OR(ISNUMBER(VALUE(LEFT(UPPER(TRIM(D331)),1))),LEFT(UPPER(TRIM(D331)),1)="X",LEFT(UPPER(TRIM(D331)),1)="Y",LEFT(UPPER(TRIM(D331)),1)="Z"),IF(MID("TRWAGMYFPDXBNJZSQVHLCKE",MOD(VALUE(SUBSTITUTE(SUBSTITUTE(SUBSTITUTE(LEFT(UPPER(TRIM(D331)),8),"X","0"),"Y","1"),"Z","2")),23)+1,1)=RIGHT(UPPER(TRIM(D331)),1),"OK","REVISAR"),IF(OR(RIGHT(UPPER(TRIM(D331)),1)=TEXT(MOD(10-MOD((VALUE(MID(UPPER(TRIM(D331)),3,1))+VALUE(MID(UPPER(TRIM(D331)),5,1))+VALUE(MID(UPPER(TRIM(D331)),7,1)))+(INT(2*VALUE(MID(UPPER(TRIM(D331)),2,1))/10)+MOD(2*VALUE(MID(UPPER(TRIM(D331)),2,1)),10))+(INT(2*VALUE(MID(UPPER(TRIM(D331)),4,1))/10)+MOD(2*VALUE(MID(UPPER(TRIM(D331)),4,1)),10))+(INT(2*VALUE(MID(UPPER(TRIM(D331)),6,1))/10)+MOD(2*VALUE(MID(UPPER(TRIM(D331)),6,1)),10))+(INT(2*VALUE(MID(UPPER(TRIM(D331)),8,1))/10)+MOD(2*VALUE(MID(UPPER(TRIM(D331)),8,1)),10)),10),10),"0"),RIGHT(UPPER(TRIM(D331)),1)=MID("JABCDEFGHI",MOD(10-MOD((VALUE(MID(UPPER(TRIM(D331)),3,1))+VALUE(MID(UPPER(TRIM(D331)),5,1))+VALUE(MID(UPPER(TRIM(D331)),7,1)))+(INT(2*VALUE(MID(UPPER(TRIM(D331)),2,1))/10)+MOD(2*VALUE(MID(UPPER(TRIM(D331)),2,1)),10))+(INT(2*VALUE(MID(UPPER(TRIM(D331)),4,1))/10)+MOD(2*VALUE(MID(UPPER(TRIM(D331)),4,1)),10))+(INT(2*VALUE(MID(UPPER(TRIM(D331)),6,1))/10)+MOD(2*VALUE(MID(UPPER(TRIM(D331)),6,1)),10))+(INT(2*VALUE(MID(UPPER(TRIM(D331)),8,1))/10)+MOD(2*VALUE(MID(UPPER(TRIM(D331)),8,1)),10)),10),10)+1,1)),"OK","REVISAR")),"REVISAR")))</f>
        <v/>
      </c>
      <c r="Q331">
        <f>IF(B331="","",IF(COUNTIFS($B$2:$B$501,B331,$D$2:$D$501,D331)&gt;1,"DUPLICADA",""))</f>
        <v/>
      </c>
      <c r="R331">
        <f>IF(A331="","",ROUNDUP(MONTH(A331)/3,0))</f>
        <v/>
      </c>
      <c r="S331" s="3" t="n"/>
    </row>
    <row r="332">
      <c r="A332" s="2" t="n"/>
      <c r="B332" s="3" t="n"/>
      <c r="C332" s="3" t="n"/>
      <c r="D332" s="3" t="n"/>
      <c r="E332" s="4" t="n"/>
      <c r="F332" s="4" t="n"/>
      <c r="G332" s="4" t="n"/>
      <c r="H332" s="4" t="n"/>
      <c r="I332" s="5">
        <f>IF(E332="","",ROUND(E332*0.21,2))</f>
        <v/>
      </c>
      <c r="J332" s="5">
        <f>IF(F332="","",ROUND(F332*0.1,2))</f>
        <v/>
      </c>
      <c r="K332" s="5">
        <f>IF(G332="","",ROUND(G332*0.04,2))</f>
        <v/>
      </c>
      <c r="L332" s="4" t="n"/>
      <c r="M332" s="4" t="n"/>
      <c r="N332" s="5">
        <f>IF(A332="","",SUM(E332:K332)-N(L332))</f>
        <v/>
      </c>
      <c r="O332">
        <f>IF(OR(A332="",M332=""),"",IF(ABS(M332-N332)&lt;=0.02,"OK","REVISAR"))</f>
        <v/>
      </c>
      <c r="P332">
        <f>IF(D332="","",IF(LEN(TRIM(D332))&lt;&gt;9,"REVISAR",IFERROR(IF(OR(ISNUMBER(VALUE(LEFT(UPPER(TRIM(D332)),1))),LEFT(UPPER(TRIM(D332)),1)="X",LEFT(UPPER(TRIM(D332)),1)="Y",LEFT(UPPER(TRIM(D332)),1)="Z"),IF(MID("TRWAGMYFPDXBNJZSQVHLCKE",MOD(VALUE(SUBSTITUTE(SUBSTITUTE(SUBSTITUTE(LEFT(UPPER(TRIM(D332)),8),"X","0"),"Y","1"),"Z","2")),23)+1,1)=RIGHT(UPPER(TRIM(D332)),1),"OK","REVISAR"),IF(OR(RIGHT(UPPER(TRIM(D332)),1)=TEXT(MOD(10-MOD((VALUE(MID(UPPER(TRIM(D332)),3,1))+VALUE(MID(UPPER(TRIM(D332)),5,1))+VALUE(MID(UPPER(TRIM(D332)),7,1)))+(INT(2*VALUE(MID(UPPER(TRIM(D332)),2,1))/10)+MOD(2*VALUE(MID(UPPER(TRIM(D332)),2,1)),10))+(INT(2*VALUE(MID(UPPER(TRIM(D332)),4,1))/10)+MOD(2*VALUE(MID(UPPER(TRIM(D332)),4,1)),10))+(INT(2*VALUE(MID(UPPER(TRIM(D332)),6,1))/10)+MOD(2*VALUE(MID(UPPER(TRIM(D332)),6,1)),10))+(INT(2*VALUE(MID(UPPER(TRIM(D332)),8,1))/10)+MOD(2*VALUE(MID(UPPER(TRIM(D332)),8,1)),10)),10),10),"0"),RIGHT(UPPER(TRIM(D332)),1)=MID("JABCDEFGHI",MOD(10-MOD((VALUE(MID(UPPER(TRIM(D332)),3,1))+VALUE(MID(UPPER(TRIM(D332)),5,1))+VALUE(MID(UPPER(TRIM(D332)),7,1)))+(INT(2*VALUE(MID(UPPER(TRIM(D332)),2,1))/10)+MOD(2*VALUE(MID(UPPER(TRIM(D332)),2,1)),10))+(INT(2*VALUE(MID(UPPER(TRIM(D332)),4,1))/10)+MOD(2*VALUE(MID(UPPER(TRIM(D332)),4,1)),10))+(INT(2*VALUE(MID(UPPER(TRIM(D332)),6,1))/10)+MOD(2*VALUE(MID(UPPER(TRIM(D332)),6,1)),10))+(INT(2*VALUE(MID(UPPER(TRIM(D332)),8,1))/10)+MOD(2*VALUE(MID(UPPER(TRIM(D332)),8,1)),10)),10),10)+1,1)),"OK","REVISAR")),"REVISAR")))</f>
        <v/>
      </c>
      <c r="Q332">
        <f>IF(B332="","",IF(COUNTIFS($B$2:$B$501,B332,$D$2:$D$501,D332)&gt;1,"DUPLICADA",""))</f>
        <v/>
      </c>
      <c r="R332">
        <f>IF(A332="","",ROUNDUP(MONTH(A332)/3,0))</f>
        <v/>
      </c>
      <c r="S332" s="3" t="n"/>
    </row>
    <row r="333">
      <c r="A333" s="2" t="n"/>
      <c r="B333" s="3" t="n"/>
      <c r="C333" s="3" t="n"/>
      <c r="D333" s="3" t="n"/>
      <c r="E333" s="4" t="n"/>
      <c r="F333" s="4" t="n"/>
      <c r="G333" s="4" t="n"/>
      <c r="H333" s="4" t="n"/>
      <c r="I333" s="5">
        <f>IF(E333="","",ROUND(E333*0.21,2))</f>
        <v/>
      </c>
      <c r="J333" s="5">
        <f>IF(F333="","",ROUND(F333*0.1,2))</f>
        <v/>
      </c>
      <c r="K333" s="5">
        <f>IF(G333="","",ROUND(G333*0.04,2))</f>
        <v/>
      </c>
      <c r="L333" s="4" t="n"/>
      <c r="M333" s="4" t="n"/>
      <c r="N333" s="5">
        <f>IF(A333="","",SUM(E333:K333)-N(L333))</f>
        <v/>
      </c>
      <c r="O333">
        <f>IF(OR(A333="",M333=""),"",IF(ABS(M333-N333)&lt;=0.02,"OK","REVISAR"))</f>
        <v/>
      </c>
      <c r="P333">
        <f>IF(D333="","",IF(LEN(TRIM(D333))&lt;&gt;9,"REVISAR",IFERROR(IF(OR(ISNUMBER(VALUE(LEFT(UPPER(TRIM(D333)),1))),LEFT(UPPER(TRIM(D333)),1)="X",LEFT(UPPER(TRIM(D333)),1)="Y",LEFT(UPPER(TRIM(D333)),1)="Z"),IF(MID("TRWAGMYFPDXBNJZSQVHLCKE",MOD(VALUE(SUBSTITUTE(SUBSTITUTE(SUBSTITUTE(LEFT(UPPER(TRIM(D333)),8),"X","0"),"Y","1"),"Z","2")),23)+1,1)=RIGHT(UPPER(TRIM(D333)),1),"OK","REVISAR"),IF(OR(RIGHT(UPPER(TRIM(D333)),1)=TEXT(MOD(10-MOD((VALUE(MID(UPPER(TRIM(D333)),3,1))+VALUE(MID(UPPER(TRIM(D333)),5,1))+VALUE(MID(UPPER(TRIM(D333)),7,1)))+(INT(2*VALUE(MID(UPPER(TRIM(D333)),2,1))/10)+MOD(2*VALUE(MID(UPPER(TRIM(D333)),2,1)),10))+(INT(2*VALUE(MID(UPPER(TRIM(D333)),4,1))/10)+MOD(2*VALUE(MID(UPPER(TRIM(D333)),4,1)),10))+(INT(2*VALUE(MID(UPPER(TRIM(D333)),6,1))/10)+MOD(2*VALUE(MID(UPPER(TRIM(D333)),6,1)),10))+(INT(2*VALUE(MID(UPPER(TRIM(D333)),8,1))/10)+MOD(2*VALUE(MID(UPPER(TRIM(D333)),8,1)),10)),10),10),"0"),RIGHT(UPPER(TRIM(D333)),1)=MID("JABCDEFGHI",MOD(10-MOD((VALUE(MID(UPPER(TRIM(D333)),3,1))+VALUE(MID(UPPER(TRIM(D333)),5,1))+VALUE(MID(UPPER(TRIM(D333)),7,1)))+(INT(2*VALUE(MID(UPPER(TRIM(D333)),2,1))/10)+MOD(2*VALUE(MID(UPPER(TRIM(D333)),2,1)),10))+(INT(2*VALUE(MID(UPPER(TRIM(D333)),4,1))/10)+MOD(2*VALUE(MID(UPPER(TRIM(D333)),4,1)),10))+(INT(2*VALUE(MID(UPPER(TRIM(D333)),6,1))/10)+MOD(2*VALUE(MID(UPPER(TRIM(D333)),6,1)),10))+(INT(2*VALUE(MID(UPPER(TRIM(D333)),8,1))/10)+MOD(2*VALUE(MID(UPPER(TRIM(D333)),8,1)),10)),10),10)+1,1)),"OK","REVISAR")),"REVISAR")))</f>
        <v/>
      </c>
      <c r="Q333">
        <f>IF(B333="","",IF(COUNTIFS($B$2:$B$501,B333,$D$2:$D$501,D333)&gt;1,"DUPLICADA",""))</f>
        <v/>
      </c>
      <c r="R333">
        <f>IF(A333="","",ROUNDUP(MONTH(A333)/3,0))</f>
        <v/>
      </c>
      <c r="S333" s="3" t="n"/>
    </row>
    <row r="334">
      <c r="A334" s="2" t="n"/>
      <c r="B334" s="3" t="n"/>
      <c r="C334" s="3" t="n"/>
      <c r="D334" s="3" t="n"/>
      <c r="E334" s="4" t="n"/>
      <c r="F334" s="4" t="n"/>
      <c r="G334" s="4" t="n"/>
      <c r="H334" s="4" t="n"/>
      <c r="I334" s="5">
        <f>IF(E334="","",ROUND(E334*0.21,2))</f>
        <v/>
      </c>
      <c r="J334" s="5">
        <f>IF(F334="","",ROUND(F334*0.1,2))</f>
        <v/>
      </c>
      <c r="K334" s="5">
        <f>IF(G334="","",ROUND(G334*0.04,2))</f>
        <v/>
      </c>
      <c r="L334" s="4" t="n"/>
      <c r="M334" s="4" t="n"/>
      <c r="N334" s="5">
        <f>IF(A334="","",SUM(E334:K334)-N(L334))</f>
        <v/>
      </c>
      <c r="O334">
        <f>IF(OR(A334="",M334=""),"",IF(ABS(M334-N334)&lt;=0.02,"OK","REVISAR"))</f>
        <v/>
      </c>
      <c r="P334">
        <f>IF(D334="","",IF(LEN(TRIM(D334))&lt;&gt;9,"REVISAR",IFERROR(IF(OR(ISNUMBER(VALUE(LEFT(UPPER(TRIM(D334)),1))),LEFT(UPPER(TRIM(D334)),1)="X",LEFT(UPPER(TRIM(D334)),1)="Y",LEFT(UPPER(TRIM(D334)),1)="Z"),IF(MID("TRWAGMYFPDXBNJZSQVHLCKE",MOD(VALUE(SUBSTITUTE(SUBSTITUTE(SUBSTITUTE(LEFT(UPPER(TRIM(D334)),8),"X","0"),"Y","1"),"Z","2")),23)+1,1)=RIGHT(UPPER(TRIM(D334)),1),"OK","REVISAR"),IF(OR(RIGHT(UPPER(TRIM(D334)),1)=TEXT(MOD(10-MOD((VALUE(MID(UPPER(TRIM(D334)),3,1))+VALUE(MID(UPPER(TRIM(D334)),5,1))+VALUE(MID(UPPER(TRIM(D334)),7,1)))+(INT(2*VALUE(MID(UPPER(TRIM(D334)),2,1))/10)+MOD(2*VALUE(MID(UPPER(TRIM(D334)),2,1)),10))+(INT(2*VALUE(MID(UPPER(TRIM(D334)),4,1))/10)+MOD(2*VALUE(MID(UPPER(TRIM(D334)),4,1)),10))+(INT(2*VALUE(MID(UPPER(TRIM(D334)),6,1))/10)+MOD(2*VALUE(MID(UPPER(TRIM(D334)),6,1)),10))+(INT(2*VALUE(MID(UPPER(TRIM(D334)),8,1))/10)+MOD(2*VALUE(MID(UPPER(TRIM(D334)),8,1)),10)),10),10),"0"),RIGHT(UPPER(TRIM(D334)),1)=MID("JABCDEFGHI",MOD(10-MOD((VALUE(MID(UPPER(TRIM(D334)),3,1))+VALUE(MID(UPPER(TRIM(D334)),5,1))+VALUE(MID(UPPER(TRIM(D334)),7,1)))+(INT(2*VALUE(MID(UPPER(TRIM(D334)),2,1))/10)+MOD(2*VALUE(MID(UPPER(TRIM(D334)),2,1)),10))+(INT(2*VALUE(MID(UPPER(TRIM(D334)),4,1))/10)+MOD(2*VALUE(MID(UPPER(TRIM(D334)),4,1)),10))+(INT(2*VALUE(MID(UPPER(TRIM(D334)),6,1))/10)+MOD(2*VALUE(MID(UPPER(TRIM(D334)),6,1)),10))+(INT(2*VALUE(MID(UPPER(TRIM(D334)),8,1))/10)+MOD(2*VALUE(MID(UPPER(TRIM(D334)),8,1)),10)),10),10)+1,1)),"OK","REVISAR")),"REVISAR")))</f>
        <v/>
      </c>
      <c r="Q334">
        <f>IF(B334="","",IF(COUNTIFS($B$2:$B$501,B334,$D$2:$D$501,D334)&gt;1,"DUPLICADA",""))</f>
        <v/>
      </c>
      <c r="R334">
        <f>IF(A334="","",ROUNDUP(MONTH(A334)/3,0))</f>
        <v/>
      </c>
      <c r="S334" s="3" t="n"/>
    </row>
    <row r="335">
      <c r="A335" s="2" t="n"/>
      <c r="B335" s="3" t="n"/>
      <c r="C335" s="3" t="n"/>
      <c r="D335" s="3" t="n"/>
      <c r="E335" s="4" t="n"/>
      <c r="F335" s="4" t="n"/>
      <c r="G335" s="4" t="n"/>
      <c r="H335" s="4" t="n"/>
      <c r="I335" s="5">
        <f>IF(E335="","",ROUND(E335*0.21,2))</f>
        <v/>
      </c>
      <c r="J335" s="5">
        <f>IF(F335="","",ROUND(F335*0.1,2))</f>
        <v/>
      </c>
      <c r="K335" s="5">
        <f>IF(G335="","",ROUND(G335*0.04,2))</f>
        <v/>
      </c>
      <c r="L335" s="4" t="n"/>
      <c r="M335" s="4" t="n"/>
      <c r="N335" s="5">
        <f>IF(A335="","",SUM(E335:K335)-N(L335))</f>
        <v/>
      </c>
      <c r="O335">
        <f>IF(OR(A335="",M335=""),"",IF(ABS(M335-N335)&lt;=0.02,"OK","REVISAR"))</f>
        <v/>
      </c>
      <c r="P335">
        <f>IF(D335="","",IF(LEN(TRIM(D335))&lt;&gt;9,"REVISAR",IFERROR(IF(OR(ISNUMBER(VALUE(LEFT(UPPER(TRIM(D335)),1))),LEFT(UPPER(TRIM(D335)),1)="X",LEFT(UPPER(TRIM(D335)),1)="Y",LEFT(UPPER(TRIM(D335)),1)="Z"),IF(MID("TRWAGMYFPDXBNJZSQVHLCKE",MOD(VALUE(SUBSTITUTE(SUBSTITUTE(SUBSTITUTE(LEFT(UPPER(TRIM(D335)),8),"X","0"),"Y","1"),"Z","2")),23)+1,1)=RIGHT(UPPER(TRIM(D335)),1),"OK","REVISAR"),IF(OR(RIGHT(UPPER(TRIM(D335)),1)=TEXT(MOD(10-MOD((VALUE(MID(UPPER(TRIM(D335)),3,1))+VALUE(MID(UPPER(TRIM(D335)),5,1))+VALUE(MID(UPPER(TRIM(D335)),7,1)))+(INT(2*VALUE(MID(UPPER(TRIM(D335)),2,1))/10)+MOD(2*VALUE(MID(UPPER(TRIM(D335)),2,1)),10))+(INT(2*VALUE(MID(UPPER(TRIM(D335)),4,1))/10)+MOD(2*VALUE(MID(UPPER(TRIM(D335)),4,1)),10))+(INT(2*VALUE(MID(UPPER(TRIM(D335)),6,1))/10)+MOD(2*VALUE(MID(UPPER(TRIM(D335)),6,1)),10))+(INT(2*VALUE(MID(UPPER(TRIM(D335)),8,1))/10)+MOD(2*VALUE(MID(UPPER(TRIM(D335)),8,1)),10)),10),10),"0"),RIGHT(UPPER(TRIM(D335)),1)=MID("JABCDEFGHI",MOD(10-MOD((VALUE(MID(UPPER(TRIM(D335)),3,1))+VALUE(MID(UPPER(TRIM(D335)),5,1))+VALUE(MID(UPPER(TRIM(D335)),7,1)))+(INT(2*VALUE(MID(UPPER(TRIM(D335)),2,1))/10)+MOD(2*VALUE(MID(UPPER(TRIM(D335)),2,1)),10))+(INT(2*VALUE(MID(UPPER(TRIM(D335)),4,1))/10)+MOD(2*VALUE(MID(UPPER(TRIM(D335)),4,1)),10))+(INT(2*VALUE(MID(UPPER(TRIM(D335)),6,1))/10)+MOD(2*VALUE(MID(UPPER(TRIM(D335)),6,1)),10))+(INT(2*VALUE(MID(UPPER(TRIM(D335)),8,1))/10)+MOD(2*VALUE(MID(UPPER(TRIM(D335)),8,1)),10)),10),10)+1,1)),"OK","REVISAR")),"REVISAR")))</f>
        <v/>
      </c>
      <c r="Q335">
        <f>IF(B335="","",IF(COUNTIFS($B$2:$B$501,B335,$D$2:$D$501,D335)&gt;1,"DUPLICADA",""))</f>
        <v/>
      </c>
      <c r="R335">
        <f>IF(A335="","",ROUNDUP(MONTH(A335)/3,0))</f>
        <v/>
      </c>
      <c r="S335" s="3" t="n"/>
    </row>
    <row r="336">
      <c r="A336" s="2" t="n"/>
      <c r="B336" s="3" t="n"/>
      <c r="C336" s="3" t="n"/>
      <c r="D336" s="3" t="n"/>
      <c r="E336" s="4" t="n"/>
      <c r="F336" s="4" t="n"/>
      <c r="G336" s="4" t="n"/>
      <c r="H336" s="4" t="n"/>
      <c r="I336" s="5">
        <f>IF(E336="","",ROUND(E336*0.21,2))</f>
        <v/>
      </c>
      <c r="J336" s="5">
        <f>IF(F336="","",ROUND(F336*0.1,2))</f>
        <v/>
      </c>
      <c r="K336" s="5">
        <f>IF(G336="","",ROUND(G336*0.04,2))</f>
        <v/>
      </c>
      <c r="L336" s="4" t="n"/>
      <c r="M336" s="4" t="n"/>
      <c r="N336" s="5">
        <f>IF(A336="","",SUM(E336:K336)-N(L336))</f>
        <v/>
      </c>
      <c r="O336">
        <f>IF(OR(A336="",M336=""),"",IF(ABS(M336-N336)&lt;=0.02,"OK","REVISAR"))</f>
        <v/>
      </c>
      <c r="P336">
        <f>IF(D336="","",IF(LEN(TRIM(D336))&lt;&gt;9,"REVISAR",IFERROR(IF(OR(ISNUMBER(VALUE(LEFT(UPPER(TRIM(D336)),1))),LEFT(UPPER(TRIM(D336)),1)="X",LEFT(UPPER(TRIM(D336)),1)="Y",LEFT(UPPER(TRIM(D336)),1)="Z"),IF(MID("TRWAGMYFPDXBNJZSQVHLCKE",MOD(VALUE(SUBSTITUTE(SUBSTITUTE(SUBSTITUTE(LEFT(UPPER(TRIM(D336)),8),"X","0"),"Y","1"),"Z","2")),23)+1,1)=RIGHT(UPPER(TRIM(D336)),1),"OK","REVISAR"),IF(OR(RIGHT(UPPER(TRIM(D336)),1)=TEXT(MOD(10-MOD((VALUE(MID(UPPER(TRIM(D336)),3,1))+VALUE(MID(UPPER(TRIM(D336)),5,1))+VALUE(MID(UPPER(TRIM(D336)),7,1)))+(INT(2*VALUE(MID(UPPER(TRIM(D336)),2,1))/10)+MOD(2*VALUE(MID(UPPER(TRIM(D336)),2,1)),10))+(INT(2*VALUE(MID(UPPER(TRIM(D336)),4,1))/10)+MOD(2*VALUE(MID(UPPER(TRIM(D336)),4,1)),10))+(INT(2*VALUE(MID(UPPER(TRIM(D336)),6,1))/10)+MOD(2*VALUE(MID(UPPER(TRIM(D336)),6,1)),10))+(INT(2*VALUE(MID(UPPER(TRIM(D336)),8,1))/10)+MOD(2*VALUE(MID(UPPER(TRIM(D336)),8,1)),10)),10),10),"0"),RIGHT(UPPER(TRIM(D336)),1)=MID("JABCDEFGHI",MOD(10-MOD((VALUE(MID(UPPER(TRIM(D336)),3,1))+VALUE(MID(UPPER(TRIM(D336)),5,1))+VALUE(MID(UPPER(TRIM(D336)),7,1)))+(INT(2*VALUE(MID(UPPER(TRIM(D336)),2,1))/10)+MOD(2*VALUE(MID(UPPER(TRIM(D336)),2,1)),10))+(INT(2*VALUE(MID(UPPER(TRIM(D336)),4,1))/10)+MOD(2*VALUE(MID(UPPER(TRIM(D336)),4,1)),10))+(INT(2*VALUE(MID(UPPER(TRIM(D336)),6,1))/10)+MOD(2*VALUE(MID(UPPER(TRIM(D336)),6,1)),10))+(INT(2*VALUE(MID(UPPER(TRIM(D336)),8,1))/10)+MOD(2*VALUE(MID(UPPER(TRIM(D336)),8,1)),10)),10),10)+1,1)),"OK","REVISAR")),"REVISAR")))</f>
        <v/>
      </c>
      <c r="Q336">
        <f>IF(B336="","",IF(COUNTIFS($B$2:$B$501,B336,$D$2:$D$501,D336)&gt;1,"DUPLICADA",""))</f>
        <v/>
      </c>
      <c r="R336">
        <f>IF(A336="","",ROUNDUP(MONTH(A336)/3,0))</f>
        <v/>
      </c>
      <c r="S336" s="3" t="n"/>
    </row>
    <row r="337">
      <c r="A337" s="2" t="n"/>
      <c r="B337" s="3" t="n"/>
      <c r="C337" s="3" t="n"/>
      <c r="D337" s="3" t="n"/>
      <c r="E337" s="4" t="n"/>
      <c r="F337" s="4" t="n"/>
      <c r="G337" s="4" t="n"/>
      <c r="H337" s="4" t="n"/>
      <c r="I337" s="5">
        <f>IF(E337="","",ROUND(E337*0.21,2))</f>
        <v/>
      </c>
      <c r="J337" s="5">
        <f>IF(F337="","",ROUND(F337*0.1,2))</f>
        <v/>
      </c>
      <c r="K337" s="5">
        <f>IF(G337="","",ROUND(G337*0.04,2))</f>
        <v/>
      </c>
      <c r="L337" s="4" t="n"/>
      <c r="M337" s="4" t="n"/>
      <c r="N337" s="5">
        <f>IF(A337="","",SUM(E337:K337)-N(L337))</f>
        <v/>
      </c>
      <c r="O337">
        <f>IF(OR(A337="",M337=""),"",IF(ABS(M337-N337)&lt;=0.02,"OK","REVISAR"))</f>
        <v/>
      </c>
      <c r="P337">
        <f>IF(D337="","",IF(LEN(TRIM(D337))&lt;&gt;9,"REVISAR",IFERROR(IF(OR(ISNUMBER(VALUE(LEFT(UPPER(TRIM(D337)),1))),LEFT(UPPER(TRIM(D337)),1)="X",LEFT(UPPER(TRIM(D337)),1)="Y",LEFT(UPPER(TRIM(D337)),1)="Z"),IF(MID("TRWAGMYFPDXBNJZSQVHLCKE",MOD(VALUE(SUBSTITUTE(SUBSTITUTE(SUBSTITUTE(LEFT(UPPER(TRIM(D337)),8),"X","0"),"Y","1"),"Z","2")),23)+1,1)=RIGHT(UPPER(TRIM(D337)),1),"OK","REVISAR"),IF(OR(RIGHT(UPPER(TRIM(D337)),1)=TEXT(MOD(10-MOD((VALUE(MID(UPPER(TRIM(D337)),3,1))+VALUE(MID(UPPER(TRIM(D337)),5,1))+VALUE(MID(UPPER(TRIM(D337)),7,1)))+(INT(2*VALUE(MID(UPPER(TRIM(D337)),2,1))/10)+MOD(2*VALUE(MID(UPPER(TRIM(D337)),2,1)),10))+(INT(2*VALUE(MID(UPPER(TRIM(D337)),4,1))/10)+MOD(2*VALUE(MID(UPPER(TRIM(D337)),4,1)),10))+(INT(2*VALUE(MID(UPPER(TRIM(D337)),6,1))/10)+MOD(2*VALUE(MID(UPPER(TRIM(D337)),6,1)),10))+(INT(2*VALUE(MID(UPPER(TRIM(D337)),8,1))/10)+MOD(2*VALUE(MID(UPPER(TRIM(D337)),8,1)),10)),10),10),"0"),RIGHT(UPPER(TRIM(D337)),1)=MID("JABCDEFGHI",MOD(10-MOD((VALUE(MID(UPPER(TRIM(D337)),3,1))+VALUE(MID(UPPER(TRIM(D337)),5,1))+VALUE(MID(UPPER(TRIM(D337)),7,1)))+(INT(2*VALUE(MID(UPPER(TRIM(D337)),2,1))/10)+MOD(2*VALUE(MID(UPPER(TRIM(D337)),2,1)),10))+(INT(2*VALUE(MID(UPPER(TRIM(D337)),4,1))/10)+MOD(2*VALUE(MID(UPPER(TRIM(D337)),4,1)),10))+(INT(2*VALUE(MID(UPPER(TRIM(D337)),6,1))/10)+MOD(2*VALUE(MID(UPPER(TRIM(D337)),6,1)),10))+(INT(2*VALUE(MID(UPPER(TRIM(D337)),8,1))/10)+MOD(2*VALUE(MID(UPPER(TRIM(D337)),8,1)),10)),10),10)+1,1)),"OK","REVISAR")),"REVISAR")))</f>
        <v/>
      </c>
      <c r="Q337">
        <f>IF(B337="","",IF(COUNTIFS($B$2:$B$501,B337,$D$2:$D$501,D337)&gt;1,"DUPLICADA",""))</f>
        <v/>
      </c>
      <c r="R337">
        <f>IF(A337="","",ROUNDUP(MONTH(A337)/3,0))</f>
        <v/>
      </c>
      <c r="S337" s="3" t="n"/>
    </row>
    <row r="338">
      <c r="A338" s="2" t="n"/>
      <c r="B338" s="3" t="n"/>
      <c r="C338" s="3" t="n"/>
      <c r="D338" s="3" t="n"/>
      <c r="E338" s="4" t="n"/>
      <c r="F338" s="4" t="n"/>
      <c r="G338" s="4" t="n"/>
      <c r="H338" s="4" t="n"/>
      <c r="I338" s="5">
        <f>IF(E338="","",ROUND(E338*0.21,2))</f>
        <v/>
      </c>
      <c r="J338" s="5">
        <f>IF(F338="","",ROUND(F338*0.1,2))</f>
        <v/>
      </c>
      <c r="K338" s="5">
        <f>IF(G338="","",ROUND(G338*0.04,2))</f>
        <v/>
      </c>
      <c r="L338" s="4" t="n"/>
      <c r="M338" s="4" t="n"/>
      <c r="N338" s="5">
        <f>IF(A338="","",SUM(E338:K338)-N(L338))</f>
        <v/>
      </c>
      <c r="O338">
        <f>IF(OR(A338="",M338=""),"",IF(ABS(M338-N338)&lt;=0.02,"OK","REVISAR"))</f>
        <v/>
      </c>
      <c r="P338">
        <f>IF(D338="","",IF(LEN(TRIM(D338))&lt;&gt;9,"REVISAR",IFERROR(IF(OR(ISNUMBER(VALUE(LEFT(UPPER(TRIM(D338)),1))),LEFT(UPPER(TRIM(D338)),1)="X",LEFT(UPPER(TRIM(D338)),1)="Y",LEFT(UPPER(TRIM(D338)),1)="Z"),IF(MID("TRWAGMYFPDXBNJZSQVHLCKE",MOD(VALUE(SUBSTITUTE(SUBSTITUTE(SUBSTITUTE(LEFT(UPPER(TRIM(D338)),8),"X","0"),"Y","1"),"Z","2")),23)+1,1)=RIGHT(UPPER(TRIM(D338)),1),"OK","REVISAR"),IF(OR(RIGHT(UPPER(TRIM(D338)),1)=TEXT(MOD(10-MOD((VALUE(MID(UPPER(TRIM(D338)),3,1))+VALUE(MID(UPPER(TRIM(D338)),5,1))+VALUE(MID(UPPER(TRIM(D338)),7,1)))+(INT(2*VALUE(MID(UPPER(TRIM(D338)),2,1))/10)+MOD(2*VALUE(MID(UPPER(TRIM(D338)),2,1)),10))+(INT(2*VALUE(MID(UPPER(TRIM(D338)),4,1))/10)+MOD(2*VALUE(MID(UPPER(TRIM(D338)),4,1)),10))+(INT(2*VALUE(MID(UPPER(TRIM(D338)),6,1))/10)+MOD(2*VALUE(MID(UPPER(TRIM(D338)),6,1)),10))+(INT(2*VALUE(MID(UPPER(TRIM(D338)),8,1))/10)+MOD(2*VALUE(MID(UPPER(TRIM(D338)),8,1)),10)),10),10),"0"),RIGHT(UPPER(TRIM(D338)),1)=MID("JABCDEFGHI",MOD(10-MOD((VALUE(MID(UPPER(TRIM(D338)),3,1))+VALUE(MID(UPPER(TRIM(D338)),5,1))+VALUE(MID(UPPER(TRIM(D338)),7,1)))+(INT(2*VALUE(MID(UPPER(TRIM(D338)),2,1))/10)+MOD(2*VALUE(MID(UPPER(TRIM(D338)),2,1)),10))+(INT(2*VALUE(MID(UPPER(TRIM(D338)),4,1))/10)+MOD(2*VALUE(MID(UPPER(TRIM(D338)),4,1)),10))+(INT(2*VALUE(MID(UPPER(TRIM(D338)),6,1))/10)+MOD(2*VALUE(MID(UPPER(TRIM(D338)),6,1)),10))+(INT(2*VALUE(MID(UPPER(TRIM(D338)),8,1))/10)+MOD(2*VALUE(MID(UPPER(TRIM(D338)),8,1)),10)),10),10)+1,1)),"OK","REVISAR")),"REVISAR")))</f>
        <v/>
      </c>
      <c r="Q338">
        <f>IF(B338="","",IF(COUNTIFS($B$2:$B$501,B338,$D$2:$D$501,D338)&gt;1,"DUPLICADA",""))</f>
        <v/>
      </c>
      <c r="R338">
        <f>IF(A338="","",ROUNDUP(MONTH(A338)/3,0))</f>
        <v/>
      </c>
      <c r="S338" s="3" t="n"/>
    </row>
    <row r="339">
      <c r="A339" s="2" t="n"/>
      <c r="B339" s="3" t="n"/>
      <c r="C339" s="3" t="n"/>
      <c r="D339" s="3" t="n"/>
      <c r="E339" s="4" t="n"/>
      <c r="F339" s="4" t="n"/>
      <c r="G339" s="4" t="n"/>
      <c r="H339" s="4" t="n"/>
      <c r="I339" s="5">
        <f>IF(E339="","",ROUND(E339*0.21,2))</f>
        <v/>
      </c>
      <c r="J339" s="5">
        <f>IF(F339="","",ROUND(F339*0.1,2))</f>
        <v/>
      </c>
      <c r="K339" s="5">
        <f>IF(G339="","",ROUND(G339*0.04,2))</f>
        <v/>
      </c>
      <c r="L339" s="4" t="n"/>
      <c r="M339" s="4" t="n"/>
      <c r="N339" s="5">
        <f>IF(A339="","",SUM(E339:K339)-N(L339))</f>
        <v/>
      </c>
      <c r="O339">
        <f>IF(OR(A339="",M339=""),"",IF(ABS(M339-N339)&lt;=0.02,"OK","REVISAR"))</f>
        <v/>
      </c>
      <c r="P339">
        <f>IF(D339="","",IF(LEN(TRIM(D339))&lt;&gt;9,"REVISAR",IFERROR(IF(OR(ISNUMBER(VALUE(LEFT(UPPER(TRIM(D339)),1))),LEFT(UPPER(TRIM(D339)),1)="X",LEFT(UPPER(TRIM(D339)),1)="Y",LEFT(UPPER(TRIM(D339)),1)="Z"),IF(MID("TRWAGMYFPDXBNJZSQVHLCKE",MOD(VALUE(SUBSTITUTE(SUBSTITUTE(SUBSTITUTE(LEFT(UPPER(TRIM(D339)),8),"X","0"),"Y","1"),"Z","2")),23)+1,1)=RIGHT(UPPER(TRIM(D339)),1),"OK","REVISAR"),IF(OR(RIGHT(UPPER(TRIM(D339)),1)=TEXT(MOD(10-MOD((VALUE(MID(UPPER(TRIM(D339)),3,1))+VALUE(MID(UPPER(TRIM(D339)),5,1))+VALUE(MID(UPPER(TRIM(D339)),7,1)))+(INT(2*VALUE(MID(UPPER(TRIM(D339)),2,1))/10)+MOD(2*VALUE(MID(UPPER(TRIM(D339)),2,1)),10))+(INT(2*VALUE(MID(UPPER(TRIM(D339)),4,1))/10)+MOD(2*VALUE(MID(UPPER(TRIM(D339)),4,1)),10))+(INT(2*VALUE(MID(UPPER(TRIM(D339)),6,1))/10)+MOD(2*VALUE(MID(UPPER(TRIM(D339)),6,1)),10))+(INT(2*VALUE(MID(UPPER(TRIM(D339)),8,1))/10)+MOD(2*VALUE(MID(UPPER(TRIM(D339)),8,1)),10)),10),10),"0"),RIGHT(UPPER(TRIM(D339)),1)=MID("JABCDEFGHI",MOD(10-MOD((VALUE(MID(UPPER(TRIM(D339)),3,1))+VALUE(MID(UPPER(TRIM(D339)),5,1))+VALUE(MID(UPPER(TRIM(D339)),7,1)))+(INT(2*VALUE(MID(UPPER(TRIM(D339)),2,1))/10)+MOD(2*VALUE(MID(UPPER(TRIM(D339)),2,1)),10))+(INT(2*VALUE(MID(UPPER(TRIM(D339)),4,1))/10)+MOD(2*VALUE(MID(UPPER(TRIM(D339)),4,1)),10))+(INT(2*VALUE(MID(UPPER(TRIM(D339)),6,1))/10)+MOD(2*VALUE(MID(UPPER(TRIM(D339)),6,1)),10))+(INT(2*VALUE(MID(UPPER(TRIM(D339)),8,1))/10)+MOD(2*VALUE(MID(UPPER(TRIM(D339)),8,1)),10)),10),10)+1,1)),"OK","REVISAR")),"REVISAR")))</f>
        <v/>
      </c>
      <c r="Q339">
        <f>IF(B339="","",IF(COUNTIFS($B$2:$B$501,B339,$D$2:$D$501,D339)&gt;1,"DUPLICADA",""))</f>
        <v/>
      </c>
      <c r="R339">
        <f>IF(A339="","",ROUNDUP(MONTH(A339)/3,0))</f>
        <v/>
      </c>
      <c r="S339" s="3" t="n"/>
    </row>
    <row r="340">
      <c r="A340" s="2" t="n"/>
      <c r="B340" s="3" t="n"/>
      <c r="C340" s="3" t="n"/>
      <c r="D340" s="3" t="n"/>
      <c r="E340" s="4" t="n"/>
      <c r="F340" s="4" t="n"/>
      <c r="G340" s="4" t="n"/>
      <c r="H340" s="4" t="n"/>
      <c r="I340" s="5">
        <f>IF(E340="","",ROUND(E340*0.21,2))</f>
        <v/>
      </c>
      <c r="J340" s="5">
        <f>IF(F340="","",ROUND(F340*0.1,2))</f>
        <v/>
      </c>
      <c r="K340" s="5">
        <f>IF(G340="","",ROUND(G340*0.04,2))</f>
        <v/>
      </c>
      <c r="L340" s="4" t="n"/>
      <c r="M340" s="4" t="n"/>
      <c r="N340" s="5">
        <f>IF(A340="","",SUM(E340:K340)-N(L340))</f>
        <v/>
      </c>
      <c r="O340">
        <f>IF(OR(A340="",M340=""),"",IF(ABS(M340-N340)&lt;=0.02,"OK","REVISAR"))</f>
        <v/>
      </c>
      <c r="P340">
        <f>IF(D340="","",IF(LEN(TRIM(D340))&lt;&gt;9,"REVISAR",IFERROR(IF(OR(ISNUMBER(VALUE(LEFT(UPPER(TRIM(D340)),1))),LEFT(UPPER(TRIM(D340)),1)="X",LEFT(UPPER(TRIM(D340)),1)="Y",LEFT(UPPER(TRIM(D340)),1)="Z"),IF(MID("TRWAGMYFPDXBNJZSQVHLCKE",MOD(VALUE(SUBSTITUTE(SUBSTITUTE(SUBSTITUTE(LEFT(UPPER(TRIM(D340)),8),"X","0"),"Y","1"),"Z","2")),23)+1,1)=RIGHT(UPPER(TRIM(D340)),1),"OK","REVISAR"),IF(OR(RIGHT(UPPER(TRIM(D340)),1)=TEXT(MOD(10-MOD((VALUE(MID(UPPER(TRIM(D340)),3,1))+VALUE(MID(UPPER(TRIM(D340)),5,1))+VALUE(MID(UPPER(TRIM(D340)),7,1)))+(INT(2*VALUE(MID(UPPER(TRIM(D340)),2,1))/10)+MOD(2*VALUE(MID(UPPER(TRIM(D340)),2,1)),10))+(INT(2*VALUE(MID(UPPER(TRIM(D340)),4,1))/10)+MOD(2*VALUE(MID(UPPER(TRIM(D340)),4,1)),10))+(INT(2*VALUE(MID(UPPER(TRIM(D340)),6,1))/10)+MOD(2*VALUE(MID(UPPER(TRIM(D340)),6,1)),10))+(INT(2*VALUE(MID(UPPER(TRIM(D340)),8,1))/10)+MOD(2*VALUE(MID(UPPER(TRIM(D340)),8,1)),10)),10),10),"0"),RIGHT(UPPER(TRIM(D340)),1)=MID("JABCDEFGHI",MOD(10-MOD((VALUE(MID(UPPER(TRIM(D340)),3,1))+VALUE(MID(UPPER(TRIM(D340)),5,1))+VALUE(MID(UPPER(TRIM(D340)),7,1)))+(INT(2*VALUE(MID(UPPER(TRIM(D340)),2,1))/10)+MOD(2*VALUE(MID(UPPER(TRIM(D340)),2,1)),10))+(INT(2*VALUE(MID(UPPER(TRIM(D340)),4,1))/10)+MOD(2*VALUE(MID(UPPER(TRIM(D340)),4,1)),10))+(INT(2*VALUE(MID(UPPER(TRIM(D340)),6,1))/10)+MOD(2*VALUE(MID(UPPER(TRIM(D340)),6,1)),10))+(INT(2*VALUE(MID(UPPER(TRIM(D340)),8,1))/10)+MOD(2*VALUE(MID(UPPER(TRIM(D340)),8,1)),10)),10),10)+1,1)),"OK","REVISAR")),"REVISAR")))</f>
        <v/>
      </c>
      <c r="Q340">
        <f>IF(B340="","",IF(COUNTIFS($B$2:$B$501,B340,$D$2:$D$501,D340)&gt;1,"DUPLICADA",""))</f>
        <v/>
      </c>
      <c r="R340">
        <f>IF(A340="","",ROUNDUP(MONTH(A340)/3,0))</f>
        <v/>
      </c>
      <c r="S340" s="3" t="n"/>
    </row>
    <row r="341">
      <c r="A341" s="2" t="n"/>
      <c r="B341" s="3" t="n"/>
      <c r="C341" s="3" t="n"/>
      <c r="D341" s="3" t="n"/>
      <c r="E341" s="4" t="n"/>
      <c r="F341" s="4" t="n"/>
      <c r="G341" s="4" t="n"/>
      <c r="H341" s="4" t="n"/>
      <c r="I341" s="5">
        <f>IF(E341="","",ROUND(E341*0.21,2))</f>
        <v/>
      </c>
      <c r="J341" s="5">
        <f>IF(F341="","",ROUND(F341*0.1,2))</f>
        <v/>
      </c>
      <c r="K341" s="5">
        <f>IF(G341="","",ROUND(G341*0.04,2))</f>
        <v/>
      </c>
      <c r="L341" s="4" t="n"/>
      <c r="M341" s="4" t="n"/>
      <c r="N341" s="5">
        <f>IF(A341="","",SUM(E341:K341)-N(L341))</f>
        <v/>
      </c>
      <c r="O341">
        <f>IF(OR(A341="",M341=""),"",IF(ABS(M341-N341)&lt;=0.02,"OK","REVISAR"))</f>
        <v/>
      </c>
      <c r="P341">
        <f>IF(D341="","",IF(LEN(TRIM(D341))&lt;&gt;9,"REVISAR",IFERROR(IF(OR(ISNUMBER(VALUE(LEFT(UPPER(TRIM(D341)),1))),LEFT(UPPER(TRIM(D341)),1)="X",LEFT(UPPER(TRIM(D341)),1)="Y",LEFT(UPPER(TRIM(D341)),1)="Z"),IF(MID("TRWAGMYFPDXBNJZSQVHLCKE",MOD(VALUE(SUBSTITUTE(SUBSTITUTE(SUBSTITUTE(LEFT(UPPER(TRIM(D341)),8),"X","0"),"Y","1"),"Z","2")),23)+1,1)=RIGHT(UPPER(TRIM(D341)),1),"OK","REVISAR"),IF(OR(RIGHT(UPPER(TRIM(D341)),1)=TEXT(MOD(10-MOD((VALUE(MID(UPPER(TRIM(D341)),3,1))+VALUE(MID(UPPER(TRIM(D341)),5,1))+VALUE(MID(UPPER(TRIM(D341)),7,1)))+(INT(2*VALUE(MID(UPPER(TRIM(D341)),2,1))/10)+MOD(2*VALUE(MID(UPPER(TRIM(D341)),2,1)),10))+(INT(2*VALUE(MID(UPPER(TRIM(D341)),4,1))/10)+MOD(2*VALUE(MID(UPPER(TRIM(D341)),4,1)),10))+(INT(2*VALUE(MID(UPPER(TRIM(D341)),6,1))/10)+MOD(2*VALUE(MID(UPPER(TRIM(D341)),6,1)),10))+(INT(2*VALUE(MID(UPPER(TRIM(D341)),8,1))/10)+MOD(2*VALUE(MID(UPPER(TRIM(D341)),8,1)),10)),10),10),"0"),RIGHT(UPPER(TRIM(D341)),1)=MID("JABCDEFGHI",MOD(10-MOD((VALUE(MID(UPPER(TRIM(D341)),3,1))+VALUE(MID(UPPER(TRIM(D341)),5,1))+VALUE(MID(UPPER(TRIM(D341)),7,1)))+(INT(2*VALUE(MID(UPPER(TRIM(D341)),2,1))/10)+MOD(2*VALUE(MID(UPPER(TRIM(D341)),2,1)),10))+(INT(2*VALUE(MID(UPPER(TRIM(D341)),4,1))/10)+MOD(2*VALUE(MID(UPPER(TRIM(D341)),4,1)),10))+(INT(2*VALUE(MID(UPPER(TRIM(D341)),6,1))/10)+MOD(2*VALUE(MID(UPPER(TRIM(D341)),6,1)),10))+(INT(2*VALUE(MID(UPPER(TRIM(D341)),8,1))/10)+MOD(2*VALUE(MID(UPPER(TRIM(D341)),8,1)),10)),10),10)+1,1)),"OK","REVISAR")),"REVISAR")))</f>
        <v/>
      </c>
      <c r="Q341">
        <f>IF(B341="","",IF(COUNTIFS($B$2:$B$501,B341,$D$2:$D$501,D341)&gt;1,"DUPLICADA",""))</f>
        <v/>
      </c>
      <c r="R341">
        <f>IF(A341="","",ROUNDUP(MONTH(A341)/3,0))</f>
        <v/>
      </c>
      <c r="S341" s="3" t="n"/>
    </row>
    <row r="342">
      <c r="A342" s="2" t="n"/>
      <c r="B342" s="3" t="n"/>
      <c r="C342" s="3" t="n"/>
      <c r="D342" s="3" t="n"/>
      <c r="E342" s="4" t="n"/>
      <c r="F342" s="4" t="n"/>
      <c r="G342" s="4" t="n"/>
      <c r="H342" s="4" t="n"/>
      <c r="I342" s="5">
        <f>IF(E342="","",ROUND(E342*0.21,2))</f>
        <v/>
      </c>
      <c r="J342" s="5">
        <f>IF(F342="","",ROUND(F342*0.1,2))</f>
        <v/>
      </c>
      <c r="K342" s="5">
        <f>IF(G342="","",ROUND(G342*0.04,2))</f>
        <v/>
      </c>
      <c r="L342" s="4" t="n"/>
      <c r="M342" s="4" t="n"/>
      <c r="N342" s="5">
        <f>IF(A342="","",SUM(E342:K342)-N(L342))</f>
        <v/>
      </c>
      <c r="O342">
        <f>IF(OR(A342="",M342=""),"",IF(ABS(M342-N342)&lt;=0.02,"OK","REVISAR"))</f>
        <v/>
      </c>
      <c r="P342">
        <f>IF(D342="","",IF(LEN(TRIM(D342))&lt;&gt;9,"REVISAR",IFERROR(IF(OR(ISNUMBER(VALUE(LEFT(UPPER(TRIM(D342)),1))),LEFT(UPPER(TRIM(D342)),1)="X",LEFT(UPPER(TRIM(D342)),1)="Y",LEFT(UPPER(TRIM(D342)),1)="Z"),IF(MID("TRWAGMYFPDXBNJZSQVHLCKE",MOD(VALUE(SUBSTITUTE(SUBSTITUTE(SUBSTITUTE(LEFT(UPPER(TRIM(D342)),8),"X","0"),"Y","1"),"Z","2")),23)+1,1)=RIGHT(UPPER(TRIM(D342)),1),"OK","REVISAR"),IF(OR(RIGHT(UPPER(TRIM(D342)),1)=TEXT(MOD(10-MOD((VALUE(MID(UPPER(TRIM(D342)),3,1))+VALUE(MID(UPPER(TRIM(D342)),5,1))+VALUE(MID(UPPER(TRIM(D342)),7,1)))+(INT(2*VALUE(MID(UPPER(TRIM(D342)),2,1))/10)+MOD(2*VALUE(MID(UPPER(TRIM(D342)),2,1)),10))+(INT(2*VALUE(MID(UPPER(TRIM(D342)),4,1))/10)+MOD(2*VALUE(MID(UPPER(TRIM(D342)),4,1)),10))+(INT(2*VALUE(MID(UPPER(TRIM(D342)),6,1))/10)+MOD(2*VALUE(MID(UPPER(TRIM(D342)),6,1)),10))+(INT(2*VALUE(MID(UPPER(TRIM(D342)),8,1))/10)+MOD(2*VALUE(MID(UPPER(TRIM(D342)),8,1)),10)),10),10),"0"),RIGHT(UPPER(TRIM(D342)),1)=MID("JABCDEFGHI",MOD(10-MOD((VALUE(MID(UPPER(TRIM(D342)),3,1))+VALUE(MID(UPPER(TRIM(D342)),5,1))+VALUE(MID(UPPER(TRIM(D342)),7,1)))+(INT(2*VALUE(MID(UPPER(TRIM(D342)),2,1))/10)+MOD(2*VALUE(MID(UPPER(TRIM(D342)),2,1)),10))+(INT(2*VALUE(MID(UPPER(TRIM(D342)),4,1))/10)+MOD(2*VALUE(MID(UPPER(TRIM(D342)),4,1)),10))+(INT(2*VALUE(MID(UPPER(TRIM(D342)),6,1))/10)+MOD(2*VALUE(MID(UPPER(TRIM(D342)),6,1)),10))+(INT(2*VALUE(MID(UPPER(TRIM(D342)),8,1))/10)+MOD(2*VALUE(MID(UPPER(TRIM(D342)),8,1)),10)),10),10)+1,1)),"OK","REVISAR")),"REVISAR")))</f>
        <v/>
      </c>
      <c r="Q342">
        <f>IF(B342="","",IF(COUNTIFS($B$2:$B$501,B342,$D$2:$D$501,D342)&gt;1,"DUPLICADA",""))</f>
        <v/>
      </c>
      <c r="R342">
        <f>IF(A342="","",ROUNDUP(MONTH(A342)/3,0))</f>
        <v/>
      </c>
      <c r="S342" s="3" t="n"/>
    </row>
    <row r="343">
      <c r="A343" s="2" t="n"/>
      <c r="B343" s="3" t="n"/>
      <c r="C343" s="3" t="n"/>
      <c r="D343" s="3" t="n"/>
      <c r="E343" s="4" t="n"/>
      <c r="F343" s="4" t="n"/>
      <c r="G343" s="4" t="n"/>
      <c r="H343" s="4" t="n"/>
      <c r="I343" s="5">
        <f>IF(E343="","",ROUND(E343*0.21,2))</f>
        <v/>
      </c>
      <c r="J343" s="5">
        <f>IF(F343="","",ROUND(F343*0.1,2))</f>
        <v/>
      </c>
      <c r="K343" s="5">
        <f>IF(G343="","",ROUND(G343*0.04,2))</f>
        <v/>
      </c>
      <c r="L343" s="4" t="n"/>
      <c r="M343" s="4" t="n"/>
      <c r="N343" s="5">
        <f>IF(A343="","",SUM(E343:K343)-N(L343))</f>
        <v/>
      </c>
      <c r="O343">
        <f>IF(OR(A343="",M343=""),"",IF(ABS(M343-N343)&lt;=0.02,"OK","REVISAR"))</f>
        <v/>
      </c>
      <c r="P343">
        <f>IF(D343="","",IF(LEN(TRIM(D343))&lt;&gt;9,"REVISAR",IFERROR(IF(OR(ISNUMBER(VALUE(LEFT(UPPER(TRIM(D343)),1))),LEFT(UPPER(TRIM(D343)),1)="X",LEFT(UPPER(TRIM(D343)),1)="Y",LEFT(UPPER(TRIM(D343)),1)="Z"),IF(MID("TRWAGMYFPDXBNJZSQVHLCKE",MOD(VALUE(SUBSTITUTE(SUBSTITUTE(SUBSTITUTE(LEFT(UPPER(TRIM(D343)),8),"X","0"),"Y","1"),"Z","2")),23)+1,1)=RIGHT(UPPER(TRIM(D343)),1),"OK","REVISAR"),IF(OR(RIGHT(UPPER(TRIM(D343)),1)=TEXT(MOD(10-MOD((VALUE(MID(UPPER(TRIM(D343)),3,1))+VALUE(MID(UPPER(TRIM(D343)),5,1))+VALUE(MID(UPPER(TRIM(D343)),7,1)))+(INT(2*VALUE(MID(UPPER(TRIM(D343)),2,1))/10)+MOD(2*VALUE(MID(UPPER(TRIM(D343)),2,1)),10))+(INT(2*VALUE(MID(UPPER(TRIM(D343)),4,1))/10)+MOD(2*VALUE(MID(UPPER(TRIM(D343)),4,1)),10))+(INT(2*VALUE(MID(UPPER(TRIM(D343)),6,1))/10)+MOD(2*VALUE(MID(UPPER(TRIM(D343)),6,1)),10))+(INT(2*VALUE(MID(UPPER(TRIM(D343)),8,1))/10)+MOD(2*VALUE(MID(UPPER(TRIM(D343)),8,1)),10)),10),10),"0"),RIGHT(UPPER(TRIM(D343)),1)=MID("JABCDEFGHI",MOD(10-MOD((VALUE(MID(UPPER(TRIM(D343)),3,1))+VALUE(MID(UPPER(TRIM(D343)),5,1))+VALUE(MID(UPPER(TRIM(D343)),7,1)))+(INT(2*VALUE(MID(UPPER(TRIM(D343)),2,1))/10)+MOD(2*VALUE(MID(UPPER(TRIM(D343)),2,1)),10))+(INT(2*VALUE(MID(UPPER(TRIM(D343)),4,1))/10)+MOD(2*VALUE(MID(UPPER(TRIM(D343)),4,1)),10))+(INT(2*VALUE(MID(UPPER(TRIM(D343)),6,1))/10)+MOD(2*VALUE(MID(UPPER(TRIM(D343)),6,1)),10))+(INT(2*VALUE(MID(UPPER(TRIM(D343)),8,1))/10)+MOD(2*VALUE(MID(UPPER(TRIM(D343)),8,1)),10)),10),10)+1,1)),"OK","REVISAR")),"REVISAR")))</f>
        <v/>
      </c>
      <c r="Q343">
        <f>IF(B343="","",IF(COUNTIFS($B$2:$B$501,B343,$D$2:$D$501,D343)&gt;1,"DUPLICADA",""))</f>
        <v/>
      </c>
      <c r="R343">
        <f>IF(A343="","",ROUNDUP(MONTH(A343)/3,0))</f>
        <v/>
      </c>
      <c r="S343" s="3" t="n"/>
    </row>
    <row r="344">
      <c r="A344" s="2" t="n"/>
      <c r="B344" s="3" t="n"/>
      <c r="C344" s="3" t="n"/>
      <c r="D344" s="3" t="n"/>
      <c r="E344" s="4" t="n"/>
      <c r="F344" s="4" t="n"/>
      <c r="G344" s="4" t="n"/>
      <c r="H344" s="4" t="n"/>
      <c r="I344" s="5">
        <f>IF(E344="","",ROUND(E344*0.21,2))</f>
        <v/>
      </c>
      <c r="J344" s="5">
        <f>IF(F344="","",ROUND(F344*0.1,2))</f>
        <v/>
      </c>
      <c r="K344" s="5">
        <f>IF(G344="","",ROUND(G344*0.04,2))</f>
        <v/>
      </c>
      <c r="L344" s="4" t="n"/>
      <c r="M344" s="4" t="n"/>
      <c r="N344" s="5">
        <f>IF(A344="","",SUM(E344:K344)-N(L344))</f>
        <v/>
      </c>
      <c r="O344">
        <f>IF(OR(A344="",M344=""),"",IF(ABS(M344-N344)&lt;=0.02,"OK","REVISAR"))</f>
        <v/>
      </c>
      <c r="P344">
        <f>IF(D344="","",IF(LEN(TRIM(D344))&lt;&gt;9,"REVISAR",IFERROR(IF(OR(ISNUMBER(VALUE(LEFT(UPPER(TRIM(D344)),1))),LEFT(UPPER(TRIM(D344)),1)="X",LEFT(UPPER(TRIM(D344)),1)="Y",LEFT(UPPER(TRIM(D344)),1)="Z"),IF(MID("TRWAGMYFPDXBNJZSQVHLCKE",MOD(VALUE(SUBSTITUTE(SUBSTITUTE(SUBSTITUTE(LEFT(UPPER(TRIM(D344)),8),"X","0"),"Y","1"),"Z","2")),23)+1,1)=RIGHT(UPPER(TRIM(D344)),1),"OK","REVISAR"),IF(OR(RIGHT(UPPER(TRIM(D344)),1)=TEXT(MOD(10-MOD((VALUE(MID(UPPER(TRIM(D344)),3,1))+VALUE(MID(UPPER(TRIM(D344)),5,1))+VALUE(MID(UPPER(TRIM(D344)),7,1)))+(INT(2*VALUE(MID(UPPER(TRIM(D344)),2,1))/10)+MOD(2*VALUE(MID(UPPER(TRIM(D344)),2,1)),10))+(INT(2*VALUE(MID(UPPER(TRIM(D344)),4,1))/10)+MOD(2*VALUE(MID(UPPER(TRIM(D344)),4,1)),10))+(INT(2*VALUE(MID(UPPER(TRIM(D344)),6,1))/10)+MOD(2*VALUE(MID(UPPER(TRIM(D344)),6,1)),10))+(INT(2*VALUE(MID(UPPER(TRIM(D344)),8,1))/10)+MOD(2*VALUE(MID(UPPER(TRIM(D344)),8,1)),10)),10),10),"0"),RIGHT(UPPER(TRIM(D344)),1)=MID("JABCDEFGHI",MOD(10-MOD((VALUE(MID(UPPER(TRIM(D344)),3,1))+VALUE(MID(UPPER(TRIM(D344)),5,1))+VALUE(MID(UPPER(TRIM(D344)),7,1)))+(INT(2*VALUE(MID(UPPER(TRIM(D344)),2,1))/10)+MOD(2*VALUE(MID(UPPER(TRIM(D344)),2,1)),10))+(INT(2*VALUE(MID(UPPER(TRIM(D344)),4,1))/10)+MOD(2*VALUE(MID(UPPER(TRIM(D344)),4,1)),10))+(INT(2*VALUE(MID(UPPER(TRIM(D344)),6,1))/10)+MOD(2*VALUE(MID(UPPER(TRIM(D344)),6,1)),10))+(INT(2*VALUE(MID(UPPER(TRIM(D344)),8,1))/10)+MOD(2*VALUE(MID(UPPER(TRIM(D344)),8,1)),10)),10),10)+1,1)),"OK","REVISAR")),"REVISAR")))</f>
        <v/>
      </c>
      <c r="Q344">
        <f>IF(B344="","",IF(COUNTIFS($B$2:$B$501,B344,$D$2:$D$501,D344)&gt;1,"DUPLICADA",""))</f>
        <v/>
      </c>
      <c r="R344">
        <f>IF(A344="","",ROUNDUP(MONTH(A344)/3,0))</f>
        <v/>
      </c>
      <c r="S344" s="3" t="n"/>
    </row>
    <row r="345">
      <c r="A345" s="2" t="n"/>
      <c r="B345" s="3" t="n"/>
      <c r="C345" s="3" t="n"/>
      <c r="D345" s="3" t="n"/>
      <c r="E345" s="4" t="n"/>
      <c r="F345" s="4" t="n"/>
      <c r="G345" s="4" t="n"/>
      <c r="H345" s="4" t="n"/>
      <c r="I345" s="5">
        <f>IF(E345="","",ROUND(E345*0.21,2))</f>
        <v/>
      </c>
      <c r="J345" s="5">
        <f>IF(F345="","",ROUND(F345*0.1,2))</f>
        <v/>
      </c>
      <c r="K345" s="5">
        <f>IF(G345="","",ROUND(G345*0.04,2))</f>
        <v/>
      </c>
      <c r="L345" s="4" t="n"/>
      <c r="M345" s="4" t="n"/>
      <c r="N345" s="5">
        <f>IF(A345="","",SUM(E345:K345)-N(L345))</f>
        <v/>
      </c>
      <c r="O345">
        <f>IF(OR(A345="",M345=""),"",IF(ABS(M345-N345)&lt;=0.02,"OK","REVISAR"))</f>
        <v/>
      </c>
      <c r="P345">
        <f>IF(D345="","",IF(LEN(TRIM(D345))&lt;&gt;9,"REVISAR",IFERROR(IF(OR(ISNUMBER(VALUE(LEFT(UPPER(TRIM(D345)),1))),LEFT(UPPER(TRIM(D345)),1)="X",LEFT(UPPER(TRIM(D345)),1)="Y",LEFT(UPPER(TRIM(D345)),1)="Z"),IF(MID("TRWAGMYFPDXBNJZSQVHLCKE",MOD(VALUE(SUBSTITUTE(SUBSTITUTE(SUBSTITUTE(LEFT(UPPER(TRIM(D345)),8),"X","0"),"Y","1"),"Z","2")),23)+1,1)=RIGHT(UPPER(TRIM(D345)),1),"OK","REVISAR"),IF(OR(RIGHT(UPPER(TRIM(D345)),1)=TEXT(MOD(10-MOD((VALUE(MID(UPPER(TRIM(D345)),3,1))+VALUE(MID(UPPER(TRIM(D345)),5,1))+VALUE(MID(UPPER(TRIM(D345)),7,1)))+(INT(2*VALUE(MID(UPPER(TRIM(D345)),2,1))/10)+MOD(2*VALUE(MID(UPPER(TRIM(D345)),2,1)),10))+(INT(2*VALUE(MID(UPPER(TRIM(D345)),4,1))/10)+MOD(2*VALUE(MID(UPPER(TRIM(D345)),4,1)),10))+(INT(2*VALUE(MID(UPPER(TRIM(D345)),6,1))/10)+MOD(2*VALUE(MID(UPPER(TRIM(D345)),6,1)),10))+(INT(2*VALUE(MID(UPPER(TRIM(D345)),8,1))/10)+MOD(2*VALUE(MID(UPPER(TRIM(D345)),8,1)),10)),10),10),"0"),RIGHT(UPPER(TRIM(D345)),1)=MID("JABCDEFGHI",MOD(10-MOD((VALUE(MID(UPPER(TRIM(D345)),3,1))+VALUE(MID(UPPER(TRIM(D345)),5,1))+VALUE(MID(UPPER(TRIM(D345)),7,1)))+(INT(2*VALUE(MID(UPPER(TRIM(D345)),2,1))/10)+MOD(2*VALUE(MID(UPPER(TRIM(D345)),2,1)),10))+(INT(2*VALUE(MID(UPPER(TRIM(D345)),4,1))/10)+MOD(2*VALUE(MID(UPPER(TRIM(D345)),4,1)),10))+(INT(2*VALUE(MID(UPPER(TRIM(D345)),6,1))/10)+MOD(2*VALUE(MID(UPPER(TRIM(D345)),6,1)),10))+(INT(2*VALUE(MID(UPPER(TRIM(D345)),8,1))/10)+MOD(2*VALUE(MID(UPPER(TRIM(D345)),8,1)),10)),10),10)+1,1)),"OK","REVISAR")),"REVISAR")))</f>
        <v/>
      </c>
      <c r="Q345">
        <f>IF(B345="","",IF(COUNTIFS($B$2:$B$501,B345,$D$2:$D$501,D345)&gt;1,"DUPLICADA",""))</f>
        <v/>
      </c>
      <c r="R345">
        <f>IF(A345="","",ROUNDUP(MONTH(A345)/3,0))</f>
        <v/>
      </c>
      <c r="S345" s="3" t="n"/>
    </row>
    <row r="346">
      <c r="A346" s="2" t="n"/>
      <c r="B346" s="3" t="n"/>
      <c r="C346" s="3" t="n"/>
      <c r="D346" s="3" t="n"/>
      <c r="E346" s="4" t="n"/>
      <c r="F346" s="4" t="n"/>
      <c r="G346" s="4" t="n"/>
      <c r="H346" s="4" t="n"/>
      <c r="I346" s="5">
        <f>IF(E346="","",ROUND(E346*0.21,2))</f>
        <v/>
      </c>
      <c r="J346" s="5">
        <f>IF(F346="","",ROUND(F346*0.1,2))</f>
        <v/>
      </c>
      <c r="K346" s="5">
        <f>IF(G346="","",ROUND(G346*0.04,2))</f>
        <v/>
      </c>
      <c r="L346" s="4" t="n"/>
      <c r="M346" s="4" t="n"/>
      <c r="N346" s="5">
        <f>IF(A346="","",SUM(E346:K346)-N(L346))</f>
        <v/>
      </c>
      <c r="O346">
        <f>IF(OR(A346="",M346=""),"",IF(ABS(M346-N346)&lt;=0.02,"OK","REVISAR"))</f>
        <v/>
      </c>
      <c r="P346">
        <f>IF(D346="","",IF(LEN(TRIM(D346))&lt;&gt;9,"REVISAR",IFERROR(IF(OR(ISNUMBER(VALUE(LEFT(UPPER(TRIM(D346)),1))),LEFT(UPPER(TRIM(D346)),1)="X",LEFT(UPPER(TRIM(D346)),1)="Y",LEFT(UPPER(TRIM(D346)),1)="Z"),IF(MID("TRWAGMYFPDXBNJZSQVHLCKE",MOD(VALUE(SUBSTITUTE(SUBSTITUTE(SUBSTITUTE(LEFT(UPPER(TRIM(D346)),8),"X","0"),"Y","1"),"Z","2")),23)+1,1)=RIGHT(UPPER(TRIM(D346)),1),"OK","REVISAR"),IF(OR(RIGHT(UPPER(TRIM(D346)),1)=TEXT(MOD(10-MOD((VALUE(MID(UPPER(TRIM(D346)),3,1))+VALUE(MID(UPPER(TRIM(D346)),5,1))+VALUE(MID(UPPER(TRIM(D346)),7,1)))+(INT(2*VALUE(MID(UPPER(TRIM(D346)),2,1))/10)+MOD(2*VALUE(MID(UPPER(TRIM(D346)),2,1)),10))+(INT(2*VALUE(MID(UPPER(TRIM(D346)),4,1))/10)+MOD(2*VALUE(MID(UPPER(TRIM(D346)),4,1)),10))+(INT(2*VALUE(MID(UPPER(TRIM(D346)),6,1))/10)+MOD(2*VALUE(MID(UPPER(TRIM(D346)),6,1)),10))+(INT(2*VALUE(MID(UPPER(TRIM(D346)),8,1))/10)+MOD(2*VALUE(MID(UPPER(TRIM(D346)),8,1)),10)),10),10),"0"),RIGHT(UPPER(TRIM(D346)),1)=MID("JABCDEFGHI",MOD(10-MOD((VALUE(MID(UPPER(TRIM(D346)),3,1))+VALUE(MID(UPPER(TRIM(D346)),5,1))+VALUE(MID(UPPER(TRIM(D346)),7,1)))+(INT(2*VALUE(MID(UPPER(TRIM(D346)),2,1))/10)+MOD(2*VALUE(MID(UPPER(TRIM(D346)),2,1)),10))+(INT(2*VALUE(MID(UPPER(TRIM(D346)),4,1))/10)+MOD(2*VALUE(MID(UPPER(TRIM(D346)),4,1)),10))+(INT(2*VALUE(MID(UPPER(TRIM(D346)),6,1))/10)+MOD(2*VALUE(MID(UPPER(TRIM(D346)),6,1)),10))+(INT(2*VALUE(MID(UPPER(TRIM(D346)),8,1))/10)+MOD(2*VALUE(MID(UPPER(TRIM(D346)),8,1)),10)),10),10)+1,1)),"OK","REVISAR")),"REVISAR")))</f>
        <v/>
      </c>
      <c r="Q346">
        <f>IF(B346="","",IF(COUNTIFS($B$2:$B$501,B346,$D$2:$D$501,D346)&gt;1,"DUPLICADA",""))</f>
        <v/>
      </c>
      <c r="R346">
        <f>IF(A346="","",ROUNDUP(MONTH(A346)/3,0))</f>
        <v/>
      </c>
      <c r="S346" s="3" t="n"/>
    </row>
    <row r="347">
      <c r="A347" s="2" t="n"/>
      <c r="B347" s="3" t="n"/>
      <c r="C347" s="3" t="n"/>
      <c r="D347" s="3" t="n"/>
      <c r="E347" s="4" t="n"/>
      <c r="F347" s="4" t="n"/>
      <c r="G347" s="4" t="n"/>
      <c r="H347" s="4" t="n"/>
      <c r="I347" s="5">
        <f>IF(E347="","",ROUND(E347*0.21,2))</f>
        <v/>
      </c>
      <c r="J347" s="5">
        <f>IF(F347="","",ROUND(F347*0.1,2))</f>
        <v/>
      </c>
      <c r="K347" s="5">
        <f>IF(G347="","",ROUND(G347*0.04,2))</f>
        <v/>
      </c>
      <c r="L347" s="4" t="n"/>
      <c r="M347" s="4" t="n"/>
      <c r="N347" s="5">
        <f>IF(A347="","",SUM(E347:K347)-N(L347))</f>
        <v/>
      </c>
      <c r="O347">
        <f>IF(OR(A347="",M347=""),"",IF(ABS(M347-N347)&lt;=0.02,"OK","REVISAR"))</f>
        <v/>
      </c>
      <c r="P347">
        <f>IF(D347="","",IF(LEN(TRIM(D347))&lt;&gt;9,"REVISAR",IFERROR(IF(OR(ISNUMBER(VALUE(LEFT(UPPER(TRIM(D347)),1))),LEFT(UPPER(TRIM(D347)),1)="X",LEFT(UPPER(TRIM(D347)),1)="Y",LEFT(UPPER(TRIM(D347)),1)="Z"),IF(MID("TRWAGMYFPDXBNJZSQVHLCKE",MOD(VALUE(SUBSTITUTE(SUBSTITUTE(SUBSTITUTE(LEFT(UPPER(TRIM(D347)),8),"X","0"),"Y","1"),"Z","2")),23)+1,1)=RIGHT(UPPER(TRIM(D347)),1),"OK","REVISAR"),IF(OR(RIGHT(UPPER(TRIM(D347)),1)=TEXT(MOD(10-MOD((VALUE(MID(UPPER(TRIM(D347)),3,1))+VALUE(MID(UPPER(TRIM(D347)),5,1))+VALUE(MID(UPPER(TRIM(D347)),7,1)))+(INT(2*VALUE(MID(UPPER(TRIM(D347)),2,1))/10)+MOD(2*VALUE(MID(UPPER(TRIM(D347)),2,1)),10))+(INT(2*VALUE(MID(UPPER(TRIM(D347)),4,1))/10)+MOD(2*VALUE(MID(UPPER(TRIM(D347)),4,1)),10))+(INT(2*VALUE(MID(UPPER(TRIM(D347)),6,1))/10)+MOD(2*VALUE(MID(UPPER(TRIM(D347)),6,1)),10))+(INT(2*VALUE(MID(UPPER(TRIM(D347)),8,1))/10)+MOD(2*VALUE(MID(UPPER(TRIM(D347)),8,1)),10)),10),10),"0"),RIGHT(UPPER(TRIM(D347)),1)=MID("JABCDEFGHI",MOD(10-MOD((VALUE(MID(UPPER(TRIM(D347)),3,1))+VALUE(MID(UPPER(TRIM(D347)),5,1))+VALUE(MID(UPPER(TRIM(D347)),7,1)))+(INT(2*VALUE(MID(UPPER(TRIM(D347)),2,1))/10)+MOD(2*VALUE(MID(UPPER(TRIM(D347)),2,1)),10))+(INT(2*VALUE(MID(UPPER(TRIM(D347)),4,1))/10)+MOD(2*VALUE(MID(UPPER(TRIM(D347)),4,1)),10))+(INT(2*VALUE(MID(UPPER(TRIM(D347)),6,1))/10)+MOD(2*VALUE(MID(UPPER(TRIM(D347)),6,1)),10))+(INT(2*VALUE(MID(UPPER(TRIM(D347)),8,1))/10)+MOD(2*VALUE(MID(UPPER(TRIM(D347)),8,1)),10)),10),10)+1,1)),"OK","REVISAR")),"REVISAR")))</f>
        <v/>
      </c>
      <c r="Q347">
        <f>IF(B347="","",IF(COUNTIFS($B$2:$B$501,B347,$D$2:$D$501,D347)&gt;1,"DUPLICADA",""))</f>
        <v/>
      </c>
      <c r="R347">
        <f>IF(A347="","",ROUNDUP(MONTH(A347)/3,0))</f>
        <v/>
      </c>
      <c r="S347" s="3" t="n"/>
    </row>
    <row r="348">
      <c r="A348" s="2" t="n"/>
      <c r="B348" s="3" t="n"/>
      <c r="C348" s="3" t="n"/>
      <c r="D348" s="3" t="n"/>
      <c r="E348" s="4" t="n"/>
      <c r="F348" s="4" t="n"/>
      <c r="G348" s="4" t="n"/>
      <c r="H348" s="4" t="n"/>
      <c r="I348" s="5">
        <f>IF(E348="","",ROUND(E348*0.21,2))</f>
        <v/>
      </c>
      <c r="J348" s="5">
        <f>IF(F348="","",ROUND(F348*0.1,2))</f>
        <v/>
      </c>
      <c r="K348" s="5">
        <f>IF(G348="","",ROUND(G348*0.04,2))</f>
        <v/>
      </c>
      <c r="L348" s="4" t="n"/>
      <c r="M348" s="4" t="n"/>
      <c r="N348" s="5">
        <f>IF(A348="","",SUM(E348:K348)-N(L348))</f>
        <v/>
      </c>
      <c r="O348">
        <f>IF(OR(A348="",M348=""),"",IF(ABS(M348-N348)&lt;=0.02,"OK","REVISAR"))</f>
        <v/>
      </c>
      <c r="P348">
        <f>IF(D348="","",IF(LEN(TRIM(D348))&lt;&gt;9,"REVISAR",IFERROR(IF(OR(ISNUMBER(VALUE(LEFT(UPPER(TRIM(D348)),1))),LEFT(UPPER(TRIM(D348)),1)="X",LEFT(UPPER(TRIM(D348)),1)="Y",LEFT(UPPER(TRIM(D348)),1)="Z"),IF(MID("TRWAGMYFPDXBNJZSQVHLCKE",MOD(VALUE(SUBSTITUTE(SUBSTITUTE(SUBSTITUTE(LEFT(UPPER(TRIM(D348)),8),"X","0"),"Y","1"),"Z","2")),23)+1,1)=RIGHT(UPPER(TRIM(D348)),1),"OK","REVISAR"),IF(OR(RIGHT(UPPER(TRIM(D348)),1)=TEXT(MOD(10-MOD((VALUE(MID(UPPER(TRIM(D348)),3,1))+VALUE(MID(UPPER(TRIM(D348)),5,1))+VALUE(MID(UPPER(TRIM(D348)),7,1)))+(INT(2*VALUE(MID(UPPER(TRIM(D348)),2,1))/10)+MOD(2*VALUE(MID(UPPER(TRIM(D348)),2,1)),10))+(INT(2*VALUE(MID(UPPER(TRIM(D348)),4,1))/10)+MOD(2*VALUE(MID(UPPER(TRIM(D348)),4,1)),10))+(INT(2*VALUE(MID(UPPER(TRIM(D348)),6,1))/10)+MOD(2*VALUE(MID(UPPER(TRIM(D348)),6,1)),10))+(INT(2*VALUE(MID(UPPER(TRIM(D348)),8,1))/10)+MOD(2*VALUE(MID(UPPER(TRIM(D348)),8,1)),10)),10),10),"0"),RIGHT(UPPER(TRIM(D348)),1)=MID("JABCDEFGHI",MOD(10-MOD((VALUE(MID(UPPER(TRIM(D348)),3,1))+VALUE(MID(UPPER(TRIM(D348)),5,1))+VALUE(MID(UPPER(TRIM(D348)),7,1)))+(INT(2*VALUE(MID(UPPER(TRIM(D348)),2,1))/10)+MOD(2*VALUE(MID(UPPER(TRIM(D348)),2,1)),10))+(INT(2*VALUE(MID(UPPER(TRIM(D348)),4,1))/10)+MOD(2*VALUE(MID(UPPER(TRIM(D348)),4,1)),10))+(INT(2*VALUE(MID(UPPER(TRIM(D348)),6,1))/10)+MOD(2*VALUE(MID(UPPER(TRIM(D348)),6,1)),10))+(INT(2*VALUE(MID(UPPER(TRIM(D348)),8,1))/10)+MOD(2*VALUE(MID(UPPER(TRIM(D348)),8,1)),10)),10),10)+1,1)),"OK","REVISAR")),"REVISAR")))</f>
        <v/>
      </c>
      <c r="Q348">
        <f>IF(B348="","",IF(COUNTIFS($B$2:$B$501,B348,$D$2:$D$501,D348)&gt;1,"DUPLICADA",""))</f>
        <v/>
      </c>
      <c r="R348">
        <f>IF(A348="","",ROUNDUP(MONTH(A348)/3,0))</f>
        <v/>
      </c>
      <c r="S348" s="3" t="n"/>
    </row>
    <row r="349">
      <c r="A349" s="2" t="n"/>
      <c r="B349" s="3" t="n"/>
      <c r="C349" s="3" t="n"/>
      <c r="D349" s="3" t="n"/>
      <c r="E349" s="4" t="n"/>
      <c r="F349" s="4" t="n"/>
      <c r="G349" s="4" t="n"/>
      <c r="H349" s="4" t="n"/>
      <c r="I349" s="5">
        <f>IF(E349="","",ROUND(E349*0.21,2))</f>
        <v/>
      </c>
      <c r="J349" s="5">
        <f>IF(F349="","",ROUND(F349*0.1,2))</f>
        <v/>
      </c>
      <c r="K349" s="5">
        <f>IF(G349="","",ROUND(G349*0.04,2))</f>
        <v/>
      </c>
      <c r="L349" s="4" t="n"/>
      <c r="M349" s="4" t="n"/>
      <c r="N349" s="5">
        <f>IF(A349="","",SUM(E349:K349)-N(L349))</f>
        <v/>
      </c>
      <c r="O349">
        <f>IF(OR(A349="",M349=""),"",IF(ABS(M349-N349)&lt;=0.02,"OK","REVISAR"))</f>
        <v/>
      </c>
      <c r="P349">
        <f>IF(D349="","",IF(LEN(TRIM(D349))&lt;&gt;9,"REVISAR",IFERROR(IF(OR(ISNUMBER(VALUE(LEFT(UPPER(TRIM(D349)),1))),LEFT(UPPER(TRIM(D349)),1)="X",LEFT(UPPER(TRIM(D349)),1)="Y",LEFT(UPPER(TRIM(D349)),1)="Z"),IF(MID("TRWAGMYFPDXBNJZSQVHLCKE",MOD(VALUE(SUBSTITUTE(SUBSTITUTE(SUBSTITUTE(LEFT(UPPER(TRIM(D349)),8),"X","0"),"Y","1"),"Z","2")),23)+1,1)=RIGHT(UPPER(TRIM(D349)),1),"OK","REVISAR"),IF(OR(RIGHT(UPPER(TRIM(D349)),1)=TEXT(MOD(10-MOD((VALUE(MID(UPPER(TRIM(D349)),3,1))+VALUE(MID(UPPER(TRIM(D349)),5,1))+VALUE(MID(UPPER(TRIM(D349)),7,1)))+(INT(2*VALUE(MID(UPPER(TRIM(D349)),2,1))/10)+MOD(2*VALUE(MID(UPPER(TRIM(D349)),2,1)),10))+(INT(2*VALUE(MID(UPPER(TRIM(D349)),4,1))/10)+MOD(2*VALUE(MID(UPPER(TRIM(D349)),4,1)),10))+(INT(2*VALUE(MID(UPPER(TRIM(D349)),6,1))/10)+MOD(2*VALUE(MID(UPPER(TRIM(D349)),6,1)),10))+(INT(2*VALUE(MID(UPPER(TRIM(D349)),8,1))/10)+MOD(2*VALUE(MID(UPPER(TRIM(D349)),8,1)),10)),10),10),"0"),RIGHT(UPPER(TRIM(D349)),1)=MID("JABCDEFGHI",MOD(10-MOD((VALUE(MID(UPPER(TRIM(D349)),3,1))+VALUE(MID(UPPER(TRIM(D349)),5,1))+VALUE(MID(UPPER(TRIM(D349)),7,1)))+(INT(2*VALUE(MID(UPPER(TRIM(D349)),2,1))/10)+MOD(2*VALUE(MID(UPPER(TRIM(D349)),2,1)),10))+(INT(2*VALUE(MID(UPPER(TRIM(D349)),4,1))/10)+MOD(2*VALUE(MID(UPPER(TRIM(D349)),4,1)),10))+(INT(2*VALUE(MID(UPPER(TRIM(D349)),6,1))/10)+MOD(2*VALUE(MID(UPPER(TRIM(D349)),6,1)),10))+(INT(2*VALUE(MID(UPPER(TRIM(D349)),8,1))/10)+MOD(2*VALUE(MID(UPPER(TRIM(D349)),8,1)),10)),10),10)+1,1)),"OK","REVISAR")),"REVISAR")))</f>
        <v/>
      </c>
      <c r="Q349">
        <f>IF(B349="","",IF(COUNTIFS($B$2:$B$501,B349,$D$2:$D$501,D349)&gt;1,"DUPLICADA",""))</f>
        <v/>
      </c>
      <c r="R349">
        <f>IF(A349="","",ROUNDUP(MONTH(A349)/3,0))</f>
        <v/>
      </c>
      <c r="S349" s="3" t="n"/>
    </row>
    <row r="350">
      <c r="A350" s="2" t="n"/>
      <c r="B350" s="3" t="n"/>
      <c r="C350" s="3" t="n"/>
      <c r="D350" s="3" t="n"/>
      <c r="E350" s="4" t="n"/>
      <c r="F350" s="4" t="n"/>
      <c r="G350" s="4" t="n"/>
      <c r="H350" s="4" t="n"/>
      <c r="I350" s="5">
        <f>IF(E350="","",ROUND(E350*0.21,2))</f>
        <v/>
      </c>
      <c r="J350" s="5">
        <f>IF(F350="","",ROUND(F350*0.1,2))</f>
        <v/>
      </c>
      <c r="K350" s="5">
        <f>IF(G350="","",ROUND(G350*0.04,2))</f>
        <v/>
      </c>
      <c r="L350" s="4" t="n"/>
      <c r="M350" s="4" t="n"/>
      <c r="N350" s="5">
        <f>IF(A350="","",SUM(E350:K350)-N(L350))</f>
        <v/>
      </c>
      <c r="O350">
        <f>IF(OR(A350="",M350=""),"",IF(ABS(M350-N350)&lt;=0.02,"OK","REVISAR"))</f>
        <v/>
      </c>
      <c r="P350">
        <f>IF(D350="","",IF(LEN(TRIM(D350))&lt;&gt;9,"REVISAR",IFERROR(IF(OR(ISNUMBER(VALUE(LEFT(UPPER(TRIM(D350)),1))),LEFT(UPPER(TRIM(D350)),1)="X",LEFT(UPPER(TRIM(D350)),1)="Y",LEFT(UPPER(TRIM(D350)),1)="Z"),IF(MID("TRWAGMYFPDXBNJZSQVHLCKE",MOD(VALUE(SUBSTITUTE(SUBSTITUTE(SUBSTITUTE(LEFT(UPPER(TRIM(D350)),8),"X","0"),"Y","1"),"Z","2")),23)+1,1)=RIGHT(UPPER(TRIM(D350)),1),"OK","REVISAR"),IF(OR(RIGHT(UPPER(TRIM(D350)),1)=TEXT(MOD(10-MOD((VALUE(MID(UPPER(TRIM(D350)),3,1))+VALUE(MID(UPPER(TRIM(D350)),5,1))+VALUE(MID(UPPER(TRIM(D350)),7,1)))+(INT(2*VALUE(MID(UPPER(TRIM(D350)),2,1))/10)+MOD(2*VALUE(MID(UPPER(TRIM(D350)),2,1)),10))+(INT(2*VALUE(MID(UPPER(TRIM(D350)),4,1))/10)+MOD(2*VALUE(MID(UPPER(TRIM(D350)),4,1)),10))+(INT(2*VALUE(MID(UPPER(TRIM(D350)),6,1))/10)+MOD(2*VALUE(MID(UPPER(TRIM(D350)),6,1)),10))+(INT(2*VALUE(MID(UPPER(TRIM(D350)),8,1))/10)+MOD(2*VALUE(MID(UPPER(TRIM(D350)),8,1)),10)),10),10),"0"),RIGHT(UPPER(TRIM(D350)),1)=MID("JABCDEFGHI",MOD(10-MOD((VALUE(MID(UPPER(TRIM(D350)),3,1))+VALUE(MID(UPPER(TRIM(D350)),5,1))+VALUE(MID(UPPER(TRIM(D350)),7,1)))+(INT(2*VALUE(MID(UPPER(TRIM(D350)),2,1))/10)+MOD(2*VALUE(MID(UPPER(TRIM(D350)),2,1)),10))+(INT(2*VALUE(MID(UPPER(TRIM(D350)),4,1))/10)+MOD(2*VALUE(MID(UPPER(TRIM(D350)),4,1)),10))+(INT(2*VALUE(MID(UPPER(TRIM(D350)),6,1))/10)+MOD(2*VALUE(MID(UPPER(TRIM(D350)),6,1)),10))+(INT(2*VALUE(MID(UPPER(TRIM(D350)),8,1))/10)+MOD(2*VALUE(MID(UPPER(TRIM(D350)),8,1)),10)),10),10)+1,1)),"OK","REVISAR")),"REVISAR")))</f>
        <v/>
      </c>
      <c r="Q350">
        <f>IF(B350="","",IF(COUNTIFS($B$2:$B$501,B350,$D$2:$D$501,D350)&gt;1,"DUPLICADA",""))</f>
        <v/>
      </c>
      <c r="R350">
        <f>IF(A350="","",ROUNDUP(MONTH(A350)/3,0))</f>
        <v/>
      </c>
      <c r="S350" s="3" t="n"/>
    </row>
    <row r="351">
      <c r="A351" s="2" t="n"/>
      <c r="B351" s="3" t="n"/>
      <c r="C351" s="3" t="n"/>
      <c r="D351" s="3" t="n"/>
      <c r="E351" s="4" t="n"/>
      <c r="F351" s="4" t="n"/>
      <c r="G351" s="4" t="n"/>
      <c r="H351" s="4" t="n"/>
      <c r="I351" s="5">
        <f>IF(E351="","",ROUND(E351*0.21,2))</f>
        <v/>
      </c>
      <c r="J351" s="5">
        <f>IF(F351="","",ROUND(F351*0.1,2))</f>
        <v/>
      </c>
      <c r="K351" s="5">
        <f>IF(G351="","",ROUND(G351*0.04,2))</f>
        <v/>
      </c>
      <c r="L351" s="4" t="n"/>
      <c r="M351" s="4" t="n"/>
      <c r="N351" s="5">
        <f>IF(A351="","",SUM(E351:K351)-N(L351))</f>
        <v/>
      </c>
      <c r="O351">
        <f>IF(OR(A351="",M351=""),"",IF(ABS(M351-N351)&lt;=0.02,"OK","REVISAR"))</f>
        <v/>
      </c>
      <c r="P351">
        <f>IF(D351="","",IF(LEN(TRIM(D351))&lt;&gt;9,"REVISAR",IFERROR(IF(OR(ISNUMBER(VALUE(LEFT(UPPER(TRIM(D351)),1))),LEFT(UPPER(TRIM(D351)),1)="X",LEFT(UPPER(TRIM(D351)),1)="Y",LEFT(UPPER(TRIM(D351)),1)="Z"),IF(MID("TRWAGMYFPDXBNJZSQVHLCKE",MOD(VALUE(SUBSTITUTE(SUBSTITUTE(SUBSTITUTE(LEFT(UPPER(TRIM(D351)),8),"X","0"),"Y","1"),"Z","2")),23)+1,1)=RIGHT(UPPER(TRIM(D351)),1),"OK","REVISAR"),IF(OR(RIGHT(UPPER(TRIM(D351)),1)=TEXT(MOD(10-MOD((VALUE(MID(UPPER(TRIM(D351)),3,1))+VALUE(MID(UPPER(TRIM(D351)),5,1))+VALUE(MID(UPPER(TRIM(D351)),7,1)))+(INT(2*VALUE(MID(UPPER(TRIM(D351)),2,1))/10)+MOD(2*VALUE(MID(UPPER(TRIM(D351)),2,1)),10))+(INT(2*VALUE(MID(UPPER(TRIM(D351)),4,1))/10)+MOD(2*VALUE(MID(UPPER(TRIM(D351)),4,1)),10))+(INT(2*VALUE(MID(UPPER(TRIM(D351)),6,1))/10)+MOD(2*VALUE(MID(UPPER(TRIM(D351)),6,1)),10))+(INT(2*VALUE(MID(UPPER(TRIM(D351)),8,1))/10)+MOD(2*VALUE(MID(UPPER(TRIM(D351)),8,1)),10)),10),10),"0"),RIGHT(UPPER(TRIM(D351)),1)=MID("JABCDEFGHI",MOD(10-MOD((VALUE(MID(UPPER(TRIM(D351)),3,1))+VALUE(MID(UPPER(TRIM(D351)),5,1))+VALUE(MID(UPPER(TRIM(D351)),7,1)))+(INT(2*VALUE(MID(UPPER(TRIM(D351)),2,1))/10)+MOD(2*VALUE(MID(UPPER(TRIM(D351)),2,1)),10))+(INT(2*VALUE(MID(UPPER(TRIM(D351)),4,1))/10)+MOD(2*VALUE(MID(UPPER(TRIM(D351)),4,1)),10))+(INT(2*VALUE(MID(UPPER(TRIM(D351)),6,1))/10)+MOD(2*VALUE(MID(UPPER(TRIM(D351)),6,1)),10))+(INT(2*VALUE(MID(UPPER(TRIM(D351)),8,1))/10)+MOD(2*VALUE(MID(UPPER(TRIM(D351)),8,1)),10)),10),10)+1,1)),"OK","REVISAR")),"REVISAR")))</f>
        <v/>
      </c>
      <c r="Q351">
        <f>IF(B351="","",IF(COUNTIFS($B$2:$B$501,B351,$D$2:$D$501,D351)&gt;1,"DUPLICADA",""))</f>
        <v/>
      </c>
      <c r="R351">
        <f>IF(A351="","",ROUNDUP(MONTH(A351)/3,0))</f>
        <v/>
      </c>
      <c r="S351" s="3" t="n"/>
    </row>
    <row r="352">
      <c r="A352" s="2" t="n"/>
      <c r="B352" s="3" t="n"/>
      <c r="C352" s="3" t="n"/>
      <c r="D352" s="3" t="n"/>
      <c r="E352" s="4" t="n"/>
      <c r="F352" s="4" t="n"/>
      <c r="G352" s="4" t="n"/>
      <c r="H352" s="4" t="n"/>
      <c r="I352" s="5">
        <f>IF(E352="","",ROUND(E352*0.21,2))</f>
        <v/>
      </c>
      <c r="J352" s="5">
        <f>IF(F352="","",ROUND(F352*0.1,2))</f>
        <v/>
      </c>
      <c r="K352" s="5">
        <f>IF(G352="","",ROUND(G352*0.04,2))</f>
        <v/>
      </c>
      <c r="L352" s="4" t="n"/>
      <c r="M352" s="4" t="n"/>
      <c r="N352" s="5">
        <f>IF(A352="","",SUM(E352:K352)-N(L352))</f>
        <v/>
      </c>
      <c r="O352">
        <f>IF(OR(A352="",M352=""),"",IF(ABS(M352-N352)&lt;=0.02,"OK","REVISAR"))</f>
        <v/>
      </c>
      <c r="P352">
        <f>IF(D352="","",IF(LEN(TRIM(D352))&lt;&gt;9,"REVISAR",IFERROR(IF(OR(ISNUMBER(VALUE(LEFT(UPPER(TRIM(D352)),1))),LEFT(UPPER(TRIM(D352)),1)="X",LEFT(UPPER(TRIM(D352)),1)="Y",LEFT(UPPER(TRIM(D352)),1)="Z"),IF(MID("TRWAGMYFPDXBNJZSQVHLCKE",MOD(VALUE(SUBSTITUTE(SUBSTITUTE(SUBSTITUTE(LEFT(UPPER(TRIM(D352)),8),"X","0"),"Y","1"),"Z","2")),23)+1,1)=RIGHT(UPPER(TRIM(D352)),1),"OK","REVISAR"),IF(OR(RIGHT(UPPER(TRIM(D352)),1)=TEXT(MOD(10-MOD((VALUE(MID(UPPER(TRIM(D352)),3,1))+VALUE(MID(UPPER(TRIM(D352)),5,1))+VALUE(MID(UPPER(TRIM(D352)),7,1)))+(INT(2*VALUE(MID(UPPER(TRIM(D352)),2,1))/10)+MOD(2*VALUE(MID(UPPER(TRIM(D352)),2,1)),10))+(INT(2*VALUE(MID(UPPER(TRIM(D352)),4,1))/10)+MOD(2*VALUE(MID(UPPER(TRIM(D352)),4,1)),10))+(INT(2*VALUE(MID(UPPER(TRIM(D352)),6,1))/10)+MOD(2*VALUE(MID(UPPER(TRIM(D352)),6,1)),10))+(INT(2*VALUE(MID(UPPER(TRIM(D352)),8,1))/10)+MOD(2*VALUE(MID(UPPER(TRIM(D352)),8,1)),10)),10),10),"0"),RIGHT(UPPER(TRIM(D352)),1)=MID("JABCDEFGHI",MOD(10-MOD((VALUE(MID(UPPER(TRIM(D352)),3,1))+VALUE(MID(UPPER(TRIM(D352)),5,1))+VALUE(MID(UPPER(TRIM(D352)),7,1)))+(INT(2*VALUE(MID(UPPER(TRIM(D352)),2,1))/10)+MOD(2*VALUE(MID(UPPER(TRIM(D352)),2,1)),10))+(INT(2*VALUE(MID(UPPER(TRIM(D352)),4,1))/10)+MOD(2*VALUE(MID(UPPER(TRIM(D352)),4,1)),10))+(INT(2*VALUE(MID(UPPER(TRIM(D352)),6,1))/10)+MOD(2*VALUE(MID(UPPER(TRIM(D352)),6,1)),10))+(INT(2*VALUE(MID(UPPER(TRIM(D352)),8,1))/10)+MOD(2*VALUE(MID(UPPER(TRIM(D352)),8,1)),10)),10),10)+1,1)),"OK","REVISAR")),"REVISAR")))</f>
        <v/>
      </c>
      <c r="Q352">
        <f>IF(B352="","",IF(COUNTIFS($B$2:$B$501,B352,$D$2:$D$501,D352)&gt;1,"DUPLICADA",""))</f>
        <v/>
      </c>
      <c r="R352">
        <f>IF(A352="","",ROUNDUP(MONTH(A352)/3,0))</f>
        <v/>
      </c>
      <c r="S352" s="3" t="n"/>
    </row>
    <row r="353">
      <c r="A353" s="2" t="n"/>
      <c r="B353" s="3" t="n"/>
      <c r="C353" s="3" t="n"/>
      <c r="D353" s="3" t="n"/>
      <c r="E353" s="4" t="n"/>
      <c r="F353" s="4" t="n"/>
      <c r="G353" s="4" t="n"/>
      <c r="H353" s="4" t="n"/>
      <c r="I353" s="5">
        <f>IF(E353="","",ROUND(E353*0.21,2))</f>
        <v/>
      </c>
      <c r="J353" s="5">
        <f>IF(F353="","",ROUND(F353*0.1,2))</f>
        <v/>
      </c>
      <c r="K353" s="5">
        <f>IF(G353="","",ROUND(G353*0.04,2))</f>
        <v/>
      </c>
      <c r="L353" s="4" t="n"/>
      <c r="M353" s="4" t="n"/>
      <c r="N353" s="5">
        <f>IF(A353="","",SUM(E353:K353)-N(L353))</f>
        <v/>
      </c>
      <c r="O353">
        <f>IF(OR(A353="",M353=""),"",IF(ABS(M353-N353)&lt;=0.02,"OK","REVISAR"))</f>
        <v/>
      </c>
      <c r="P353">
        <f>IF(D353="","",IF(LEN(TRIM(D353))&lt;&gt;9,"REVISAR",IFERROR(IF(OR(ISNUMBER(VALUE(LEFT(UPPER(TRIM(D353)),1))),LEFT(UPPER(TRIM(D353)),1)="X",LEFT(UPPER(TRIM(D353)),1)="Y",LEFT(UPPER(TRIM(D353)),1)="Z"),IF(MID("TRWAGMYFPDXBNJZSQVHLCKE",MOD(VALUE(SUBSTITUTE(SUBSTITUTE(SUBSTITUTE(LEFT(UPPER(TRIM(D353)),8),"X","0"),"Y","1"),"Z","2")),23)+1,1)=RIGHT(UPPER(TRIM(D353)),1),"OK","REVISAR"),IF(OR(RIGHT(UPPER(TRIM(D353)),1)=TEXT(MOD(10-MOD((VALUE(MID(UPPER(TRIM(D353)),3,1))+VALUE(MID(UPPER(TRIM(D353)),5,1))+VALUE(MID(UPPER(TRIM(D353)),7,1)))+(INT(2*VALUE(MID(UPPER(TRIM(D353)),2,1))/10)+MOD(2*VALUE(MID(UPPER(TRIM(D353)),2,1)),10))+(INT(2*VALUE(MID(UPPER(TRIM(D353)),4,1))/10)+MOD(2*VALUE(MID(UPPER(TRIM(D353)),4,1)),10))+(INT(2*VALUE(MID(UPPER(TRIM(D353)),6,1))/10)+MOD(2*VALUE(MID(UPPER(TRIM(D353)),6,1)),10))+(INT(2*VALUE(MID(UPPER(TRIM(D353)),8,1))/10)+MOD(2*VALUE(MID(UPPER(TRIM(D353)),8,1)),10)),10),10),"0"),RIGHT(UPPER(TRIM(D353)),1)=MID("JABCDEFGHI",MOD(10-MOD((VALUE(MID(UPPER(TRIM(D353)),3,1))+VALUE(MID(UPPER(TRIM(D353)),5,1))+VALUE(MID(UPPER(TRIM(D353)),7,1)))+(INT(2*VALUE(MID(UPPER(TRIM(D353)),2,1))/10)+MOD(2*VALUE(MID(UPPER(TRIM(D353)),2,1)),10))+(INT(2*VALUE(MID(UPPER(TRIM(D353)),4,1))/10)+MOD(2*VALUE(MID(UPPER(TRIM(D353)),4,1)),10))+(INT(2*VALUE(MID(UPPER(TRIM(D353)),6,1))/10)+MOD(2*VALUE(MID(UPPER(TRIM(D353)),6,1)),10))+(INT(2*VALUE(MID(UPPER(TRIM(D353)),8,1))/10)+MOD(2*VALUE(MID(UPPER(TRIM(D353)),8,1)),10)),10),10)+1,1)),"OK","REVISAR")),"REVISAR")))</f>
        <v/>
      </c>
      <c r="Q353">
        <f>IF(B353="","",IF(COUNTIFS($B$2:$B$501,B353,$D$2:$D$501,D353)&gt;1,"DUPLICADA",""))</f>
        <v/>
      </c>
      <c r="R353">
        <f>IF(A353="","",ROUNDUP(MONTH(A353)/3,0))</f>
        <v/>
      </c>
      <c r="S353" s="3" t="n"/>
    </row>
    <row r="354">
      <c r="A354" s="2" t="n"/>
      <c r="B354" s="3" t="n"/>
      <c r="C354" s="3" t="n"/>
      <c r="D354" s="3" t="n"/>
      <c r="E354" s="4" t="n"/>
      <c r="F354" s="4" t="n"/>
      <c r="G354" s="4" t="n"/>
      <c r="H354" s="4" t="n"/>
      <c r="I354" s="5">
        <f>IF(E354="","",ROUND(E354*0.21,2))</f>
        <v/>
      </c>
      <c r="J354" s="5">
        <f>IF(F354="","",ROUND(F354*0.1,2))</f>
        <v/>
      </c>
      <c r="K354" s="5">
        <f>IF(G354="","",ROUND(G354*0.04,2))</f>
        <v/>
      </c>
      <c r="L354" s="4" t="n"/>
      <c r="M354" s="4" t="n"/>
      <c r="N354" s="5">
        <f>IF(A354="","",SUM(E354:K354)-N(L354))</f>
        <v/>
      </c>
      <c r="O354">
        <f>IF(OR(A354="",M354=""),"",IF(ABS(M354-N354)&lt;=0.02,"OK","REVISAR"))</f>
        <v/>
      </c>
      <c r="P354">
        <f>IF(D354="","",IF(LEN(TRIM(D354))&lt;&gt;9,"REVISAR",IFERROR(IF(OR(ISNUMBER(VALUE(LEFT(UPPER(TRIM(D354)),1))),LEFT(UPPER(TRIM(D354)),1)="X",LEFT(UPPER(TRIM(D354)),1)="Y",LEFT(UPPER(TRIM(D354)),1)="Z"),IF(MID("TRWAGMYFPDXBNJZSQVHLCKE",MOD(VALUE(SUBSTITUTE(SUBSTITUTE(SUBSTITUTE(LEFT(UPPER(TRIM(D354)),8),"X","0"),"Y","1"),"Z","2")),23)+1,1)=RIGHT(UPPER(TRIM(D354)),1),"OK","REVISAR"),IF(OR(RIGHT(UPPER(TRIM(D354)),1)=TEXT(MOD(10-MOD((VALUE(MID(UPPER(TRIM(D354)),3,1))+VALUE(MID(UPPER(TRIM(D354)),5,1))+VALUE(MID(UPPER(TRIM(D354)),7,1)))+(INT(2*VALUE(MID(UPPER(TRIM(D354)),2,1))/10)+MOD(2*VALUE(MID(UPPER(TRIM(D354)),2,1)),10))+(INT(2*VALUE(MID(UPPER(TRIM(D354)),4,1))/10)+MOD(2*VALUE(MID(UPPER(TRIM(D354)),4,1)),10))+(INT(2*VALUE(MID(UPPER(TRIM(D354)),6,1))/10)+MOD(2*VALUE(MID(UPPER(TRIM(D354)),6,1)),10))+(INT(2*VALUE(MID(UPPER(TRIM(D354)),8,1))/10)+MOD(2*VALUE(MID(UPPER(TRIM(D354)),8,1)),10)),10),10),"0"),RIGHT(UPPER(TRIM(D354)),1)=MID("JABCDEFGHI",MOD(10-MOD((VALUE(MID(UPPER(TRIM(D354)),3,1))+VALUE(MID(UPPER(TRIM(D354)),5,1))+VALUE(MID(UPPER(TRIM(D354)),7,1)))+(INT(2*VALUE(MID(UPPER(TRIM(D354)),2,1))/10)+MOD(2*VALUE(MID(UPPER(TRIM(D354)),2,1)),10))+(INT(2*VALUE(MID(UPPER(TRIM(D354)),4,1))/10)+MOD(2*VALUE(MID(UPPER(TRIM(D354)),4,1)),10))+(INT(2*VALUE(MID(UPPER(TRIM(D354)),6,1))/10)+MOD(2*VALUE(MID(UPPER(TRIM(D354)),6,1)),10))+(INT(2*VALUE(MID(UPPER(TRIM(D354)),8,1))/10)+MOD(2*VALUE(MID(UPPER(TRIM(D354)),8,1)),10)),10),10)+1,1)),"OK","REVISAR")),"REVISAR")))</f>
        <v/>
      </c>
      <c r="Q354">
        <f>IF(B354="","",IF(COUNTIFS($B$2:$B$501,B354,$D$2:$D$501,D354)&gt;1,"DUPLICADA",""))</f>
        <v/>
      </c>
      <c r="R354">
        <f>IF(A354="","",ROUNDUP(MONTH(A354)/3,0))</f>
        <v/>
      </c>
      <c r="S354" s="3" t="n"/>
    </row>
    <row r="355">
      <c r="A355" s="2" t="n"/>
      <c r="B355" s="3" t="n"/>
      <c r="C355" s="3" t="n"/>
      <c r="D355" s="3" t="n"/>
      <c r="E355" s="4" t="n"/>
      <c r="F355" s="4" t="n"/>
      <c r="G355" s="4" t="n"/>
      <c r="H355" s="4" t="n"/>
      <c r="I355" s="5">
        <f>IF(E355="","",ROUND(E355*0.21,2))</f>
        <v/>
      </c>
      <c r="J355" s="5">
        <f>IF(F355="","",ROUND(F355*0.1,2))</f>
        <v/>
      </c>
      <c r="K355" s="5">
        <f>IF(G355="","",ROUND(G355*0.04,2))</f>
        <v/>
      </c>
      <c r="L355" s="4" t="n"/>
      <c r="M355" s="4" t="n"/>
      <c r="N355" s="5">
        <f>IF(A355="","",SUM(E355:K355)-N(L355))</f>
        <v/>
      </c>
      <c r="O355">
        <f>IF(OR(A355="",M355=""),"",IF(ABS(M355-N355)&lt;=0.02,"OK","REVISAR"))</f>
        <v/>
      </c>
      <c r="P355">
        <f>IF(D355="","",IF(LEN(TRIM(D355))&lt;&gt;9,"REVISAR",IFERROR(IF(OR(ISNUMBER(VALUE(LEFT(UPPER(TRIM(D355)),1))),LEFT(UPPER(TRIM(D355)),1)="X",LEFT(UPPER(TRIM(D355)),1)="Y",LEFT(UPPER(TRIM(D355)),1)="Z"),IF(MID("TRWAGMYFPDXBNJZSQVHLCKE",MOD(VALUE(SUBSTITUTE(SUBSTITUTE(SUBSTITUTE(LEFT(UPPER(TRIM(D355)),8),"X","0"),"Y","1"),"Z","2")),23)+1,1)=RIGHT(UPPER(TRIM(D355)),1),"OK","REVISAR"),IF(OR(RIGHT(UPPER(TRIM(D355)),1)=TEXT(MOD(10-MOD((VALUE(MID(UPPER(TRIM(D355)),3,1))+VALUE(MID(UPPER(TRIM(D355)),5,1))+VALUE(MID(UPPER(TRIM(D355)),7,1)))+(INT(2*VALUE(MID(UPPER(TRIM(D355)),2,1))/10)+MOD(2*VALUE(MID(UPPER(TRIM(D355)),2,1)),10))+(INT(2*VALUE(MID(UPPER(TRIM(D355)),4,1))/10)+MOD(2*VALUE(MID(UPPER(TRIM(D355)),4,1)),10))+(INT(2*VALUE(MID(UPPER(TRIM(D355)),6,1))/10)+MOD(2*VALUE(MID(UPPER(TRIM(D355)),6,1)),10))+(INT(2*VALUE(MID(UPPER(TRIM(D355)),8,1))/10)+MOD(2*VALUE(MID(UPPER(TRIM(D355)),8,1)),10)),10),10),"0"),RIGHT(UPPER(TRIM(D355)),1)=MID("JABCDEFGHI",MOD(10-MOD((VALUE(MID(UPPER(TRIM(D355)),3,1))+VALUE(MID(UPPER(TRIM(D355)),5,1))+VALUE(MID(UPPER(TRIM(D355)),7,1)))+(INT(2*VALUE(MID(UPPER(TRIM(D355)),2,1))/10)+MOD(2*VALUE(MID(UPPER(TRIM(D355)),2,1)),10))+(INT(2*VALUE(MID(UPPER(TRIM(D355)),4,1))/10)+MOD(2*VALUE(MID(UPPER(TRIM(D355)),4,1)),10))+(INT(2*VALUE(MID(UPPER(TRIM(D355)),6,1))/10)+MOD(2*VALUE(MID(UPPER(TRIM(D355)),6,1)),10))+(INT(2*VALUE(MID(UPPER(TRIM(D355)),8,1))/10)+MOD(2*VALUE(MID(UPPER(TRIM(D355)),8,1)),10)),10),10)+1,1)),"OK","REVISAR")),"REVISAR")))</f>
        <v/>
      </c>
      <c r="Q355">
        <f>IF(B355="","",IF(COUNTIFS($B$2:$B$501,B355,$D$2:$D$501,D355)&gt;1,"DUPLICADA",""))</f>
        <v/>
      </c>
      <c r="R355">
        <f>IF(A355="","",ROUNDUP(MONTH(A355)/3,0))</f>
        <v/>
      </c>
      <c r="S355" s="3" t="n"/>
    </row>
    <row r="356">
      <c r="A356" s="2" t="n"/>
      <c r="B356" s="3" t="n"/>
      <c r="C356" s="3" t="n"/>
      <c r="D356" s="3" t="n"/>
      <c r="E356" s="4" t="n"/>
      <c r="F356" s="4" t="n"/>
      <c r="G356" s="4" t="n"/>
      <c r="H356" s="4" t="n"/>
      <c r="I356" s="5">
        <f>IF(E356="","",ROUND(E356*0.21,2))</f>
        <v/>
      </c>
      <c r="J356" s="5">
        <f>IF(F356="","",ROUND(F356*0.1,2))</f>
        <v/>
      </c>
      <c r="K356" s="5">
        <f>IF(G356="","",ROUND(G356*0.04,2))</f>
        <v/>
      </c>
      <c r="L356" s="4" t="n"/>
      <c r="M356" s="4" t="n"/>
      <c r="N356" s="5">
        <f>IF(A356="","",SUM(E356:K356)-N(L356))</f>
        <v/>
      </c>
      <c r="O356">
        <f>IF(OR(A356="",M356=""),"",IF(ABS(M356-N356)&lt;=0.02,"OK","REVISAR"))</f>
        <v/>
      </c>
      <c r="P356">
        <f>IF(D356="","",IF(LEN(TRIM(D356))&lt;&gt;9,"REVISAR",IFERROR(IF(OR(ISNUMBER(VALUE(LEFT(UPPER(TRIM(D356)),1))),LEFT(UPPER(TRIM(D356)),1)="X",LEFT(UPPER(TRIM(D356)),1)="Y",LEFT(UPPER(TRIM(D356)),1)="Z"),IF(MID("TRWAGMYFPDXBNJZSQVHLCKE",MOD(VALUE(SUBSTITUTE(SUBSTITUTE(SUBSTITUTE(LEFT(UPPER(TRIM(D356)),8),"X","0"),"Y","1"),"Z","2")),23)+1,1)=RIGHT(UPPER(TRIM(D356)),1),"OK","REVISAR"),IF(OR(RIGHT(UPPER(TRIM(D356)),1)=TEXT(MOD(10-MOD((VALUE(MID(UPPER(TRIM(D356)),3,1))+VALUE(MID(UPPER(TRIM(D356)),5,1))+VALUE(MID(UPPER(TRIM(D356)),7,1)))+(INT(2*VALUE(MID(UPPER(TRIM(D356)),2,1))/10)+MOD(2*VALUE(MID(UPPER(TRIM(D356)),2,1)),10))+(INT(2*VALUE(MID(UPPER(TRIM(D356)),4,1))/10)+MOD(2*VALUE(MID(UPPER(TRIM(D356)),4,1)),10))+(INT(2*VALUE(MID(UPPER(TRIM(D356)),6,1))/10)+MOD(2*VALUE(MID(UPPER(TRIM(D356)),6,1)),10))+(INT(2*VALUE(MID(UPPER(TRIM(D356)),8,1))/10)+MOD(2*VALUE(MID(UPPER(TRIM(D356)),8,1)),10)),10),10),"0"),RIGHT(UPPER(TRIM(D356)),1)=MID("JABCDEFGHI",MOD(10-MOD((VALUE(MID(UPPER(TRIM(D356)),3,1))+VALUE(MID(UPPER(TRIM(D356)),5,1))+VALUE(MID(UPPER(TRIM(D356)),7,1)))+(INT(2*VALUE(MID(UPPER(TRIM(D356)),2,1))/10)+MOD(2*VALUE(MID(UPPER(TRIM(D356)),2,1)),10))+(INT(2*VALUE(MID(UPPER(TRIM(D356)),4,1))/10)+MOD(2*VALUE(MID(UPPER(TRIM(D356)),4,1)),10))+(INT(2*VALUE(MID(UPPER(TRIM(D356)),6,1))/10)+MOD(2*VALUE(MID(UPPER(TRIM(D356)),6,1)),10))+(INT(2*VALUE(MID(UPPER(TRIM(D356)),8,1))/10)+MOD(2*VALUE(MID(UPPER(TRIM(D356)),8,1)),10)),10),10)+1,1)),"OK","REVISAR")),"REVISAR")))</f>
        <v/>
      </c>
      <c r="Q356">
        <f>IF(B356="","",IF(COUNTIFS($B$2:$B$501,B356,$D$2:$D$501,D356)&gt;1,"DUPLICADA",""))</f>
        <v/>
      </c>
      <c r="R356">
        <f>IF(A356="","",ROUNDUP(MONTH(A356)/3,0))</f>
        <v/>
      </c>
      <c r="S356" s="3" t="n"/>
    </row>
    <row r="357">
      <c r="A357" s="2" t="n"/>
      <c r="B357" s="3" t="n"/>
      <c r="C357" s="3" t="n"/>
      <c r="D357" s="3" t="n"/>
      <c r="E357" s="4" t="n"/>
      <c r="F357" s="4" t="n"/>
      <c r="G357" s="4" t="n"/>
      <c r="H357" s="4" t="n"/>
      <c r="I357" s="5">
        <f>IF(E357="","",ROUND(E357*0.21,2))</f>
        <v/>
      </c>
      <c r="J357" s="5">
        <f>IF(F357="","",ROUND(F357*0.1,2))</f>
        <v/>
      </c>
      <c r="K357" s="5">
        <f>IF(G357="","",ROUND(G357*0.04,2))</f>
        <v/>
      </c>
      <c r="L357" s="4" t="n"/>
      <c r="M357" s="4" t="n"/>
      <c r="N357" s="5">
        <f>IF(A357="","",SUM(E357:K357)-N(L357))</f>
        <v/>
      </c>
      <c r="O357">
        <f>IF(OR(A357="",M357=""),"",IF(ABS(M357-N357)&lt;=0.02,"OK","REVISAR"))</f>
        <v/>
      </c>
      <c r="P357">
        <f>IF(D357="","",IF(LEN(TRIM(D357))&lt;&gt;9,"REVISAR",IFERROR(IF(OR(ISNUMBER(VALUE(LEFT(UPPER(TRIM(D357)),1))),LEFT(UPPER(TRIM(D357)),1)="X",LEFT(UPPER(TRIM(D357)),1)="Y",LEFT(UPPER(TRIM(D357)),1)="Z"),IF(MID("TRWAGMYFPDXBNJZSQVHLCKE",MOD(VALUE(SUBSTITUTE(SUBSTITUTE(SUBSTITUTE(LEFT(UPPER(TRIM(D357)),8),"X","0"),"Y","1"),"Z","2")),23)+1,1)=RIGHT(UPPER(TRIM(D357)),1),"OK","REVISAR"),IF(OR(RIGHT(UPPER(TRIM(D357)),1)=TEXT(MOD(10-MOD((VALUE(MID(UPPER(TRIM(D357)),3,1))+VALUE(MID(UPPER(TRIM(D357)),5,1))+VALUE(MID(UPPER(TRIM(D357)),7,1)))+(INT(2*VALUE(MID(UPPER(TRIM(D357)),2,1))/10)+MOD(2*VALUE(MID(UPPER(TRIM(D357)),2,1)),10))+(INT(2*VALUE(MID(UPPER(TRIM(D357)),4,1))/10)+MOD(2*VALUE(MID(UPPER(TRIM(D357)),4,1)),10))+(INT(2*VALUE(MID(UPPER(TRIM(D357)),6,1))/10)+MOD(2*VALUE(MID(UPPER(TRIM(D357)),6,1)),10))+(INT(2*VALUE(MID(UPPER(TRIM(D357)),8,1))/10)+MOD(2*VALUE(MID(UPPER(TRIM(D357)),8,1)),10)),10),10),"0"),RIGHT(UPPER(TRIM(D357)),1)=MID("JABCDEFGHI",MOD(10-MOD((VALUE(MID(UPPER(TRIM(D357)),3,1))+VALUE(MID(UPPER(TRIM(D357)),5,1))+VALUE(MID(UPPER(TRIM(D357)),7,1)))+(INT(2*VALUE(MID(UPPER(TRIM(D357)),2,1))/10)+MOD(2*VALUE(MID(UPPER(TRIM(D357)),2,1)),10))+(INT(2*VALUE(MID(UPPER(TRIM(D357)),4,1))/10)+MOD(2*VALUE(MID(UPPER(TRIM(D357)),4,1)),10))+(INT(2*VALUE(MID(UPPER(TRIM(D357)),6,1))/10)+MOD(2*VALUE(MID(UPPER(TRIM(D357)),6,1)),10))+(INT(2*VALUE(MID(UPPER(TRIM(D357)),8,1))/10)+MOD(2*VALUE(MID(UPPER(TRIM(D357)),8,1)),10)),10),10)+1,1)),"OK","REVISAR")),"REVISAR")))</f>
        <v/>
      </c>
      <c r="Q357">
        <f>IF(B357="","",IF(COUNTIFS($B$2:$B$501,B357,$D$2:$D$501,D357)&gt;1,"DUPLICADA",""))</f>
        <v/>
      </c>
      <c r="R357">
        <f>IF(A357="","",ROUNDUP(MONTH(A357)/3,0))</f>
        <v/>
      </c>
      <c r="S357" s="3" t="n"/>
    </row>
    <row r="358">
      <c r="A358" s="2" t="n"/>
      <c r="B358" s="3" t="n"/>
      <c r="C358" s="3" t="n"/>
      <c r="D358" s="3" t="n"/>
      <c r="E358" s="4" t="n"/>
      <c r="F358" s="4" t="n"/>
      <c r="G358" s="4" t="n"/>
      <c r="H358" s="4" t="n"/>
      <c r="I358" s="5">
        <f>IF(E358="","",ROUND(E358*0.21,2))</f>
        <v/>
      </c>
      <c r="J358" s="5">
        <f>IF(F358="","",ROUND(F358*0.1,2))</f>
        <v/>
      </c>
      <c r="K358" s="5">
        <f>IF(G358="","",ROUND(G358*0.04,2))</f>
        <v/>
      </c>
      <c r="L358" s="4" t="n"/>
      <c r="M358" s="4" t="n"/>
      <c r="N358" s="5">
        <f>IF(A358="","",SUM(E358:K358)-N(L358))</f>
        <v/>
      </c>
      <c r="O358">
        <f>IF(OR(A358="",M358=""),"",IF(ABS(M358-N358)&lt;=0.02,"OK","REVISAR"))</f>
        <v/>
      </c>
      <c r="P358">
        <f>IF(D358="","",IF(LEN(TRIM(D358))&lt;&gt;9,"REVISAR",IFERROR(IF(OR(ISNUMBER(VALUE(LEFT(UPPER(TRIM(D358)),1))),LEFT(UPPER(TRIM(D358)),1)="X",LEFT(UPPER(TRIM(D358)),1)="Y",LEFT(UPPER(TRIM(D358)),1)="Z"),IF(MID("TRWAGMYFPDXBNJZSQVHLCKE",MOD(VALUE(SUBSTITUTE(SUBSTITUTE(SUBSTITUTE(LEFT(UPPER(TRIM(D358)),8),"X","0"),"Y","1"),"Z","2")),23)+1,1)=RIGHT(UPPER(TRIM(D358)),1),"OK","REVISAR"),IF(OR(RIGHT(UPPER(TRIM(D358)),1)=TEXT(MOD(10-MOD((VALUE(MID(UPPER(TRIM(D358)),3,1))+VALUE(MID(UPPER(TRIM(D358)),5,1))+VALUE(MID(UPPER(TRIM(D358)),7,1)))+(INT(2*VALUE(MID(UPPER(TRIM(D358)),2,1))/10)+MOD(2*VALUE(MID(UPPER(TRIM(D358)),2,1)),10))+(INT(2*VALUE(MID(UPPER(TRIM(D358)),4,1))/10)+MOD(2*VALUE(MID(UPPER(TRIM(D358)),4,1)),10))+(INT(2*VALUE(MID(UPPER(TRIM(D358)),6,1))/10)+MOD(2*VALUE(MID(UPPER(TRIM(D358)),6,1)),10))+(INT(2*VALUE(MID(UPPER(TRIM(D358)),8,1))/10)+MOD(2*VALUE(MID(UPPER(TRIM(D358)),8,1)),10)),10),10),"0"),RIGHT(UPPER(TRIM(D358)),1)=MID("JABCDEFGHI",MOD(10-MOD((VALUE(MID(UPPER(TRIM(D358)),3,1))+VALUE(MID(UPPER(TRIM(D358)),5,1))+VALUE(MID(UPPER(TRIM(D358)),7,1)))+(INT(2*VALUE(MID(UPPER(TRIM(D358)),2,1))/10)+MOD(2*VALUE(MID(UPPER(TRIM(D358)),2,1)),10))+(INT(2*VALUE(MID(UPPER(TRIM(D358)),4,1))/10)+MOD(2*VALUE(MID(UPPER(TRIM(D358)),4,1)),10))+(INT(2*VALUE(MID(UPPER(TRIM(D358)),6,1))/10)+MOD(2*VALUE(MID(UPPER(TRIM(D358)),6,1)),10))+(INT(2*VALUE(MID(UPPER(TRIM(D358)),8,1))/10)+MOD(2*VALUE(MID(UPPER(TRIM(D358)),8,1)),10)),10),10)+1,1)),"OK","REVISAR")),"REVISAR")))</f>
        <v/>
      </c>
      <c r="Q358">
        <f>IF(B358="","",IF(COUNTIFS($B$2:$B$501,B358,$D$2:$D$501,D358)&gt;1,"DUPLICADA",""))</f>
        <v/>
      </c>
      <c r="R358">
        <f>IF(A358="","",ROUNDUP(MONTH(A358)/3,0))</f>
        <v/>
      </c>
      <c r="S358" s="3" t="n"/>
    </row>
    <row r="359">
      <c r="A359" s="2" t="n"/>
      <c r="B359" s="3" t="n"/>
      <c r="C359" s="3" t="n"/>
      <c r="D359" s="3" t="n"/>
      <c r="E359" s="4" t="n"/>
      <c r="F359" s="4" t="n"/>
      <c r="G359" s="4" t="n"/>
      <c r="H359" s="4" t="n"/>
      <c r="I359" s="5">
        <f>IF(E359="","",ROUND(E359*0.21,2))</f>
        <v/>
      </c>
      <c r="J359" s="5">
        <f>IF(F359="","",ROUND(F359*0.1,2))</f>
        <v/>
      </c>
      <c r="K359" s="5">
        <f>IF(G359="","",ROUND(G359*0.04,2))</f>
        <v/>
      </c>
      <c r="L359" s="4" t="n"/>
      <c r="M359" s="4" t="n"/>
      <c r="N359" s="5">
        <f>IF(A359="","",SUM(E359:K359)-N(L359))</f>
        <v/>
      </c>
      <c r="O359">
        <f>IF(OR(A359="",M359=""),"",IF(ABS(M359-N359)&lt;=0.02,"OK","REVISAR"))</f>
        <v/>
      </c>
      <c r="P359">
        <f>IF(D359="","",IF(LEN(TRIM(D359))&lt;&gt;9,"REVISAR",IFERROR(IF(OR(ISNUMBER(VALUE(LEFT(UPPER(TRIM(D359)),1))),LEFT(UPPER(TRIM(D359)),1)="X",LEFT(UPPER(TRIM(D359)),1)="Y",LEFT(UPPER(TRIM(D359)),1)="Z"),IF(MID("TRWAGMYFPDXBNJZSQVHLCKE",MOD(VALUE(SUBSTITUTE(SUBSTITUTE(SUBSTITUTE(LEFT(UPPER(TRIM(D359)),8),"X","0"),"Y","1"),"Z","2")),23)+1,1)=RIGHT(UPPER(TRIM(D359)),1),"OK","REVISAR"),IF(OR(RIGHT(UPPER(TRIM(D359)),1)=TEXT(MOD(10-MOD((VALUE(MID(UPPER(TRIM(D359)),3,1))+VALUE(MID(UPPER(TRIM(D359)),5,1))+VALUE(MID(UPPER(TRIM(D359)),7,1)))+(INT(2*VALUE(MID(UPPER(TRIM(D359)),2,1))/10)+MOD(2*VALUE(MID(UPPER(TRIM(D359)),2,1)),10))+(INT(2*VALUE(MID(UPPER(TRIM(D359)),4,1))/10)+MOD(2*VALUE(MID(UPPER(TRIM(D359)),4,1)),10))+(INT(2*VALUE(MID(UPPER(TRIM(D359)),6,1))/10)+MOD(2*VALUE(MID(UPPER(TRIM(D359)),6,1)),10))+(INT(2*VALUE(MID(UPPER(TRIM(D359)),8,1))/10)+MOD(2*VALUE(MID(UPPER(TRIM(D359)),8,1)),10)),10),10),"0"),RIGHT(UPPER(TRIM(D359)),1)=MID("JABCDEFGHI",MOD(10-MOD((VALUE(MID(UPPER(TRIM(D359)),3,1))+VALUE(MID(UPPER(TRIM(D359)),5,1))+VALUE(MID(UPPER(TRIM(D359)),7,1)))+(INT(2*VALUE(MID(UPPER(TRIM(D359)),2,1))/10)+MOD(2*VALUE(MID(UPPER(TRIM(D359)),2,1)),10))+(INT(2*VALUE(MID(UPPER(TRIM(D359)),4,1))/10)+MOD(2*VALUE(MID(UPPER(TRIM(D359)),4,1)),10))+(INT(2*VALUE(MID(UPPER(TRIM(D359)),6,1))/10)+MOD(2*VALUE(MID(UPPER(TRIM(D359)),6,1)),10))+(INT(2*VALUE(MID(UPPER(TRIM(D359)),8,1))/10)+MOD(2*VALUE(MID(UPPER(TRIM(D359)),8,1)),10)),10),10)+1,1)),"OK","REVISAR")),"REVISAR")))</f>
        <v/>
      </c>
      <c r="Q359">
        <f>IF(B359="","",IF(COUNTIFS($B$2:$B$501,B359,$D$2:$D$501,D359)&gt;1,"DUPLICADA",""))</f>
        <v/>
      </c>
      <c r="R359">
        <f>IF(A359="","",ROUNDUP(MONTH(A359)/3,0))</f>
        <v/>
      </c>
      <c r="S359" s="3" t="n"/>
    </row>
    <row r="360">
      <c r="A360" s="2" t="n"/>
      <c r="B360" s="3" t="n"/>
      <c r="C360" s="3" t="n"/>
      <c r="D360" s="3" t="n"/>
      <c r="E360" s="4" t="n"/>
      <c r="F360" s="4" t="n"/>
      <c r="G360" s="4" t="n"/>
      <c r="H360" s="4" t="n"/>
      <c r="I360" s="5">
        <f>IF(E360="","",ROUND(E360*0.21,2))</f>
        <v/>
      </c>
      <c r="J360" s="5">
        <f>IF(F360="","",ROUND(F360*0.1,2))</f>
        <v/>
      </c>
      <c r="K360" s="5">
        <f>IF(G360="","",ROUND(G360*0.04,2))</f>
        <v/>
      </c>
      <c r="L360" s="4" t="n"/>
      <c r="M360" s="4" t="n"/>
      <c r="N360" s="5">
        <f>IF(A360="","",SUM(E360:K360)-N(L360))</f>
        <v/>
      </c>
      <c r="O360">
        <f>IF(OR(A360="",M360=""),"",IF(ABS(M360-N360)&lt;=0.02,"OK","REVISAR"))</f>
        <v/>
      </c>
      <c r="P360">
        <f>IF(D360="","",IF(LEN(TRIM(D360))&lt;&gt;9,"REVISAR",IFERROR(IF(OR(ISNUMBER(VALUE(LEFT(UPPER(TRIM(D360)),1))),LEFT(UPPER(TRIM(D360)),1)="X",LEFT(UPPER(TRIM(D360)),1)="Y",LEFT(UPPER(TRIM(D360)),1)="Z"),IF(MID("TRWAGMYFPDXBNJZSQVHLCKE",MOD(VALUE(SUBSTITUTE(SUBSTITUTE(SUBSTITUTE(LEFT(UPPER(TRIM(D360)),8),"X","0"),"Y","1"),"Z","2")),23)+1,1)=RIGHT(UPPER(TRIM(D360)),1),"OK","REVISAR"),IF(OR(RIGHT(UPPER(TRIM(D360)),1)=TEXT(MOD(10-MOD((VALUE(MID(UPPER(TRIM(D360)),3,1))+VALUE(MID(UPPER(TRIM(D360)),5,1))+VALUE(MID(UPPER(TRIM(D360)),7,1)))+(INT(2*VALUE(MID(UPPER(TRIM(D360)),2,1))/10)+MOD(2*VALUE(MID(UPPER(TRIM(D360)),2,1)),10))+(INT(2*VALUE(MID(UPPER(TRIM(D360)),4,1))/10)+MOD(2*VALUE(MID(UPPER(TRIM(D360)),4,1)),10))+(INT(2*VALUE(MID(UPPER(TRIM(D360)),6,1))/10)+MOD(2*VALUE(MID(UPPER(TRIM(D360)),6,1)),10))+(INT(2*VALUE(MID(UPPER(TRIM(D360)),8,1))/10)+MOD(2*VALUE(MID(UPPER(TRIM(D360)),8,1)),10)),10),10),"0"),RIGHT(UPPER(TRIM(D360)),1)=MID("JABCDEFGHI",MOD(10-MOD((VALUE(MID(UPPER(TRIM(D360)),3,1))+VALUE(MID(UPPER(TRIM(D360)),5,1))+VALUE(MID(UPPER(TRIM(D360)),7,1)))+(INT(2*VALUE(MID(UPPER(TRIM(D360)),2,1))/10)+MOD(2*VALUE(MID(UPPER(TRIM(D360)),2,1)),10))+(INT(2*VALUE(MID(UPPER(TRIM(D360)),4,1))/10)+MOD(2*VALUE(MID(UPPER(TRIM(D360)),4,1)),10))+(INT(2*VALUE(MID(UPPER(TRIM(D360)),6,1))/10)+MOD(2*VALUE(MID(UPPER(TRIM(D360)),6,1)),10))+(INT(2*VALUE(MID(UPPER(TRIM(D360)),8,1))/10)+MOD(2*VALUE(MID(UPPER(TRIM(D360)),8,1)),10)),10),10)+1,1)),"OK","REVISAR")),"REVISAR")))</f>
        <v/>
      </c>
      <c r="Q360">
        <f>IF(B360="","",IF(COUNTIFS($B$2:$B$501,B360,$D$2:$D$501,D360)&gt;1,"DUPLICADA",""))</f>
        <v/>
      </c>
      <c r="R360">
        <f>IF(A360="","",ROUNDUP(MONTH(A360)/3,0))</f>
        <v/>
      </c>
      <c r="S360" s="3" t="n"/>
    </row>
    <row r="361">
      <c r="A361" s="2" t="n"/>
      <c r="B361" s="3" t="n"/>
      <c r="C361" s="3" t="n"/>
      <c r="D361" s="3" t="n"/>
      <c r="E361" s="4" t="n"/>
      <c r="F361" s="4" t="n"/>
      <c r="G361" s="4" t="n"/>
      <c r="H361" s="4" t="n"/>
      <c r="I361" s="5">
        <f>IF(E361="","",ROUND(E361*0.21,2))</f>
        <v/>
      </c>
      <c r="J361" s="5">
        <f>IF(F361="","",ROUND(F361*0.1,2))</f>
        <v/>
      </c>
      <c r="K361" s="5">
        <f>IF(G361="","",ROUND(G361*0.04,2))</f>
        <v/>
      </c>
      <c r="L361" s="4" t="n"/>
      <c r="M361" s="4" t="n"/>
      <c r="N361" s="5">
        <f>IF(A361="","",SUM(E361:K361)-N(L361))</f>
        <v/>
      </c>
      <c r="O361">
        <f>IF(OR(A361="",M361=""),"",IF(ABS(M361-N361)&lt;=0.02,"OK","REVISAR"))</f>
        <v/>
      </c>
      <c r="P361">
        <f>IF(D361="","",IF(LEN(TRIM(D361))&lt;&gt;9,"REVISAR",IFERROR(IF(OR(ISNUMBER(VALUE(LEFT(UPPER(TRIM(D361)),1))),LEFT(UPPER(TRIM(D361)),1)="X",LEFT(UPPER(TRIM(D361)),1)="Y",LEFT(UPPER(TRIM(D361)),1)="Z"),IF(MID("TRWAGMYFPDXBNJZSQVHLCKE",MOD(VALUE(SUBSTITUTE(SUBSTITUTE(SUBSTITUTE(LEFT(UPPER(TRIM(D361)),8),"X","0"),"Y","1"),"Z","2")),23)+1,1)=RIGHT(UPPER(TRIM(D361)),1),"OK","REVISAR"),IF(OR(RIGHT(UPPER(TRIM(D361)),1)=TEXT(MOD(10-MOD((VALUE(MID(UPPER(TRIM(D361)),3,1))+VALUE(MID(UPPER(TRIM(D361)),5,1))+VALUE(MID(UPPER(TRIM(D361)),7,1)))+(INT(2*VALUE(MID(UPPER(TRIM(D361)),2,1))/10)+MOD(2*VALUE(MID(UPPER(TRIM(D361)),2,1)),10))+(INT(2*VALUE(MID(UPPER(TRIM(D361)),4,1))/10)+MOD(2*VALUE(MID(UPPER(TRIM(D361)),4,1)),10))+(INT(2*VALUE(MID(UPPER(TRIM(D361)),6,1))/10)+MOD(2*VALUE(MID(UPPER(TRIM(D361)),6,1)),10))+(INT(2*VALUE(MID(UPPER(TRIM(D361)),8,1))/10)+MOD(2*VALUE(MID(UPPER(TRIM(D361)),8,1)),10)),10),10),"0"),RIGHT(UPPER(TRIM(D361)),1)=MID("JABCDEFGHI",MOD(10-MOD((VALUE(MID(UPPER(TRIM(D361)),3,1))+VALUE(MID(UPPER(TRIM(D361)),5,1))+VALUE(MID(UPPER(TRIM(D361)),7,1)))+(INT(2*VALUE(MID(UPPER(TRIM(D361)),2,1))/10)+MOD(2*VALUE(MID(UPPER(TRIM(D361)),2,1)),10))+(INT(2*VALUE(MID(UPPER(TRIM(D361)),4,1))/10)+MOD(2*VALUE(MID(UPPER(TRIM(D361)),4,1)),10))+(INT(2*VALUE(MID(UPPER(TRIM(D361)),6,1))/10)+MOD(2*VALUE(MID(UPPER(TRIM(D361)),6,1)),10))+(INT(2*VALUE(MID(UPPER(TRIM(D361)),8,1))/10)+MOD(2*VALUE(MID(UPPER(TRIM(D361)),8,1)),10)),10),10)+1,1)),"OK","REVISAR")),"REVISAR")))</f>
        <v/>
      </c>
      <c r="Q361">
        <f>IF(B361="","",IF(COUNTIFS($B$2:$B$501,B361,$D$2:$D$501,D361)&gt;1,"DUPLICADA",""))</f>
        <v/>
      </c>
      <c r="R361">
        <f>IF(A361="","",ROUNDUP(MONTH(A361)/3,0))</f>
        <v/>
      </c>
      <c r="S361" s="3" t="n"/>
    </row>
    <row r="362">
      <c r="A362" s="2" t="n"/>
      <c r="B362" s="3" t="n"/>
      <c r="C362" s="3" t="n"/>
      <c r="D362" s="3" t="n"/>
      <c r="E362" s="4" t="n"/>
      <c r="F362" s="4" t="n"/>
      <c r="G362" s="4" t="n"/>
      <c r="H362" s="4" t="n"/>
      <c r="I362" s="5">
        <f>IF(E362="","",ROUND(E362*0.21,2))</f>
        <v/>
      </c>
      <c r="J362" s="5">
        <f>IF(F362="","",ROUND(F362*0.1,2))</f>
        <v/>
      </c>
      <c r="K362" s="5">
        <f>IF(G362="","",ROUND(G362*0.04,2))</f>
        <v/>
      </c>
      <c r="L362" s="4" t="n"/>
      <c r="M362" s="4" t="n"/>
      <c r="N362" s="5">
        <f>IF(A362="","",SUM(E362:K362)-N(L362))</f>
        <v/>
      </c>
      <c r="O362">
        <f>IF(OR(A362="",M362=""),"",IF(ABS(M362-N362)&lt;=0.02,"OK","REVISAR"))</f>
        <v/>
      </c>
      <c r="P362">
        <f>IF(D362="","",IF(LEN(TRIM(D362))&lt;&gt;9,"REVISAR",IFERROR(IF(OR(ISNUMBER(VALUE(LEFT(UPPER(TRIM(D362)),1))),LEFT(UPPER(TRIM(D362)),1)="X",LEFT(UPPER(TRIM(D362)),1)="Y",LEFT(UPPER(TRIM(D362)),1)="Z"),IF(MID("TRWAGMYFPDXBNJZSQVHLCKE",MOD(VALUE(SUBSTITUTE(SUBSTITUTE(SUBSTITUTE(LEFT(UPPER(TRIM(D362)),8),"X","0"),"Y","1"),"Z","2")),23)+1,1)=RIGHT(UPPER(TRIM(D362)),1),"OK","REVISAR"),IF(OR(RIGHT(UPPER(TRIM(D362)),1)=TEXT(MOD(10-MOD((VALUE(MID(UPPER(TRIM(D362)),3,1))+VALUE(MID(UPPER(TRIM(D362)),5,1))+VALUE(MID(UPPER(TRIM(D362)),7,1)))+(INT(2*VALUE(MID(UPPER(TRIM(D362)),2,1))/10)+MOD(2*VALUE(MID(UPPER(TRIM(D362)),2,1)),10))+(INT(2*VALUE(MID(UPPER(TRIM(D362)),4,1))/10)+MOD(2*VALUE(MID(UPPER(TRIM(D362)),4,1)),10))+(INT(2*VALUE(MID(UPPER(TRIM(D362)),6,1))/10)+MOD(2*VALUE(MID(UPPER(TRIM(D362)),6,1)),10))+(INT(2*VALUE(MID(UPPER(TRIM(D362)),8,1))/10)+MOD(2*VALUE(MID(UPPER(TRIM(D362)),8,1)),10)),10),10),"0"),RIGHT(UPPER(TRIM(D362)),1)=MID("JABCDEFGHI",MOD(10-MOD((VALUE(MID(UPPER(TRIM(D362)),3,1))+VALUE(MID(UPPER(TRIM(D362)),5,1))+VALUE(MID(UPPER(TRIM(D362)),7,1)))+(INT(2*VALUE(MID(UPPER(TRIM(D362)),2,1))/10)+MOD(2*VALUE(MID(UPPER(TRIM(D362)),2,1)),10))+(INT(2*VALUE(MID(UPPER(TRIM(D362)),4,1))/10)+MOD(2*VALUE(MID(UPPER(TRIM(D362)),4,1)),10))+(INT(2*VALUE(MID(UPPER(TRIM(D362)),6,1))/10)+MOD(2*VALUE(MID(UPPER(TRIM(D362)),6,1)),10))+(INT(2*VALUE(MID(UPPER(TRIM(D362)),8,1))/10)+MOD(2*VALUE(MID(UPPER(TRIM(D362)),8,1)),10)),10),10)+1,1)),"OK","REVISAR")),"REVISAR")))</f>
        <v/>
      </c>
      <c r="Q362">
        <f>IF(B362="","",IF(COUNTIFS($B$2:$B$501,B362,$D$2:$D$501,D362)&gt;1,"DUPLICADA",""))</f>
        <v/>
      </c>
      <c r="R362">
        <f>IF(A362="","",ROUNDUP(MONTH(A362)/3,0))</f>
        <v/>
      </c>
      <c r="S362" s="3" t="n"/>
    </row>
    <row r="363">
      <c r="A363" s="2" t="n"/>
      <c r="B363" s="3" t="n"/>
      <c r="C363" s="3" t="n"/>
      <c r="D363" s="3" t="n"/>
      <c r="E363" s="4" t="n"/>
      <c r="F363" s="4" t="n"/>
      <c r="G363" s="4" t="n"/>
      <c r="H363" s="4" t="n"/>
      <c r="I363" s="5">
        <f>IF(E363="","",ROUND(E363*0.21,2))</f>
        <v/>
      </c>
      <c r="J363" s="5">
        <f>IF(F363="","",ROUND(F363*0.1,2))</f>
        <v/>
      </c>
      <c r="K363" s="5">
        <f>IF(G363="","",ROUND(G363*0.04,2))</f>
        <v/>
      </c>
      <c r="L363" s="4" t="n"/>
      <c r="M363" s="4" t="n"/>
      <c r="N363" s="5">
        <f>IF(A363="","",SUM(E363:K363)-N(L363))</f>
        <v/>
      </c>
      <c r="O363">
        <f>IF(OR(A363="",M363=""),"",IF(ABS(M363-N363)&lt;=0.02,"OK","REVISAR"))</f>
        <v/>
      </c>
      <c r="P363">
        <f>IF(D363="","",IF(LEN(TRIM(D363))&lt;&gt;9,"REVISAR",IFERROR(IF(OR(ISNUMBER(VALUE(LEFT(UPPER(TRIM(D363)),1))),LEFT(UPPER(TRIM(D363)),1)="X",LEFT(UPPER(TRIM(D363)),1)="Y",LEFT(UPPER(TRIM(D363)),1)="Z"),IF(MID("TRWAGMYFPDXBNJZSQVHLCKE",MOD(VALUE(SUBSTITUTE(SUBSTITUTE(SUBSTITUTE(LEFT(UPPER(TRIM(D363)),8),"X","0"),"Y","1"),"Z","2")),23)+1,1)=RIGHT(UPPER(TRIM(D363)),1),"OK","REVISAR"),IF(OR(RIGHT(UPPER(TRIM(D363)),1)=TEXT(MOD(10-MOD((VALUE(MID(UPPER(TRIM(D363)),3,1))+VALUE(MID(UPPER(TRIM(D363)),5,1))+VALUE(MID(UPPER(TRIM(D363)),7,1)))+(INT(2*VALUE(MID(UPPER(TRIM(D363)),2,1))/10)+MOD(2*VALUE(MID(UPPER(TRIM(D363)),2,1)),10))+(INT(2*VALUE(MID(UPPER(TRIM(D363)),4,1))/10)+MOD(2*VALUE(MID(UPPER(TRIM(D363)),4,1)),10))+(INT(2*VALUE(MID(UPPER(TRIM(D363)),6,1))/10)+MOD(2*VALUE(MID(UPPER(TRIM(D363)),6,1)),10))+(INT(2*VALUE(MID(UPPER(TRIM(D363)),8,1))/10)+MOD(2*VALUE(MID(UPPER(TRIM(D363)),8,1)),10)),10),10),"0"),RIGHT(UPPER(TRIM(D363)),1)=MID("JABCDEFGHI",MOD(10-MOD((VALUE(MID(UPPER(TRIM(D363)),3,1))+VALUE(MID(UPPER(TRIM(D363)),5,1))+VALUE(MID(UPPER(TRIM(D363)),7,1)))+(INT(2*VALUE(MID(UPPER(TRIM(D363)),2,1))/10)+MOD(2*VALUE(MID(UPPER(TRIM(D363)),2,1)),10))+(INT(2*VALUE(MID(UPPER(TRIM(D363)),4,1))/10)+MOD(2*VALUE(MID(UPPER(TRIM(D363)),4,1)),10))+(INT(2*VALUE(MID(UPPER(TRIM(D363)),6,1))/10)+MOD(2*VALUE(MID(UPPER(TRIM(D363)),6,1)),10))+(INT(2*VALUE(MID(UPPER(TRIM(D363)),8,1))/10)+MOD(2*VALUE(MID(UPPER(TRIM(D363)),8,1)),10)),10),10)+1,1)),"OK","REVISAR")),"REVISAR")))</f>
        <v/>
      </c>
      <c r="Q363">
        <f>IF(B363="","",IF(COUNTIFS($B$2:$B$501,B363,$D$2:$D$501,D363)&gt;1,"DUPLICADA",""))</f>
        <v/>
      </c>
      <c r="R363">
        <f>IF(A363="","",ROUNDUP(MONTH(A363)/3,0))</f>
        <v/>
      </c>
      <c r="S363" s="3" t="n"/>
    </row>
    <row r="364">
      <c r="A364" s="2" t="n"/>
      <c r="B364" s="3" t="n"/>
      <c r="C364" s="3" t="n"/>
      <c r="D364" s="3" t="n"/>
      <c r="E364" s="4" t="n"/>
      <c r="F364" s="4" t="n"/>
      <c r="G364" s="4" t="n"/>
      <c r="H364" s="4" t="n"/>
      <c r="I364" s="5">
        <f>IF(E364="","",ROUND(E364*0.21,2))</f>
        <v/>
      </c>
      <c r="J364" s="5">
        <f>IF(F364="","",ROUND(F364*0.1,2))</f>
        <v/>
      </c>
      <c r="K364" s="5">
        <f>IF(G364="","",ROUND(G364*0.04,2))</f>
        <v/>
      </c>
      <c r="L364" s="4" t="n"/>
      <c r="M364" s="4" t="n"/>
      <c r="N364" s="5">
        <f>IF(A364="","",SUM(E364:K364)-N(L364))</f>
        <v/>
      </c>
      <c r="O364">
        <f>IF(OR(A364="",M364=""),"",IF(ABS(M364-N364)&lt;=0.02,"OK","REVISAR"))</f>
        <v/>
      </c>
      <c r="P364">
        <f>IF(D364="","",IF(LEN(TRIM(D364))&lt;&gt;9,"REVISAR",IFERROR(IF(OR(ISNUMBER(VALUE(LEFT(UPPER(TRIM(D364)),1))),LEFT(UPPER(TRIM(D364)),1)="X",LEFT(UPPER(TRIM(D364)),1)="Y",LEFT(UPPER(TRIM(D364)),1)="Z"),IF(MID("TRWAGMYFPDXBNJZSQVHLCKE",MOD(VALUE(SUBSTITUTE(SUBSTITUTE(SUBSTITUTE(LEFT(UPPER(TRIM(D364)),8),"X","0"),"Y","1"),"Z","2")),23)+1,1)=RIGHT(UPPER(TRIM(D364)),1),"OK","REVISAR"),IF(OR(RIGHT(UPPER(TRIM(D364)),1)=TEXT(MOD(10-MOD((VALUE(MID(UPPER(TRIM(D364)),3,1))+VALUE(MID(UPPER(TRIM(D364)),5,1))+VALUE(MID(UPPER(TRIM(D364)),7,1)))+(INT(2*VALUE(MID(UPPER(TRIM(D364)),2,1))/10)+MOD(2*VALUE(MID(UPPER(TRIM(D364)),2,1)),10))+(INT(2*VALUE(MID(UPPER(TRIM(D364)),4,1))/10)+MOD(2*VALUE(MID(UPPER(TRIM(D364)),4,1)),10))+(INT(2*VALUE(MID(UPPER(TRIM(D364)),6,1))/10)+MOD(2*VALUE(MID(UPPER(TRIM(D364)),6,1)),10))+(INT(2*VALUE(MID(UPPER(TRIM(D364)),8,1))/10)+MOD(2*VALUE(MID(UPPER(TRIM(D364)),8,1)),10)),10),10),"0"),RIGHT(UPPER(TRIM(D364)),1)=MID("JABCDEFGHI",MOD(10-MOD((VALUE(MID(UPPER(TRIM(D364)),3,1))+VALUE(MID(UPPER(TRIM(D364)),5,1))+VALUE(MID(UPPER(TRIM(D364)),7,1)))+(INT(2*VALUE(MID(UPPER(TRIM(D364)),2,1))/10)+MOD(2*VALUE(MID(UPPER(TRIM(D364)),2,1)),10))+(INT(2*VALUE(MID(UPPER(TRIM(D364)),4,1))/10)+MOD(2*VALUE(MID(UPPER(TRIM(D364)),4,1)),10))+(INT(2*VALUE(MID(UPPER(TRIM(D364)),6,1))/10)+MOD(2*VALUE(MID(UPPER(TRIM(D364)),6,1)),10))+(INT(2*VALUE(MID(UPPER(TRIM(D364)),8,1))/10)+MOD(2*VALUE(MID(UPPER(TRIM(D364)),8,1)),10)),10),10)+1,1)),"OK","REVISAR")),"REVISAR")))</f>
        <v/>
      </c>
      <c r="Q364">
        <f>IF(B364="","",IF(COUNTIFS($B$2:$B$501,B364,$D$2:$D$501,D364)&gt;1,"DUPLICADA",""))</f>
        <v/>
      </c>
      <c r="R364">
        <f>IF(A364="","",ROUNDUP(MONTH(A364)/3,0))</f>
        <v/>
      </c>
      <c r="S364" s="3" t="n"/>
    </row>
    <row r="365">
      <c r="A365" s="2" t="n"/>
      <c r="B365" s="3" t="n"/>
      <c r="C365" s="3" t="n"/>
      <c r="D365" s="3" t="n"/>
      <c r="E365" s="4" t="n"/>
      <c r="F365" s="4" t="n"/>
      <c r="G365" s="4" t="n"/>
      <c r="H365" s="4" t="n"/>
      <c r="I365" s="5">
        <f>IF(E365="","",ROUND(E365*0.21,2))</f>
        <v/>
      </c>
      <c r="J365" s="5">
        <f>IF(F365="","",ROUND(F365*0.1,2))</f>
        <v/>
      </c>
      <c r="K365" s="5">
        <f>IF(G365="","",ROUND(G365*0.04,2))</f>
        <v/>
      </c>
      <c r="L365" s="4" t="n"/>
      <c r="M365" s="4" t="n"/>
      <c r="N365" s="5">
        <f>IF(A365="","",SUM(E365:K365)-N(L365))</f>
        <v/>
      </c>
      <c r="O365">
        <f>IF(OR(A365="",M365=""),"",IF(ABS(M365-N365)&lt;=0.02,"OK","REVISAR"))</f>
        <v/>
      </c>
      <c r="P365">
        <f>IF(D365="","",IF(LEN(TRIM(D365))&lt;&gt;9,"REVISAR",IFERROR(IF(OR(ISNUMBER(VALUE(LEFT(UPPER(TRIM(D365)),1))),LEFT(UPPER(TRIM(D365)),1)="X",LEFT(UPPER(TRIM(D365)),1)="Y",LEFT(UPPER(TRIM(D365)),1)="Z"),IF(MID("TRWAGMYFPDXBNJZSQVHLCKE",MOD(VALUE(SUBSTITUTE(SUBSTITUTE(SUBSTITUTE(LEFT(UPPER(TRIM(D365)),8),"X","0"),"Y","1"),"Z","2")),23)+1,1)=RIGHT(UPPER(TRIM(D365)),1),"OK","REVISAR"),IF(OR(RIGHT(UPPER(TRIM(D365)),1)=TEXT(MOD(10-MOD((VALUE(MID(UPPER(TRIM(D365)),3,1))+VALUE(MID(UPPER(TRIM(D365)),5,1))+VALUE(MID(UPPER(TRIM(D365)),7,1)))+(INT(2*VALUE(MID(UPPER(TRIM(D365)),2,1))/10)+MOD(2*VALUE(MID(UPPER(TRIM(D365)),2,1)),10))+(INT(2*VALUE(MID(UPPER(TRIM(D365)),4,1))/10)+MOD(2*VALUE(MID(UPPER(TRIM(D365)),4,1)),10))+(INT(2*VALUE(MID(UPPER(TRIM(D365)),6,1))/10)+MOD(2*VALUE(MID(UPPER(TRIM(D365)),6,1)),10))+(INT(2*VALUE(MID(UPPER(TRIM(D365)),8,1))/10)+MOD(2*VALUE(MID(UPPER(TRIM(D365)),8,1)),10)),10),10),"0"),RIGHT(UPPER(TRIM(D365)),1)=MID("JABCDEFGHI",MOD(10-MOD((VALUE(MID(UPPER(TRIM(D365)),3,1))+VALUE(MID(UPPER(TRIM(D365)),5,1))+VALUE(MID(UPPER(TRIM(D365)),7,1)))+(INT(2*VALUE(MID(UPPER(TRIM(D365)),2,1))/10)+MOD(2*VALUE(MID(UPPER(TRIM(D365)),2,1)),10))+(INT(2*VALUE(MID(UPPER(TRIM(D365)),4,1))/10)+MOD(2*VALUE(MID(UPPER(TRIM(D365)),4,1)),10))+(INT(2*VALUE(MID(UPPER(TRIM(D365)),6,1))/10)+MOD(2*VALUE(MID(UPPER(TRIM(D365)),6,1)),10))+(INT(2*VALUE(MID(UPPER(TRIM(D365)),8,1))/10)+MOD(2*VALUE(MID(UPPER(TRIM(D365)),8,1)),10)),10),10)+1,1)),"OK","REVISAR")),"REVISAR")))</f>
        <v/>
      </c>
      <c r="Q365">
        <f>IF(B365="","",IF(COUNTIFS($B$2:$B$501,B365,$D$2:$D$501,D365)&gt;1,"DUPLICADA",""))</f>
        <v/>
      </c>
      <c r="R365">
        <f>IF(A365="","",ROUNDUP(MONTH(A365)/3,0))</f>
        <v/>
      </c>
      <c r="S365" s="3" t="n"/>
    </row>
    <row r="366">
      <c r="A366" s="2" t="n"/>
      <c r="B366" s="3" t="n"/>
      <c r="C366" s="3" t="n"/>
      <c r="D366" s="3" t="n"/>
      <c r="E366" s="4" t="n"/>
      <c r="F366" s="4" t="n"/>
      <c r="G366" s="4" t="n"/>
      <c r="H366" s="4" t="n"/>
      <c r="I366" s="5">
        <f>IF(E366="","",ROUND(E366*0.21,2))</f>
        <v/>
      </c>
      <c r="J366" s="5">
        <f>IF(F366="","",ROUND(F366*0.1,2))</f>
        <v/>
      </c>
      <c r="K366" s="5">
        <f>IF(G366="","",ROUND(G366*0.04,2))</f>
        <v/>
      </c>
      <c r="L366" s="4" t="n"/>
      <c r="M366" s="4" t="n"/>
      <c r="N366" s="5">
        <f>IF(A366="","",SUM(E366:K366)-N(L366))</f>
        <v/>
      </c>
      <c r="O366">
        <f>IF(OR(A366="",M366=""),"",IF(ABS(M366-N366)&lt;=0.02,"OK","REVISAR"))</f>
        <v/>
      </c>
      <c r="P366">
        <f>IF(D366="","",IF(LEN(TRIM(D366))&lt;&gt;9,"REVISAR",IFERROR(IF(OR(ISNUMBER(VALUE(LEFT(UPPER(TRIM(D366)),1))),LEFT(UPPER(TRIM(D366)),1)="X",LEFT(UPPER(TRIM(D366)),1)="Y",LEFT(UPPER(TRIM(D366)),1)="Z"),IF(MID("TRWAGMYFPDXBNJZSQVHLCKE",MOD(VALUE(SUBSTITUTE(SUBSTITUTE(SUBSTITUTE(LEFT(UPPER(TRIM(D366)),8),"X","0"),"Y","1"),"Z","2")),23)+1,1)=RIGHT(UPPER(TRIM(D366)),1),"OK","REVISAR"),IF(OR(RIGHT(UPPER(TRIM(D366)),1)=TEXT(MOD(10-MOD((VALUE(MID(UPPER(TRIM(D366)),3,1))+VALUE(MID(UPPER(TRIM(D366)),5,1))+VALUE(MID(UPPER(TRIM(D366)),7,1)))+(INT(2*VALUE(MID(UPPER(TRIM(D366)),2,1))/10)+MOD(2*VALUE(MID(UPPER(TRIM(D366)),2,1)),10))+(INT(2*VALUE(MID(UPPER(TRIM(D366)),4,1))/10)+MOD(2*VALUE(MID(UPPER(TRIM(D366)),4,1)),10))+(INT(2*VALUE(MID(UPPER(TRIM(D366)),6,1))/10)+MOD(2*VALUE(MID(UPPER(TRIM(D366)),6,1)),10))+(INT(2*VALUE(MID(UPPER(TRIM(D366)),8,1))/10)+MOD(2*VALUE(MID(UPPER(TRIM(D366)),8,1)),10)),10),10),"0"),RIGHT(UPPER(TRIM(D366)),1)=MID("JABCDEFGHI",MOD(10-MOD((VALUE(MID(UPPER(TRIM(D366)),3,1))+VALUE(MID(UPPER(TRIM(D366)),5,1))+VALUE(MID(UPPER(TRIM(D366)),7,1)))+(INT(2*VALUE(MID(UPPER(TRIM(D366)),2,1))/10)+MOD(2*VALUE(MID(UPPER(TRIM(D366)),2,1)),10))+(INT(2*VALUE(MID(UPPER(TRIM(D366)),4,1))/10)+MOD(2*VALUE(MID(UPPER(TRIM(D366)),4,1)),10))+(INT(2*VALUE(MID(UPPER(TRIM(D366)),6,1))/10)+MOD(2*VALUE(MID(UPPER(TRIM(D366)),6,1)),10))+(INT(2*VALUE(MID(UPPER(TRIM(D366)),8,1))/10)+MOD(2*VALUE(MID(UPPER(TRIM(D366)),8,1)),10)),10),10)+1,1)),"OK","REVISAR")),"REVISAR")))</f>
        <v/>
      </c>
      <c r="Q366">
        <f>IF(B366="","",IF(COUNTIFS($B$2:$B$501,B366,$D$2:$D$501,D366)&gt;1,"DUPLICADA",""))</f>
        <v/>
      </c>
      <c r="R366">
        <f>IF(A366="","",ROUNDUP(MONTH(A366)/3,0))</f>
        <v/>
      </c>
      <c r="S366" s="3" t="n"/>
    </row>
    <row r="367">
      <c r="A367" s="2" t="n"/>
      <c r="B367" s="3" t="n"/>
      <c r="C367" s="3" t="n"/>
      <c r="D367" s="3" t="n"/>
      <c r="E367" s="4" t="n"/>
      <c r="F367" s="4" t="n"/>
      <c r="G367" s="4" t="n"/>
      <c r="H367" s="4" t="n"/>
      <c r="I367" s="5">
        <f>IF(E367="","",ROUND(E367*0.21,2))</f>
        <v/>
      </c>
      <c r="J367" s="5">
        <f>IF(F367="","",ROUND(F367*0.1,2))</f>
        <v/>
      </c>
      <c r="K367" s="5">
        <f>IF(G367="","",ROUND(G367*0.04,2))</f>
        <v/>
      </c>
      <c r="L367" s="4" t="n"/>
      <c r="M367" s="4" t="n"/>
      <c r="N367" s="5">
        <f>IF(A367="","",SUM(E367:K367)-N(L367))</f>
        <v/>
      </c>
      <c r="O367">
        <f>IF(OR(A367="",M367=""),"",IF(ABS(M367-N367)&lt;=0.02,"OK","REVISAR"))</f>
        <v/>
      </c>
      <c r="P367">
        <f>IF(D367="","",IF(LEN(TRIM(D367))&lt;&gt;9,"REVISAR",IFERROR(IF(OR(ISNUMBER(VALUE(LEFT(UPPER(TRIM(D367)),1))),LEFT(UPPER(TRIM(D367)),1)="X",LEFT(UPPER(TRIM(D367)),1)="Y",LEFT(UPPER(TRIM(D367)),1)="Z"),IF(MID("TRWAGMYFPDXBNJZSQVHLCKE",MOD(VALUE(SUBSTITUTE(SUBSTITUTE(SUBSTITUTE(LEFT(UPPER(TRIM(D367)),8),"X","0"),"Y","1"),"Z","2")),23)+1,1)=RIGHT(UPPER(TRIM(D367)),1),"OK","REVISAR"),IF(OR(RIGHT(UPPER(TRIM(D367)),1)=TEXT(MOD(10-MOD((VALUE(MID(UPPER(TRIM(D367)),3,1))+VALUE(MID(UPPER(TRIM(D367)),5,1))+VALUE(MID(UPPER(TRIM(D367)),7,1)))+(INT(2*VALUE(MID(UPPER(TRIM(D367)),2,1))/10)+MOD(2*VALUE(MID(UPPER(TRIM(D367)),2,1)),10))+(INT(2*VALUE(MID(UPPER(TRIM(D367)),4,1))/10)+MOD(2*VALUE(MID(UPPER(TRIM(D367)),4,1)),10))+(INT(2*VALUE(MID(UPPER(TRIM(D367)),6,1))/10)+MOD(2*VALUE(MID(UPPER(TRIM(D367)),6,1)),10))+(INT(2*VALUE(MID(UPPER(TRIM(D367)),8,1))/10)+MOD(2*VALUE(MID(UPPER(TRIM(D367)),8,1)),10)),10),10),"0"),RIGHT(UPPER(TRIM(D367)),1)=MID("JABCDEFGHI",MOD(10-MOD((VALUE(MID(UPPER(TRIM(D367)),3,1))+VALUE(MID(UPPER(TRIM(D367)),5,1))+VALUE(MID(UPPER(TRIM(D367)),7,1)))+(INT(2*VALUE(MID(UPPER(TRIM(D367)),2,1))/10)+MOD(2*VALUE(MID(UPPER(TRIM(D367)),2,1)),10))+(INT(2*VALUE(MID(UPPER(TRIM(D367)),4,1))/10)+MOD(2*VALUE(MID(UPPER(TRIM(D367)),4,1)),10))+(INT(2*VALUE(MID(UPPER(TRIM(D367)),6,1))/10)+MOD(2*VALUE(MID(UPPER(TRIM(D367)),6,1)),10))+(INT(2*VALUE(MID(UPPER(TRIM(D367)),8,1))/10)+MOD(2*VALUE(MID(UPPER(TRIM(D367)),8,1)),10)),10),10)+1,1)),"OK","REVISAR")),"REVISAR")))</f>
        <v/>
      </c>
      <c r="Q367">
        <f>IF(B367="","",IF(COUNTIFS($B$2:$B$501,B367,$D$2:$D$501,D367)&gt;1,"DUPLICADA",""))</f>
        <v/>
      </c>
      <c r="R367">
        <f>IF(A367="","",ROUNDUP(MONTH(A367)/3,0))</f>
        <v/>
      </c>
      <c r="S367" s="3" t="n"/>
    </row>
    <row r="368">
      <c r="A368" s="2" t="n"/>
      <c r="B368" s="3" t="n"/>
      <c r="C368" s="3" t="n"/>
      <c r="D368" s="3" t="n"/>
      <c r="E368" s="4" t="n"/>
      <c r="F368" s="4" t="n"/>
      <c r="G368" s="4" t="n"/>
      <c r="H368" s="4" t="n"/>
      <c r="I368" s="5">
        <f>IF(E368="","",ROUND(E368*0.21,2))</f>
        <v/>
      </c>
      <c r="J368" s="5">
        <f>IF(F368="","",ROUND(F368*0.1,2))</f>
        <v/>
      </c>
      <c r="K368" s="5">
        <f>IF(G368="","",ROUND(G368*0.04,2))</f>
        <v/>
      </c>
      <c r="L368" s="4" t="n"/>
      <c r="M368" s="4" t="n"/>
      <c r="N368" s="5">
        <f>IF(A368="","",SUM(E368:K368)-N(L368))</f>
        <v/>
      </c>
      <c r="O368">
        <f>IF(OR(A368="",M368=""),"",IF(ABS(M368-N368)&lt;=0.02,"OK","REVISAR"))</f>
        <v/>
      </c>
      <c r="P368">
        <f>IF(D368="","",IF(LEN(TRIM(D368))&lt;&gt;9,"REVISAR",IFERROR(IF(OR(ISNUMBER(VALUE(LEFT(UPPER(TRIM(D368)),1))),LEFT(UPPER(TRIM(D368)),1)="X",LEFT(UPPER(TRIM(D368)),1)="Y",LEFT(UPPER(TRIM(D368)),1)="Z"),IF(MID("TRWAGMYFPDXBNJZSQVHLCKE",MOD(VALUE(SUBSTITUTE(SUBSTITUTE(SUBSTITUTE(LEFT(UPPER(TRIM(D368)),8),"X","0"),"Y","1"),"Z","2")),23)+1,1)=RIGHT(UPPER(TRIM(D368)),1),"OK","REVISAR"),IF(OR(RIGHT(UPPER(TRIM(D368)),1)=TEXT(MOD(10-MOD((VALUE(MID(UPPER(TRIM(D368)),3,1))+VALUE(MID(UPPER(TRIM(D368)),5,1))+VALUE(MID(UPPER(TRIM(D368)),7,1)))+(INT(2*VALUE(MID(UPPER(TRIM(D368)),2,1))/10)+MOD(2*VALUE(MID(UPPER(TRIM(D368)),2,1)),10))+(INT(2*VALUE(MID(UPPER(TRIM(D368)),4,1))/10)+MOD(2*VALUE(MID(UPPER(TRIM(D368)),4,1)),10))+(INT(2*VALUE(MID(UPPER(TRIM(D368)),6,1))/10)+MOD(2*VALUE(MID(UPPER(TRIM(D368)),6,1)),10))+(INT(2*VALUE(MID(UPPER(TRIM(D368)),8,1))/10)+MOD(2*VALUE(MID(UPPER(TRIM(D368)),8,1)),10)),10),10),"0"),RIGHT(UPPER(TRIM(D368)),1)=MID("JABCDEFGHI",MOD(10-MOD((VALUE(MID(UPPER(TRIM(D368)),3,1))+VALUE(MID(UPPER(TRIM(D368)),5,1))+VALUE(MID(UPPER(TRIM(D368)),7,1)))+(INT(2*VALUE(MID(UPPER(TRIM(D368)),2,1))/10)+MOD(2*VALUE(MID(UPPER(TRIM(D368)),2,1)),10))+(INT(2*VALUE(MID(UPPER(TRIM(D368)),4,1))/10)+MOD(2*VALUE(MID(UPPER(TRIM(D368)),4,1)),10))+(INT(2*VALUE(MID(UPPER(TRIM(D368)),6,1))/10)+MOD(2*VALUE(MID(UPPER(TRIM(D368)),6,1)),10))+(INT(2*VALUE(MID(UPPER(TRIM(D368)),8,1))/10)+MOD(2*VALUE(MID(UPPER(TRIM(D368)),8,1)),10)),10),10)+1,1)),"OK","REVISAR")),"REVISAR")))</f>
        <v/>
      </c>
      <c r="Q368">
        <f>IF(B368="","",IF(COUNTIFS($B$2:$B$501,B368,$D$2:$D$501,D368)&gt;1,"DUPLICADA",""))</f>
        <v/>
      </c>
      <c r="R368">
        <f>IF(A368="","",ROUNDUP(MONTH(A368)/3,0))</f>
        <v/>
      </c>
      <c r="S368" s="3" t="n"/>
    </row>
    <row r="369">
      <c r="A369" s="2" t="n"/>
      <c r="B369" s="3" t="n"/>
      <c r="C369" s="3" t="n"/>
      <c r="D369" s="3" t="n"/>
      <c r="E369" s="4" t="n"/>
      <c r="F369" s="4" t="n"/>
      <c r="G369" s="4" t="n"/>
      <c r="H369" s="4" t="n"/>
      <c r="I369" s="5">
        <f>IF(E369="","",ROUND(E369*0.21,2))</f>
        <v/>
      </c>
      <c r="J369" s="5">
        <f>IF(F369="","",ROUND(F369*0.1,2))</f>
        <v/>
      </c>
      <c r="K369" s="5">
        <f>IF(G369="","",ROUND(G369*0.04,2))</f>
        <v/>
      </c>
      <c r="L369" s="4" t="n"/>
      <c r="M369" s="4" t="n"/>
      <c r="N369" s="5">
        <f>IF(A369="","",SUM(E369:K369)-N(L369))</f>
        <v/>
      </c>
      <c r="O369">
        <f>IF(OR(A369="",M369=""),"",IF(ABS(M369-N369)&lt;=0.02,"OK","REVISAR"))</f>
        <v/>
      </c>
      <c r="P369">
        <f>IF(D369="","",IF(LEN(TRIM(D369))&lt;&gt;9,"REVISAR",IFERROR(IF(OR(ISNUMBER(VALUE(LEFT(UPPER(TRIM(D369)),1))),LEFT(UPPER(TRIM(D369)),1)="X",LEFT(UPPER(TRIM(D369)),1)="Y",LEFT(UPPER(TRIM(D369)),1)="Z"),IF(MID("TRWAGMYFPDXBNJZSQVHLCKE",MOD(VALUE(SUBSTITUTE(SUBSTITUTE(SUBSTITUTE(LEFT(UPPER(TRIM(D369)),8),"X","0"),"Y","1"),"Z","2")),23)+1,1)=RIGHT(UPPER(TRIM(D369)),1),"OK","REVISAR"),IF(OR(RIGHT(UPPER(TRIM(D369)),1)=TEXT(MOD(10-MOD((VALUE(MID(UPPER(TRIM(D369)),3,1))+VALUE(MID(UPPER(TRIM(D369)),5,1))+VALUE(MID(UPPER(TRIM(D369)),7,1)))+(INT(2*VALUE(MID(UPPER(TRIM(D369)),2,1))/10)+MOD(2*VALUE(MID(UPPER(TRIM(D369)),2,1)),10))+(INT(2*VALUE(MID(UPPER(TRIM(D369)),4,1))/10)+MOD(2*VALUE(MID(UPPER(TRIM(D369)),4,1)),10))+(INT(2*VALUE(MID(UPPER(TRIM(D369)),6,1))/10)+MOD(2*VALUE(MID(UPPER(TRIM(D369)),6,1)),10))+(INT(2*VALUE(MID(UPPER(TRIM(D369)),8,1))/10)+MOD(2*VALUE(MID(UPPER(TRIM(D369)),8,1)),10)),10),10),"0"),RIGHT(UPPER(TRIM(D369)),1)=MID("JABCDEFGHI",MOD(10-MOD((VALUE(MID(UPPER(TRIM(D369)),3,1))+VALUE(MID(UPPER(TRIM(D369)),5,1))+VALUE(MID(UPPER(TRIM(D369)),7,1)))+(INT(2*VALUE(MID(UPPER(TRIM(D369)),2,1))/10)+MOD(2*VALUE(MID(UPPER(TRIM(D369)),2,1)),10))+(INT(2*VALUE(MID(UPPER(TRIM(D369)),4,1))/10)+MOD(2*VALUE(MID(UPPER(TRIM(D369)),4,1)),10))+(INT(2*VALUE(MID(UPPER(TRIM(D369)),6,1))/10)+MOD(2*VALUE(MID(UPPER(TRIM(D369)),6,1)),10))+(INT(2*VALUE(MID(UPPER(TRIM(D369)),8,1))/10)+MOD(2*VALUE(MID(UPPER(TRIM(D369)),8,1)),10)),10),10)+1,1)),"OK","REVISAR")),"REVISAR")))</f>
        <v/>
      </c>
      <c r="Q369">
        <f>IF(B369="","",IF(COUNTIFS($B$2:$B$501,B369,$D$2:$D$501,D369)&gt;1,"DUPLICADA",""))</f>
        <v/>
      </c>
      <c r="R369">
        <f>IF(A369="","",ROUNDUP(MONTH(A369)/3,0))</f>
        <v/>
      </c>
      <c r="S369" s="3" t="n"/>
    </row>
    <row r="370">
      <c r="A370" s="2" t="n"/>
      <c r="B370" s="3" t="n"/>
      <c r="C370" s="3" t="n"/>
      <c r="D370" s="3" t="n"/>
      <c r="E370" s="4" t="n"/>
      <c r="F370" s="4" t="n"/>
      <c r="G370" s="4" t="n"/>
      <c r="H370" s="4" t="n"/>
      <c r="I370" s="5">
        <f>IF(E370="","",ROUND(E370*0.21,2))</f>
        <v/>
      </c>
      <c r="J370" s="5">
        <f>IF(F370="","",ROUND(F370*0.1,2))</f>
        <v/>
      </c>
      <c r="K370" s="5">
        <f>IF(G370="","",ROUND(G370*0.04,2))</f>
        <v/>
      </c>
      <c r="L370" s="4" t="n"/>
      <c r="M370" s="4" t="n"/>
      <c r="N370" s="5">
        <f>IF(A370="","",SUM(E370:K370)-N(L370))</f>
        <v/>
      </c>
      <c r="O370">
        <f>IF(OR(A370="",M370=""),"",IF(ABS(M370-N370)&lt;=0.02,"OK","REVISAR"))</f>
        <v/>
      </c>
      <c r="P370">
        <f>IF(D370="","",IF(LEN(TRIM(D370))&lt;&gt;9,"REVISAR",IFERROR(IF(OR(ISNUMBER(VALUE(LEFT(UPPER(TRIM(D370)),1))),LEFT(UPPER(TRIM(D370)),1)="X",LEFT(UPPER(TRIM(D370)),1)="Y",LEFT(UPPER(TRIM(D370)),1)="Z"),IF(MID("TRWAGMYFPDXBNJZSQVHLCKE",MOD(VALUE(SUBSTITUTE(SUBSTITUTE(SUBSTITUTE(LEFT(UPPER(TRIM(D370)),8),"X","0"),"Y","1"),"Z","2")),23)+1,1)=RIGHT(UPPER(TRIM(D370)),1),"OK","REVISAR"),IF(OR(RIGHT(UPPER(TRIM(D370)),1)=TEXT(MOD(10-MOD((VALUE(MID(UPPER(TRIM(D370)),3,1))+VALUE(MID(UPPER(TRIM(D370)),5,1))+VALUE(MID(UPPER(TRIM(D370)),7,1)))+(INT(2*VALUE(MID(UPPER(TRIM(D370)),2,1))/10)+MOD(2*VALUE(MID(UPPER(TRIM(D370)),2,1)),10))+(INT(2*VALUE(MID(UPPER(TRIM(D370)),4,1))/10)+MOD(2*VALUE(MID(UPPER(TRIM(D370)),4,1)),10))+(INT(2*VALUE(MID(UPPER(TRIM(D370)),6,1))/10)+MOD(2*VALUE(MID(UPPER(TRIM(D370)),6,1)),10))+(INT(2*VALUE(MID(UPPER(TRIM(D370)),8,1))/10)+MOD(2*VALUE(MID(UPPER(TRIM(D370)),8,1)),10)),10),10),"0"),RIGHT(UPPER(TRIM(D370)),1)=MID("JABCDEFGHI",MOD(10-MOD((VALUE(MID(UPPER(TRIM(D370)),3,1))+VALUE(MID(UPPER(TRIM(D370)),5,1))+VALUE(MID(UPPER(TRIM(D370)),7,1)))+(INT(2*VALUE(MID(UPPER(TRIM(D370)),2,1))/10)+MOD(2*VALUE(MID(UPPER(TRIM(D370)),2,1)),10))+(INT(2*VALUE(MID(UPPER(TRIM(D370)),4,1))/10)+MOD(2*VALUE(MID(UPPER(TRIM(D370)),4,1)),10))+(INT(2*VALUE(MID(UPPER(TRIM(D370)),6,1))/10)+MOD(2*VALUE(MID(UPPER(TRIM(D370)),6,1)),10))+(INT(2*VALUE(MID(UPPER(TRIM(D370)),8,1))/10)+MOD(2*VALUE(MID(UPPER(TRIM(D370)),8,1)),10)),10),10)+1,1)),"OK","REVISAR")),"REVISAR")))</f>
        <v/>
      </c>
      <c r="Q370">
        <f>IF(B370="","",IF(COUNTIFS($B$2:$B$501,B370,$D$2:$D$501,D370)&gt;1,"DUPLICADA",""))</f>
        <v/>
      </c>
      <c r="R370">
        <f>IF(A370="","",ROUNDUP(MONTH(A370)/3,0))</f>
        <v/>
      </c>
      <c r="S370" s="3" t="n"/>
    </row>
    <row r="371">
      <c r="A371" s="2" t="n"/>
      <c r="B371" s="3" t="n"/>
      <c r="C371" s="3" t="n"/>
      <c r="D371" s="3" t="n"/>
      <c r="E371" s="4" t="n"/>
      <c r="F371" s="4" t="n"/>
      <c r="G371" s="4" t="n"/>
      <c r="H371" s="4" t="n"/>
      <c r="I371" s="5">
        <f>IF(E371="","",ROUND(E371*0.21,2))</f>
        <v/>
      </c>
      <c r="J371" s="5">
        <f>IF(F371="","",ROUND(F371*0.1,2))</f>
        <v/>
      </c>
      <c r="K371" s="5">
        <f>IF(G371="","",ROUND(G371*0.04,2))</f>
        <v/>
      </c>
      <c r="L371" s="4" t="n"/>
      <c r="M371" s="4" t="n"/>
      <c r="N371" s="5">
        <f>IF(A371="","",SUM(E371:K371)-N(L371))</f>
        <v/>
      </c>
      <c r="O371">
        <f>IF(OR(A371="",M371=""),"",IF(ABS(M371-N371)&lt;=0.02,"OK","REVISAR"))</f>
        <v/>
      </c>
      <c r="P371">
        <f>IF(D371="","",IF(LEN(TRIM(D371))&lt;&gt;9,"REVISAR",IFERROR(IF(OR(ISNUMBER(VALUE(LEFT(UPPER(TRIM(D371)),1))),LEFT(UPPER(TRIM(D371)),1)="X",LEFT(UPPER(TRIM(D371)),1)="Y",LEFT(UPPER(TRIM(D371)),1)="Z"),IF(MID("TRWAGMYFPDXBNJZSQVHLCKE",MOD(VALUE(SUBSTITUTE(SUBSTITUTE(SUBSTITUTE(LEFT(UPPER(TRIM(D371)),8),"X","0"),"Y","1"),"Z","2")),23)+1,1)=RIGHT(UPPER(TRIM(D371)),1),"OK","REVISAR"),IF(OR(RIGHT(UPPER(TRIM(D371)),1)=TEXT(MOD(10-MOD((VALUE(MID(UPPER(TRIM(D371)),3,1))+VALUE(MID(UPPER(TRIM(D371)),5,1))+VALUE(MID(UPPER(TRIM(D371)),7,1)))+(INT(2*VALUE(MID(UPPER(TRIM(D371)),2,1))/10)+MOD(2*VALUE(MID(UPPER(TRIM(D371)),2,1)),10))+(INT(2*VALUE(MID(UPPER(TRIM(D371)),4,1))/10)+MOD(2*VALUE(MID(UPPER(TRIM(D371)),4,1)),10))+(INT(2*VALUE(MID(UPPER(TRIM(D371)),6,1))/10)+MOD(2*VALUE(MID(UPPER(TRIM(D371)),6,1)),10))+(INT(2*VALUE(MID(UPPER(TRIM(D371)),8,1))/10)+MOD(2*VALUE(MID(UPPER(TRIM(D371)),8,1)),10)),10),10),"0"),RIGHT(UPPER(TRIM(D371)),1)=MID("JABCDEFGHI",MOD(10-MOD((VALUE(MID(UPPER(TRIM(D371)),3,1))+VALUE(MID(UPPER(TRIM(D371)),5,1))+VALUE(MID(UPPER(TRIM(D371)),7,1)))+(INT(2*VALUE(MID(UPPER(TRIM(D371)),2,1))/10)+MOD(2*VALUE(MID(UPPER(TRIM(D371)),2,1)),10))+(INT(2*VALUE(MID(UPPER(TRIM(D371)),4,1))/10)+MOD(2*VALUE(MID(UPPER(TRIM(D371)),4,1)),10))+(INT(2*VALUE(MID(UPPER(TRIM(D371)),6,1))/10)+MOD(2*VALUE(MID(UPPER(TRIM(D371)),6,1)),10))+(INT(2*VALUE(MID(UPPER(TRIM(D371)),8,1))/10)+MOD(2*VALUE(MID(UPPER(TRIM(D371)),8,1)),10)),10),10)+1,1)),"OK","REVISAR")),"REVISAR")))</f>
        <v/>
      </c>
      <c r="Q371">
        <f>IF(B371="","",IF(COUNTIFS($B$2:$B$501,B371,$D$2:$D$501,D371)&gt;1,"DUPLICADA",""))</f>
        <v/>
      </c>
      <c r="R371">
        <f>IF(A371="","",ROUNDUP(MONTH(A371)/3,0))</f>
        <v/>
      </c>
      <c r="S371" s="3" t="n"/>
    </row>
    <row r="372">
      <c r="A372" s="2" t="n"/>
      <c r="B372" s="3" t="n"/>
      <c r="C372" s="3" t="n"/>
      <c r="D372" s="3" t="n"/>
      <c r="E372" s="4" t="n"/>
      <c r="F372" s="4" t="n"/>
      <c r="G372" s="4" t="n"/>
      <c r="H372" s="4" t="n"/>
      <c r="I372" s="5">
        <f>IF(E372="","",ROUND(E372*0.21,2))</f>
        <v/>
      </c>
      <c r="J372" s="5">
        <f>IF(F372="","",ROUND(F372*0.1,2))</f>
        <v/>
      </c>
      <c r="K372" s="5">
        <f>IF(G372="","",ROUND(G372*0.04,2))</f>
        <v/>
      </c>
      <c r="L372" s="4" t="n"/>
      <c r="M372" s="4" t="n"/>
      <c r="N372" s="5">
        <f>IF(A372="","",SUM(E372:K372)-N(L372))</f>
        <v/>
      </c>
      <c r="O372">
        <f>IF(OR(A372="",M372=""),"",IF(ABS(M372-N372)&lt;=0.02,"OK","REVISAR"))</f>
        <v/>
      </c>
      <c r="P372">
        <f>IF(D372="","",IF(LEN(TRIM(D372))&lt;&gt;9,"REVISAR",IFERROR(IF(OR(ISNUMBER(VALUE(LEFT(UPPER(TRIM(D372)),1))),LEFT(UPPER(TRIM(D372)),1)="X",LEFT(UPPER(TRIM(D372)),1)="Y",LEFT(UPPER(TRIM(D372)),1)="Z"),IF(MID("TRWAGMYFPDXBNJZSQVHLCKE",MOD(VALUE(SUBSTITUTE(SUBSTITUTE(SUBSTITUTE(LEFT(UPPER(TRIM(D372)),8),"X","0"),"Y","1"),"Z","2")),23)+1,1)=RIGHT(UPPER(TRIM(D372)),1),"OK","REVISAR"),IF(OR(RIGHT(UPPER(TRIM(D372)),1)=TEXT(MOD(10-MOD((VALUE(MID(UPPER(TRIM(D372)),3,1))+VALUE(MID(UPPER(TRIM(D372)),5,1))+VALUE(MID(UPPER(TRIM(D372)),7,1)))+(INT(2*VALUE(MID(UPPER(TRIM(D372)),2,1))/10)+MOD(2*VALUE(MID(UPPER(TRIM(D372)),2,1)),10))+(INT(2*VALUE(MID(UPPER(TRIM(D372)),4,1))/10)+MOD(2*VALUE(MID(UPPER(TRIM(D372)),4,1)),10))+(INT(2*VALUE(MID(UPPER(TRIM(D372)),6,1))/10)+MOD(2*VALUE(MID(UPPER(TRIM(D372)),6,1)),10))+(INT(2*VALUE(MID(UPPER(TRIM(D372)),8,1))/10)+MOD(2*VALUE(MID(UPPER(TRIM(D372)),8,1)),10)),10),10),"0"),RIGHT(UPPER(TRIM(D372)),1)=MID("JABCDEFGHI",MOD(10-MOD((VALUE(MID(UPPER(TRIM(D372)),3,1))+VALUE(MID(UPPER(TRIM(D372)),5,1))+VALUE(MID(UPPER(TRIM(D372)),7,1)))+(INT(2*VALUE(MID(UPPER(TRIM(D372)),2,1))/10)+MOD(2*VALUE(MID(UPPER(TRIM(D372)),2,1)),10))+(INT(2*VALUE(MID(UPPER(TRIM(D372)),4,1))/10)+MOD(2*VALUE(MID(UPPER(TRIM(D372)),4,1)),10))+(INT(2*VALUE(MID(UPPER(TRIM(D372)),6,1))/10)+MOD(2*VALUE(MID(UPPER(TRIM(D372)),6,1)),10))+(INT(2*VALUE(MID(UPPER(TRIM(D372)),8,1))/10)+MOD(2*VALUE(MID(UPPER(TRIM(D372)),8,1)),10)),10),10)+1,1)),"OK","REVISAR")),"REVISAR")))</f>
        <v/>
      </c>
      <c r="Q372">
        <f>IF(B372="","",IF(COUNTIFS($B$2:$B$501,B372,$D$2:$D$501,D372)&gt;1,"DUPLICADA",""))</f>
        <v/>
      </c>
      <c r="R372">
        <f>IF(A372="","",ROUNDUP(MONTH(A372)/3,0))</f>
        <v/>
      </c>
      <c r="S372" s="3" t="n"/>
    </row>
    <row r="373">
      <c r="A373" s="2" t="n"/>
      <c r="B373" s="3" t="n"/>
      <c r="C373" s="3" t="n"/>
      <c r="D373" s="3" t="n"/>
      <c r="E373" s="4" t="n"/>
      <c r="F373" s="4" t="n"/>
      <c r="G373" s="4" t="n"/>
      <c r="H373" s="4" t="n"/>
      <c r="I373" s="5">
        <f>IF(E373="","",ROUND(E373*0.21,2))</f>
        <v/>
      </c>
      <c r="J373" s="5">
        <f>IF(F373="","",ROUND(F373*0.1,2))</f>
        <v/>
      </c>
      <c r="K373" s="5">
        <f>IF(G373="","",ROUND(G373*0.04,2))</f>
        <v/>
      </c>
      <c r="L373" s="4" t="n"/>
      <c r="M373" s="4" t="n"/>
      <c r="N373" s="5">
        <f>IF(A373="","",SUM(E373:K373)-N(L373))</f>
        <v/>
      </c>
      <c r="O373">
        <f>IF(OR(A373="",M373=""),"",IF(ABS(M373-N373)&lt;=0.02,"OK","REVISAR"))</f>
        <v/>
      </c>
      <c r="P373">
        <f>IF(D373="","",IF(LEN(TRIM(D373))&lt;&gt;9,"REVISAR",IFERROR(IF(OR(ISNUMBER(VALUE(LEFT(UPPER(TRIM(D373)),1))),LEFT(UPPER(TRIM(D373)),1)="X",LEFT(UPPER(TRIM(D373)),1)="Y",LEFT(UPPER(TRIM(D373)),1)="Z"),IF(MID("TRWAGMYFPDXBNJZSQVHLCKE",MOD(VALUE(SUBSTITUTE(SUBSTITUTE(SUBSTITUTE(LEFT(UPPER(TRIM(D373)),8),"X","0"),"Y","1"),"Z","2")),23)+1,1)=RIGHT(UPPER(TRIM(D373)),1),"OK","REVISAR"),IF(OR(RIGHT(UPPER(TRIM(D373)),1)=TEXT(MOD(10-MOD((VALUE(MID(UPPER(TRIM(D373)),3,1))+VALUE(MID(UPPER(TRIM(D373)),5,1))+VALUE(MID(UPPER(TRIM(D373)),7,1)))+(INT(2*VALUE(MID(UPPER(TRIM(D373)),2,1))/10)+MOD(2*VALUE(MID(UPPER(TRIM(D373)),2,1)),10))+(INT(2*VALUE(MID(UPPER(TRIM(D373)),4,1))/10)+MOD(2*VALUE(MID(UPPER(TRIM(D373)),4,1)),10))+(INT(2*VALUE(MID(UPPER(TRIM(D373)),6,1))/10)+MOD(2*VALUE(MID(UPPER(TRIM(D373)),6,1)),10))+(INT(2*VALUE(MID(UPPER(TRIM(D373)),8,1))/10)+MOD(2*VALUE(MID(UPPER(TRIM(D373)),8,1)),10)),10),10),"0"),RIGHT(UPPER(TRIM(D373)),1)=MID("JABCDEFGHI",MOD(10-MOD((VALUE(MID(UPPER(TRIM(D373)),3,1))+VALUE(MID(UPPER(TRIM(D373)),5,1))+VALUE(MID(UPPER(TRIM(D373)),7,1)))+(INT(2*VALUE(MID(UPPER(TRIM(D373)),2,1))/10)+MOD(2*VALUE(MID(UPPER(TRIM(D373)),2,1)),10))+(INT(2*VALUE(MID(UPPER(TRIM(D373)),4,1))/10)+MOD(2*VALUE(MID(UPPER(TRIM(D373)),4,1)),10))+(INT(2*VALUE(MID(UPPER(TRIM(D373)),6,1))/10)+MOD(2*VALUE(MID(UPPER(TRIM(D373)),6,1)),10))+(INT(2*VALUE(MID(UPPER(TRIM(D373)),8,1))/10)+MOD(2*VALUE(MID(UPPER(TRIM(D373)),8,1)),10)),10),10)+1,1)),"OK","REVISAR")),"REVISAR")))</f>
        <v/>
      </c>
      <c r="Q373">
        <f>IF(B373="","",IF(COUNTIFS($B$2:$B$501,B373,$D$2:$D$501,D373)&gt;1,"DUPLICADA",""))</f>
        <v/>
      </c>
      <c r="R373">
        <f>IF(A373="","",ROUNDUP(MONTH(A373)/3,0))</f>
        <v/>
      </c>
      <c r="S373" s="3" t="n"/>
    </row>
    <row r="374">
      <c r="A374" s="2" t="n"/>
      <c r="B374" s="3" t="n"/>
      <c r="C374" s="3" t="n"/>
      <c r="D374" s="3" t="n"/>
      <c r="E374" s="4" t="n"/>
      <c r="F374" s="4" t="n"/>
      <c r="G374" s="4" t="n"/>
      <c r="H374" s="4" t="n"/>
      <c r="I374" s="5">
        <f>IF(E374="","",ROUND(E374*0.21,2))</f>
        <v/>
      </c>
      <c r="J374" s="5">
        <f>IF(F374="","",ROUND(F374*0.1,2))</f>
        <v/>
      </c>
      <c r="K374" s="5">
        <f>IF(G374="","",ROUND(G374*0.04,2))</f>
        <v/>
      </c>
      <c r="L374" s="4" t="n"/>
      <c r="M374" s="4" t="n"/>
      <c r="N374" s="5">
        <f>IF(A374="","",SUM(E374:K374)-N(L374))</f>
        <v/>
      </c>
      <c r="O374">
        <f>IF(OR(A374="",M374=""),"",IF(ABS(M374-N374)&lt;=0.02,"OK","REVISAR"))</f>
        <v/>
      </c>
      <c r="P374">
        <f>IF(D374="","",IF(LEN(TRIM(D374))&lt;&gt;9,"REVISAR",IFERROR(IF(OR(ISNUMBER(VALUE(LEFT(UPPER(TRIM(D374)),1))),LEFT(UPPER(TRIM(D374)),1)="X",LEFT(UPPER(TRIM(D374)),1)="Y",LEFT(UPPER(TRIM(D374)),1)="Z"),IF(MID("TRWAGMYFPDXBNJZSQVHLCKE",MOD(VALUE(SUBSTITUTE(SUBSTITUTE(SUBSTITUTE(LEFT(UPPER(TRIM(D374)),8),"X","0"),"Y","1"),"Z","2")),23)+1,1)=RIGHT(UPPER(TRIM(D374)),1),"OK","REVISAR"),IF(OR(RIGHT(UPPER(TRIM(D374)),1)=TEXT(MOD(10-MOD((VALUE(MID(UPPER(TRIM(D374)),3,1))+VALUE(MID(UPPER(TRIM(D374)),5,1))+VALUE(MID(UPPER(TRIM(D374)),7,1)))+(INT(2*VALUE(MID(UPPER(TRIM(D374)),2,1))/10)+MOD(2*VALUE(MID(UPPER(TRIM(D374)),2,1)),10))+(INT(2*VALUE(MID(UPPER(TRIM(D374)),4,1))/10)+MOD(2*VALUE(MID(UPPER(TRIM(D374)),4,1)),10))+(INT(2*VALUE(MID(UPPER(TRIM(D374)),6,1))/10)+MOD(2*VALUE(MID(UPPER(TRIM(D374)),6,1)),10))+(INT(2*VALUE(MID(UPPER(TRIM(D374)),8,1))/10)+MOD(2*VALUE(MID(UPPER(TRIM(D374)),8,1)),10)),10),10),"0"),RIGHT(UPPER(TRIM(D374)),1)=MID("JABCDEFGHI",MOD(10-MOD((VALUE(MID(UPPER(TRIM(D374)),3,1))+VALUE(MID(UPPER(TRIM(D374)),5,1))+VALUE(MID(UPPER(TRIM(D374)),7,1)))+(INT(2*VALUE(MID(UPPER(TRIM(D374)),2,1))/10)+MOD(2*VALUE(MID(UPPER(TRIM(D374)),2,1)),10))+(INT(2*VALUE(MID(UPPER(TRIM(D374)),4,1))/10)+MOD(2*VALUE(MID(UPPER(TRIM(D374)),4,1)),10))+(INT(2*VALUE(MID(UPPER(TRIM(D374)),6,1))/10)+MOD(2*VALUE(MID(UPPER(TRIM(D374)),6,1)),10))+(INT(2*VALUE(MID(UPPER(TRIM(D374)),8,1))/10)+MOD(2*VALUE(MID(UPPER(TRIM(D374)),8,1)),10)),10),10)+1,1)),"OK","REVISAR")),"REVISAR")))</f>
        <v/>
      </c>
      <c r="Q374">
        <f>IF(B374="","",IF(COUNTIFS($B$2:$B$501,B374,$D$2:$D$501,D374)&gt;1,"DUPLICADA",""))</f>
        <v/>
      </c>
      <c r="R374">
        <f>IF(A374="","",ROUNDUP(MONTH(A374)/3,0))</f>
        <v/>
      </c>
      <c r="S374" s="3" t="n"/>
    </row>
    <row r="375">
      <c r="A375" s="2" t="n"/>
      <c r="B375" s="3" t="n"/>
      <c r="C375" s="3" t="n"/>
      <c r="D375" s="3" t="n"/>
      <c r="E375" s="4" t="n"/>
      <c r="F375" s="4" t="n"/>
      <c r="G375" s="4" t="n"/>
      <c r="H375" s="4" t="n"/>
      <c r="I375" s="5">
        <f>IF(E375="","",ROUND(E375*0.21,2))</f>
        <v/>
      </c>
      <c r="J375" s="5">
        <f>IF(F375="","",ROUND(F375*0.1,2))</f>
        <v/>
      </c>
      <c r="K375" s="5">
        <f>IF(G375="","",ROUND(G375*0.04,2))</f>
        <v/>
      </c>
      <c r="L375" s="4" t="n"/>
      <c r="M375" s="4" t="n"/>
      <c r="N375" s="5">
        <f>IF(A375="","",SUM(E375:K375)-N(L375))</f>
        <v/>
      </c>
      <c r="O375">
        <f>IF(OR(A375="",M375=""),"",IF(ABS(M375-N375)&lt;=0.02,"OK","REVISAR"))</f>
        <v/>
      </c>
      <c r="P375">
        <f>IF(D375="","",IF(LEN(TRIM(D375))&lt;&gt;9,"REVISAR",IFERROR(IF(OR(ISNUMBER(VALUE(LEFT(UPPER(TRIM(D375)),1))),LEFT(UPPER(TRIM(D375)),1)="X",LEFT(UPPER(TRIM(D375)),1)="Y",LEFT(UPPER(TRIM(D375)),1)="Z"),IF(MID("TRWAGMYFPDXBNJZSQVHLCKE",MOD(VALUE(SUBSTITUTE(SUBSTITUTE(SUBSTITUTE(LEFT(UPPER(TRIM(D375)),8),"X","0"),"Y","1"),"Z","2")),23)+1,1)=RIGHT(UPPER(TRIM(D375)),1),"OK","REVISAR"),IF(OR(RIGHT(UPPER(TRIM(D375)),1)=TEXT(MOD(10-MOD((VALUE(MID(UPPER(TRIM(D375)),3,1))+VALUE(MID(UPPER(TRIM(D375)),5,1))+VALUE(MID(UPPER(TRIM(D375)),7,1)))+(INT(2*VALUE(MID(UPPER(TRIM(D375)),2,1))/10)+MOD(2*VALUE(MID(UPPER(TRIM(D375)),2,1)),10))+(INT(2*VALUE(MID(UPPER(TRIM(D375)),4,1))/10)+MOD(2*VALUE(MID(UPPER(TRIM(D375)),4,1)),10))+(INT(2*VALUE(MID(UPPER(TRIM(D375)),6,1))/10)+MOD(2*VALUE(MID(UPPER(TRIM(D375)),6,1)),10))+(INT(2*VALUE(MID(UPPER(TRIM(D375)),8,1))/10)+MOD(2*VALUE(MID(UPPER(TRIM(D375)),8,1)),10)),10),10),"0"),RIGHT(UPPER(TRIM(D375)),1)=MID("JABCDEFGHI",MOD(10-MOD((VALUE(MID(UPPER(TRIM(D375)),3,1))+VALUE(MID(UPPER(TRIM(D375)),5,1))+VALUE(MID(UPPER(TRIM(D375)),7,1)))+(INT(2*VALUE(MID(UPPER(TRIM(D375)),2,1))/10)+MOD(2*VALUE(MID(UPPER(TRIM(D375)),2,1)),10))+(INT(2*VALUE(MID(UPPER(TRIM(D375)),4,1))/10)+MOD(2*VALUE(MID(UPPER(TRIM(D375)),4,1)),10))+(INT(2*VALUE(MID(UPPER(TRIM(D375)),6,1))/10)+MOD(2*VALUE(MID(UPPER(TRIM(D375)),6,1)),10))+(INT(2*VALUE(MID(UPPER(TRIM(D375)),8,1))/10)+MOD(2*VALUE(MID(UPPER(TRIM(D375)),8,1)),10)),10),10)+1,1)),"OK","REVISAR")),"REVISAR")))</f>
        <v/>
      </c>
      <c r="Q375">
        <f>IF(B375="","",IF(COUNTIFS($B$2:$B$501,B375,$D$2:$D$501,D375)&gt;1,"DUPLICADA",""))</f>
        <v/>
      </c>
      <c r="R375">
        <f>IF(A375="","",ROUNDUP(MONTH(A375)/3,0))</f>
        <v/>
      </c>
      <c r="S375" s="3" t="n"/>
    </row>
    <row r="376">
      <c r="A376" s="2" t="n"/>
      <c r="B376" s="3" t="n"/>
      <c r="C376" s="3" t="n"/>
      <c r="D376" s="3" t="n"/>
      <c r="E376" s="4" t="n"/>
      <c r="F376" s="4" t="n"/>
      <c r="G376" s="4" t="n"/>
      <c r="H376" s="4" t="n"/>
      <c r="I376" s="5">
        <f>IF(E376="","",ROUND(E376*0.21,2))</f>
        <v/>
      </c>
      <c r="J376" s="5">
        <f>IF(F376="","",ROUND(F376*0.1,2))</f>
        <v/>
      </c>
      <c r="K376" s="5">
        <f>IF(G376="","",ROUND(G376*0.04,2))</f>
        <v/>
      </c>
      <c r="L376" s="4" t="n"/>
      <c r="M376" s="4" t="n"/>
      <c r="N376" s="5">
        <f>IF(A376="","",SUM(E376:K376)-N(L376))</f>
        <v/>
      </c>
      <c r="O376">
        <f>IF(OR(A376="",M376=""),"",IF(ABS(M376-N376)&lt;=0.02,"OK","REVISAR"))</f>
        <v/>
      </c>
      <c r="P376">
        <f>IF(D376="","",IF(LEN(TRIM(D376))&lt;&gt;9,"REVISAR",IFERROR(IF(OR(ISNUMBER(VALUE(LEFT(UPPER(TRIM(D376)),1))),LEFT(UPPER(TRIM(D376)),1)="X",LEFT(UPPER(TRIM(D376)),1)="Y",LEFT(UPPER(TRIM(D376)),1)="Z"),IF(MID("TRWAGMYFPDXBNJZSQVHLCKE",MOD(VALUE(SUBSTITUTE(SUBSTITUTE(SUBSTITUTE(LEFT(UPPER(TRIM(D376)),8),"X","0"),"Y","1"),"Z","2")),23)+1,1)=RIGHT(UPPER(TRIM(D376)),1),"OK","REVISAR"),IF(OR(RIGHT(UPPER(TRIM(D376)),1)=TEXT(MOD(10-MOD((VALUE(MID(UPPER(TRIM(D376)),3,1))+VALUE(MID(UPPER(TRIM(D376)),5,1))+VALUE(MID(UPPER(TRIM(D376)),7,1)))+(INT(2*VALUE(MID(UPPER(TRIM(D376)),2,1))/10)+MOD(2*VALUE(MID(UPPER(TRIM(D376)),2,1)),10))+(INT(2*VALUE(MID(UPPER(TRIM(D376)),4,1))/10)+MOD(2*VALUE(MID(UPPER(TRIM(D376)),4,1)),10))+(INT(2*VALUE(MID(UPPER(TRIM(D376)),6,1))/10)+MOD(2*VALUE(MID(UPPER(TRIM(D376)),6,1)),10))+(INT(2*VALUE(MID(UPPER(TRIM(D376)),8,1))/10)+MOD(2*VALUE(MID(UPPER(TRIM(D376)),8,1)),10)),10),10),"0"),RIGHT(UPPER(TRIM(D376)),1)=MID("JABCDEFGHI",MOD(10-MOD((VALUE(MID(UPPER(TRIM(D376)),3,1))+VALUE(MID(UPPER(TRIM(D376)),5,1))+VALUE(MID(UPPER(TRIM(D376)),7,1)))+(INT(2*VALUE(MID(UPPER(TRIM(D376)),2,1))/10)+MOD(2*VALUE(MID(UPPER(TRIM(D376)),2,1)),10))+(INT(2*VALUE(MID(UPPER(TRIM(D376)),4,1))/10)+MOD(2*VALUE(MID(UPPER(TRIM(D376)),4,1)),10))+(INT(2*VALUE(MID(UPPER(TRIM(D376)),6,1))/10)+MOD(2*VALUE(MID(UPPER(TRIM(D376)),6,1)),10))+(INT(2*VALUE(MID(UPPER(TRIM(D376)),8,1))/10)+MOD(2*VALUE(MID(UPPER(TRIM(D376)),8,1)),10)),10),10)+1,1)),"OK","REVISAR")),"REVISAR")))</f>
        <v/>
      </c>
      <c r="Q376">
        <f>IF(B376="","",IF(COUNTIFS($B$2:$B$501,B376,$D$2:$D$501,D376)&gt;1,"DUPLICADA",""))</f>
        <v/>
      </c>
      <c r="R376">
        <f>IF(A376="","",ROUNDUP(MONTH(A376)/3,0))</f>
        <v/>
      </c>
      <c r="S376" s="3" t="n"/>
    </row>
    <row r="377">
      <c r="A377" s="2" t="n"/>
      <c r="B377" s="3" t="n"/>
      <c r="C377" s="3" t="n"/>
      <c r="D377" s="3" t="n"/>
      <c r="E377" s="4" t="n"/>
      <c r="F377" s="4" t="n"/>
      <c r="G377" s="4" t="n"/>
      <c r="H377" s="4" t="n"/>
      <c r="I377" s="5">
        <f>IF(E377="","",ROUND(E377*0.21,2))</f>
        <v/>
      </c>
      <c r="J377" s="5">
        <f>IF(F377="","",ROUND(F377*0.1,2))</f>
        <v/>
      </c>
      <c r="K377" s="5">
        <f>IF(G377="","",ROUND(G377*0.04,2))</f>
        <v/>
      </c>
      <c r="L377" s="4" t="n"/>
      <c r="M377" s="4" t="n"/>
      <c r="N377" s="5">
        <f>IF(A377="","",SUM(E377:K377)-N(L377))</f>
        <v/>
      </c>
      <c r="O377">
        <f>IF(OR(A377="",M377=""),"",IF(ABS(M377-N377)&lt;=0.02,"OK","REVISAR"))</f>
        <v/>
      </c>
      <c r="P377">
        <f>IF(D377="","",IF(LEN(TRIM(D377))&lt;&gt;9,"REVISAR",IFERROR(IF(OR(ISNUMBER(VALUE(LEFT(UPPER(TRIM(D377)),1))),LEFT(UPPER(TRIM(D377)),1)="X",LEFT(UPPER(TRIM(D377)),1)="Y",LEFT(UPPER(TRIM(D377)),1)="Z"),IF(MID("TRWAGMYFPDXBNJZSQVHLCKE",MOD(VALUE(SUBSTITUTE(SUBSTITUTE(SUBSTITUTE(LEFT(UPPER(TRIM(D377)),8),"X","0"),"Y","1"),"Z","2")),23)+1,1)=RIGHT(UPPER(TRIM(D377)),1),"OK","REVISAR"),IF(OR(RIGHT(UPPER(TRIM(D377)),1)=TEXT(MOD(10-MOD((VALUE(MID(UPPER(TRIM(D377)),3,1))+VALUE(MID(UPPER(TRIM(D377)),5,1))+VALUE(MID(UPPER(TRIM(D377)),7,1)))+(INT(2*VALUE(MID(UPPER(TRIM(D377)),2,1))/10)+MOD(2*VALUE(MID(UPPER(TRIM(D377)),2,1)),10))+(INT(2*VALUE(MID(UPPER(TRIM(D377)),4,1))/10)+MOD(2*VALUE(MID(UPPER(TRIM(D377)),4,1)),10))+(INT(2*VALUE(MID(UPPER(TRIM(D377)),6,1))/10)+MOD(2*VALUE(MID(UPPER(TRIM(D377)),6,1)),10))+(INT(2*VALUE(MID(UPPER(TRIM(D377)),8,1))/10)+MOD(2*VALUE(MID(UPPER(TRIM(D377)),8,1)),10)),10),10),"0"),RIGHT(UPPER(TRIM(D377)),1)=MID("JABCDEFGHI",MOD(10-MOD((VALUE(MID(UPPER(TRIM(D377)),3,1))+VALUE(MID(UPPER(TRIM(D377)),5,1))+VALUE(MID(UPPER(TRIM(D377)),7,1)))+(INT(2*VALUE(MID(UPPER(TRIM(D377)),2,1))/10)+MOD(2*VALUE(MID(UPPER(TRIM(D377)),2,1)),10))+(INT(2*VALUE(MID(UPPER(TRIM(D377)),4,1))/10)+MOD(2*VALUE(MID(UPPER(TRIM(D377)),4,1)),10))+(INT(2*VALUE(MID(UPPER(TRIM(D377)),6,1))/10)+MOD(2*VALUE(MID(UPPER(TRIM(D377)),6,1)),10))+(INT(2*VALUE(MID(UPPER(TRIM(D377)),8,1))/10)+MOD(2*VALUE(MID(UPPER(TRIM(D377)),8,1)),10)),10),10)+1,1)),"OK","REVISAR")),"REVISAR")))</f>
        <v/>
      </c>
      <c r="Q377">
        <f>IF(B377="","",IF(COUNTIFS($B$2:$B$501,B377,$D$2:$D$501,D377)&gt;1,"DUPLICADA",""))</f>
        <v/>
      </c>
      <c r="R377">
        <f>IF(A377="","",ROUNDUP(MONTH(A377)/3,0))</f>
        <v/>
      </c>
      <c r="S377" s="3" t="n"/>
    </row>
    <row r="378">
      <c r="A378" s="2" t="n"/>
      <c r="B378" s="3" t="n"/>
      <c r="C378" s="3" t="n"/>
      <c r="D378" s="3" t="n"/>
      <c r="E378" s="4" t="n"/>
      <c r="F378" s="4" t="n"/>
      <c r="G378" s="4" t="n"/>
      <c r="H378" s="4" t="n"/>
      <c r="I378" s="5">
        <f>IF(E378="","",ROUND(E378*0.21,2))</f>
        <v/>
      </c>
      <c r="J378" s="5">
        <f>IF(F378="","",ROUND(F378*0.1,2))</f>
        <v/>
      </c>
      <c r="K378" s="5">
        <f>IF(G378="","",ROUND(G378*0.04,2))</f>
        <v/>
      </c>
      <c r="L378" s="4" t="n"/>
      <c r="M378" s="4" t="n"/>
      <c r="N378" s="5">
        <f>IF(A378="","",SUM(E378:K378)-N(L378))</f>
        <v/>
      </c>
      <c r="O378">
        <f>IF(OR(A378="",M378=""),"",IF(ABS(M378-N378)&lt;=0.02,"OK","REVISAR"))</f>
        <v/>
      </c>
      <c r="P378">
        <f>IF(D378="","",IF(LEN(TRIM(D378))&lt;&gt;9,"REVISAR",IFERROR(IF(OR(ISNUMBER(VALUE(LEFT(UPPER(TRIM(D378)),1))),LEFT(UPPER(TRIM(D378)),1)="X",LEFT(UPPER(TRIM(D378)),1)="Y",LEFT(UPPER(TRIM(D378)),1)="Z"),IF(MID("TRWAGMYFPDXBNJZSQVHLCKE",MOD(VALUE(SUBSTITUTE(SUBSTITUTE(SUBSTITUTE(LEFT(UPPER(TRIM(D378)),8),"X","0"),"Y","1"),"Z","2")),23)+1,1)=RIGHT(UPPER(TRIM(D378)),1),"OK","REVISAR"),IF(OR(RIGHT(UPPER(TRIM(D378)),1)=TEXT(MOD(10-MOD((VALUE(MID(UPPER(TRIM(D378)),3,1))+VALUE(MID(UPPER(TRIM(D378)),5,1))+VALUE(MID(UPPER(TRIM(D378)),7,1)))+(INT(2*VALUE(MID(UPPER(TRIM(D378)),2,1))/10)+MOD(2*VALUE(MID(UPPER(TRIM(D378)),2,1)),10))+(INT(2*VALUE(MID(UPPER(TRIM(D378)),4,1))/10)+MOD(2*VALUE(MID(UPPER(TRIM(D378)),4,1)),10))+(INT(2*VALUE(MID(UPPER(TRIM(D378)),6,1))/10)+MOD(2*VALUE(MID(UPPER(TRIM(D378)),6,1)),10))+(INT(2*VALUE(MID(UPPER(TRIM(D378)),8,1))/10)+MOD(2*VALUE(MID(UPPER(TRIM(D378)),8,1)),10)),10),10),"0"),RIGHT(UPPER(TRIM(D378)),1)=MID("JABCDEFGHI",MOD(10-MOD((VALUE(MID(UPPER(TRIM(D378)),3,1))+VALUE(MID(UPPER(TRIM(D378)),5,1))+VALUE(MID(UPPER(TRIM(D378)),7,1)))+(INT(2*VALUE(MID(UPPER(TRIM(D378)),2,1))/10)+MOD(2*VALUE(MID(UPPER(TRIM(D378)),2,1)),10))+(INT(2*VALUE(MID(UPPER(TRIM(D378)),4,1))/10)+MOD(2*VALUE(MID(UPPER(TRIM(D378)),4,1)),10))+(INT(2*VALUE(MID(UPPER(TRIM(D378)),6,1))/10)+MOD(2*VALUE(MID(UPPER(TRIM(D378)),6,1)),10))+(INT(2*VALUE(MID(UPPER(TRIM(D378)),8,1))/10)+MOD(2*VALUE(MID(UPPER(TRIM(D378)),8,1)),10)),10),10)+1,1)),"OK","REVISAR")),"REVISAR")))</f>
        <v/>
      </c>
      <c r="Q378">
        <f>IF(B378="","",IF(COUNTIFS($B$2:$B$501,B378,$D$2:$D$501,D378)&gt;1,"DUPLICADA",""))</f>
        <v/>
      </c>
      <c r="R378">
        <f>IF(A378="","",ROUNDUP(MONTH(A378)/3,0))</f>
        <v/>
      </c>
      <c r="S378" s="3" t="n"/>
    </row>
    <row r="379">
      <c r="A379" s="2" t="n"/>
      <c r="B379" s="3" t="n"/>
      <c r="C379" s="3" t="n"/>
      <c r="D379" s="3" t="n"/>
      <c r="E379" s="4" t="n"/>
      <c r="F379" s="4" t="n"/>
      <c r="G379" s="4" t="n"/>
      <c r="H379" s="4" t="n"/>
      <c r="I379" s="5">
        <f>IF(E379="","",ROUND(E379*0.21,2))</f>
        <v/>
      </c>
      <c r="J379" s="5">
        <f>IF(F379="","",ROUND(F379*0.1,2))</f>
        <v/>
      </c>
      <c r="K379" s="5">
        <f>IF(G379="","",ROUND(G379*0.04,2))</f>
        <v/>
      </c>
      <c r="L379" s="4" t="n"/>
      <c r="M379" s="4" t="n"/>
      <c r="N379" s="5">
        <f>IF(A379="","",SUM(E379:K379)-N(L379))</f>
        <v/>
      </c>
      <c r="O379">
        <f>IF(OR(A379="",M379=""),"",IF(ABS(M379-N379)&lt;=0.02,"OK","REVISAR"))</f>
        <v/>
      </c>
      <c r="P379">
        <f>IF(D379="","",IF(LEN(TRIM(D379))&lt;&gt;9,"REVISAR",IFERROR(IF(OR(ISNUMBER(VALUE(LEFT(UPPER(TRIM(D379)),1))),LEFT(UPPER(TRIM(D379)),1)="X",LEFT(UPPER(TRIM(D379)),1)="Y",LEFT(UPPER(TRIM(D379)),1)="Z"),IF(MID("TRWAGMYFPDXBNJZSQVHLCKE",MOD(VALUE(SUBSTITUTE(SUBSTITUTE(SUBSTITUTE(LEFT(UPPER(TRIM(D379)),8),"X","0"),"Y","1"),"Z","2")),23)+1,1)=RIGHT(UPPER(TRIM(D379)),1),"OK","REVISAR"),IF(OR(RIGHT(UPPER(TRIM(D379)),1)=TEXT(MOD(10-MOD((VALUE(MID(UPPER(TRIM(D379)),3,1))+VALUE(MID(UPPER(TRIM(D379)),5,1))+VALUE(MID(UPPER(TRIM(D379)),7,1)))+(INT(2*VALUE(MID(UPPER(TRIM(D379)),2,1))/10)+MOD(2*VALUE(MID(UPPER(TRIM(D379)),2,1)),10))+(INT(2*VALUE(MID(UPPER(TRIM(D379)),4,1))/10)+MOD(2*VALUE(MID(UPPER(TRIM(D379)),4,1)),10))+(INT(2*VALUE(MID(UPPER(TRIM(D379)),6,1))/10)+MOD(2*VALUE(MID(UPPER(TRIM(D379)),6,1)),10))+(INT(2*VALUE(MID(UPPER(TRIM(D379)),8,1))/10)+MOD(2*VALUE(MID(UPPER(TRIM(D379)),8,1)),10)),10),10),"0"),RIGHT(UPPER(TRIM(D379)),1)=MID("JABCDEFGHI",MOD(10-MOD((VALUE(MID(UPPER(TRIM(D379)),3,1))+VALUE(MID(UPPER(TRIM(D379)),5,1))+VALUE(MID(UPPER(TRIM(D379)),7,1)))+(INT(2*VALUE(MID(UPPER(TRIM(D379)),2,1))/10)+MOD(2*VALUE(MID(UPPER(TRIM(D379)),2,1)),10))+(INT(2*VALUE(MID(UPPER(TRIM(D379)),4,1))/10)+MOD(2*VALUE(MID(UPPER(TRIM(D379)),4,1)),10))+(INT(2*VALUE(MID(UPPER(TRIM(D379)),6,1))/10)+MOD(2*VALUE(MID(UPPER(TRIM(D379)),6,1)),10))+(INT(2*VALUE(MID(UPPER(TRIM(D379)),8,1))/10)+MOD(2*VALUE(MID(UPPER(TRIM(D379)),8,1)),10)),10),10)+1,1)),"OK","REVISAR")),"REVISAR")))</f>
        <v/>
      </c>
      <c r="Q379">
        <f>IF(B379="","",IF(COUNTIFS($B$2:$B$501,B379,$D$2:$D$501,D379)&gt;1,"DUPLICADA",""))</f>
        <v/>
      </c>
      <c r="R379">
        <f>IF(A379="","",ROUNDUP(MONTH(A379)/3,0))</f>
        <v/>
      </c>
      <c r="S379" s="3" t="n"/>
    </row>
    <row r="380">
      <c r="A380" s="2" t="n"/>
      <c r="B380" s="3" t="n"/>
      <c r="C380" s="3" t="n"/>
      <c r="D380" s="3" t="n"/>
      <c r="E380" s="4" t="n"/>
      <c r="F380" s="4" t="n"/>
      <c r="G380" s="4" t="n"/>
      <c r="H380" s="4" t="n"/>
      <c r="I380" s="5">
        <f>IF(E380="","",ROUND(E380*0.21,2))</f>
        <v/>
      </c>
      <c r="J380" s="5">
        <f>IF(F380="","",ROUND(F380*0.1,2))</f>
        <v/>
      </c>
      <c r="K380" s="5">
        <f>IF(G380="","",ROUND(G380*0.04,2))</f>
        <v/>
      </c>
      <c r="L380" s="4" t="n"/>
      <c r="M380" s="4" t="n"/>
      <c r="N380" s="5">
        <f>IF(A380="","",SUM(E380:K380)-N(L380))</f>
        <v/>
      </c>
      <c r="O380">
        <f>IF(OR(A380="",M380=""),"",IF(ABS(M380-N380)&lt;=0.02,"OK","REVISAR"))</f>
        <v/>
      </c>
      <c r="P380">
        <f>IF(D380="","",IF(LEN(TRIM(D380))&lt;&gt;9,"REVISAR",IFERROR(IF(OR(ISNUMBER(VALUE(LEFT(UPPER(TRIM(D380)),1))),LEFT(UPPER(TRIM(D380)),1)="X",LEFT(UPPER(TRIM(D380)),1)="Y",LEFT(UPPER(TRIM(D380)),1)="Z"),IF(MID("TRWAGMYFPDXBNJZSQVHLCKE",MOD(VALUE(SUBSTITUTE(SUBSTITUTE(SUBSTITUTE(LEFT(UPPER(TRIM(D380)),8),"X","0"),"Y","1"),"Z","2")),23)+1,1)=RIGHT(UPPER(TRIM(D380)),1),"OK","REVISAR"),IF(OR(RIGHT(UPPER(TRIM(D380)),1)=TEXT(MOD(10-MOD((VALUE(MID(UPPER(TRIM(D380)),3,1))+VALUE(MID(UPPER(TRIM(D380)),5,1))+VALUE(MID(UPPER(TRIM(D380)),7,1)))+(INT(2*VALUE(MID(UPPER(TRIM(D380)),2,1))/10)+MOD(2*VALUE(MID(UPPER(TRIM(D380)),2,1)),10))+(INT(2*VALUE(MID(UPPER(TRIM(D380)),4,1))/10)+MOD(2*VALUE(MID(UPPER(TRIM(D380)),4,1)),10))+(INT(2*VALUE(MID(UPPER(TRIM(D380)),6,1))/10)+MOD(2*VALUE(MID(UPPER(TRIM(D380)),6,1)),10))+(INT(2*VALUE(MID(UPPER(TRIM(D380)),8,1))/10)+MOD(2*VALUE(MID(UPPER(TRIM(D380)),8,1)),10)),10),10),"0"),RIGHT(UPPER(TRIM(D380)),1)=MID("JABCDEFGHI",MOD(10-MOD((VALUE(MID(UPPER(TRIM(D380)),3,1))+VALUE(MID(UPPER(TRIM(D380)),5,1))+VALUE(MID(UPPER(TRIM(D380)),7,1)))+(INT(2*VALUE(MID(UPPER(TRIM(D380)),2,1))/10)+MOD(2*VALUE(MID(UPPER(TRIM(D380)),2,1)),10))+(INT(2*VALUE(MID(UPPER(TRIM(D380)),4,1))/10)+MOD(2*VALUE(MID(UPPER(TRIM(D380)),4,1)),10))+(INT(2*VALUE(MID(UPPER(TRIM(D380)),6,1))/10)+MOD(2*VALUE(MID(UPPER(TRIM(D380)),6,1)),10))+(INT(2*VALUE(MID(UPPER(TRIM(D380)),8,1))/10)+MOD(2*VALUE(MID(UPPER(TRIM(D380)),8,1)),10)),10),10)+1,1)),"OK","REVISAR")),"REVISAR")))</f>
        <v/>
      </c>
      <c r="Q380">
        <f>IF(B380="","",IF(COUNTIFS($B$2:$B$501,B380,$D$2:$D$501,D380)&gt;1,"DUPLICADA",""))</f>
        <v/>
      </c>
      <c r="R380">
        <f>IF(A380="","",ROUNDUP(MONTH(A380)/3,0))</f>
        <v/>
      </c>
      <c r="S380" s="3" t="n"/>
    </row>
    <row r="381">
      <c r="A381" s="2" t="n"/>
      <c r="B381" s="3" t="n"/>
      <c r="C381" s="3" t="n"/>
      <c r="D381" s="3" t="n"/>
      <c r="E381" s="4" t="n"/>
      <c r="F381" s="4" t="n"/>
      <c r="G381" s="4" t="n"/>
      <c r="H381" s="4" t="n"/>
      <c r="I381" s="5">
        <f>IF(E381="","",ROUND(E381*0.21,2))</f>
        <v/>
      </c>
      <c r="J381" s="5">
        <f>IF(F381="","",ROUND(F381*0.1,2))</f>
        <v/>
      </c>
      <c r="K381" s="5">
        <f>IF(G381="","",ROUND(G381*0.04,2))</f>
        <v/>
      </c>
      <c r="L381" s="4" t="n"/>
      <c r="M381" s="4" t="n"/>
      <c r="N381" s="5">
        <f>IF(A381="","",SUM(E381:K381)-N(L381))</f>
        <v/>
      </c>
      <c r="O381">
        <f>IF(OR(A381="",M381=""),"",IF(ABS(M381-N381)&lt;=0.02,"OK","REVISAR"))</f>
        <v/>
      </c>
      <c r="P381">
        <f>IF(D381="","",IF(LEN(TRIM(D381))&lt;&gt;9,"REVISAR",IFERROR(IF(OR(ISNUMBER(VALUE(LEFT(UPPER(TRIM(D381)),1))),LEFT(UPPER(TRIM(D381)),1)="X",LEFT(UPPER(TRIM(D381)),1)="Y",LEFT(UPPER(TRIM(D381)),1)="Z"),IF(MID("TRWAGMYFPDXBNJZSQVHLCKE",MOD(VALUE(SUBSTITUTE(SUBSTITUTE(SUBSTITUTE(LEFT(UPPER(TRIM(D381)),8),"X","0"),"Y","1"),"Z","2")),23)+1,1)=RIGHT(UPPER(TRIM(D381)),1),"OK","REVISAR"),IF(OR(RIGHT(UPPER(TRIM(D381)),1)=TEXT(MOD(10-MOD((VALUE(MID(UPPER(TRIM(D381)),3,1))+VALUE(MID(UPPER(TRIM(D381)),5,1))+VALUE(MID(UPPER(TRIM(D381)),7,1)))+(INT(2*VALUE(MID(UPPER(TRIM(D381)),2,1))/10)+MOD(2*VALUE(MID(UPPER(TRIM(D381)),2,1)),10))+(INT(2*VALUE(MID(UPPER(TRIM(D381)),4,1))/10)+MOD(2*VALUE(MID(UPPER(TRIM(D381)),4,1)),10))+(INT(2*VALUE(MID(UPPER(TRIM(D381)),6,1))/10)+MOD(2*VALUE(MID(UPPER(TRIM(D381)),6,1)),10))+(INT(2*VALUE(MID(UPPER(TRIM(D381)),8,1))/10)+MOD(2*VALUE(MID(UPPER(TRIM(D381)),8,1)),10)),10),10),"0"),RIGHT(UPPER(TRIM(D381)),1)=MID("JABCDEFGHI",MOD(10-MOD((VALUE(MID(UPPER(TRIM(D381)),3,1))+VALUE(MID(UPPER(TRIM(D381)),5,1))+VALUE(MID(UPPER(TRIM(D381)),7,1)))+(INT(2*VALUE(MID(UPPER(TRIM(D381)),2,1))/10)+MOD(2*VALUE(MID(UPPER(TRIM(D381)),2,1)),10))+(INT(2*VALUE(MID(UPPER(TRIM(D381)),4,1))/10)+MOD(2*VALUE(MID(UPPER(TRIM(D381)),4,1)),10))+(INT(2*VALUE(MID(UPPER(TRIM(D381)),6,1))/10)+MOD(2*VALUE(MID(UPPER(TRIM(D381)),6,1)),10))+(INT(2*VALUE(MID(UPPER(TRIM(D381)),8,1))/10)+MOD(2*VALUE(MID(UPPER(TRIM(D381)),8,1)),10)),10),10)+1,1)),"OK","REVISAR")),"REVISAR")))</f>
        <v/>
      </c>
      <c r="Q381">
        <f>IF(B381="","",IF(COUNTIFS($B$2:$B$501,B381,$D$2:$D$501,D381)&gt;1,"DUPLICADA",""))</f>
        <v/>
      </c>
      <c r="R381">
        <f>IF(A381="","",ROUNDUP(MONTH(A381)/3,0))</f>
        <v/>
      </c>
      <c r="S381" s="3" t="n"/>
    </row>
    <row r="382">
      <c r="A382" s="2" t="n"/>
      <c r="B382" s="3" t="n"/>
      <c r="C382" s="3" t="n"/>
      <c r="D382" s="3" t="n"/>
      <c r="E382" s="4" t="n"/>
      <c r="F382" s="4" t="n"/>
      <c r="G382" s="4" t="n"/>
      <c r="H382" s="4" t="n"/>
      <c r="I382" s="5">
        <f>IF(E382="","",ROUND(E382*0.21,2))</f>
        <v/>
      </c>
      <c r="J382" s="5">
        <f>IF(F382="","",ROUND(F382*0.1,2))</f>
        <v/>
      </c>
      <c r="K382" s="5">
        <f>IF(G382="","",ROUND(G382*0.04,2))</f>
        <v/>
      </c>
      <c r="L382" s="4" t="n"/>
      <c r="M382" s="4" t="n"/>
      <c r="N382" s="5">
        <f>IF(A382="","",SUM(E382:K382)-N(L382))</f>
        <v/>
      </c>
      <c r="O382">
        <f>IF(OR(A382="",M382=""),"",IF(ABS(M382-N382)&lt;=0.02,"OK","REVISAR"))</f>
        <v/>
      </c>
      <c r="P382">
        <f>IF(D382="","",IF(LEN(TRIM(D382))&lt;&gt;9,"REVISAR",IFERROR(IF(OR(ISNUMBER(VALUE(LEFT(UPPER(TRIM(D382)),1))),LEFT(UPPER(TRIM(D382)),1)="X",LEFT(UPPER(TRIM(D382)),1)="Y",LEFT(UPPER(TRIM(D382)),1)="Z"),IF(MID("TRWAGMYFPDXBNJZSQVHLCKE",MOD(VALUE(SUBSTITUTE(SUBSTITUTE(SUBSTITUTE(LEFT(UPPER(TRIM(D382)),8),"X","0"),"Y","1"),"Z","2")),23)+1,1)=RIGHT(UPPER(TRIM(D382)),1),"OK","REVISAR"),IF(OR(RIGHT(UPPER(TRIM(D382)),1)=TEXT(MOD(10-MOD((VALUE(MID(UPPER(TRIM(D382)),3,1))+VALUE(MID(UPPER(TRIM(D382)),5,1))+VALUE(MID(UPPER(TRIM(D382)),7,1)))+(INT(2*VALUE(MID(UPPER(TRIM(D382)),2,1))/10)+MOD(2*VALUE(MID(UPPER(TRIM(D382)),2,1)),10))+(INT(2*VALUE(MID(UPPER(TRIM(D382)),4,1))/10)+MOD(2*VALUE(MID(UPPER(TRIM(D382)),4,1)),10))+(INT(2*VALUE(MID(UPPER(TRIM(D382)),6,1))/10)+MOD(2*VALUE(MID(UPPER(TRIM(D382)),6,1)),10))+(INT(2*VALUE(MID(UPPER(TRIM(D382)),8,1))/10)+MOD(2*VALUE(MID(UPPER(TRIM(D382)),8,1)),10)),10),10),"0"),RIGHT(UPPER(TRIM(D382)),1)=MID("JABCDEFGHI",MOD(10-MOD((VALUE(MID(UPPER(TRIM(D382)),3,1))+VALUE(MID(UPPER(TRIM(D382)),5,1))+VALUE(MID(UPPER(TRIM(D382)),7,1)))+(INT(2*VALUE(MID(UPPER(TRIM(D382)),2,1))/10)+MOD(2*VALUE(MID(UPPER(TRIM(D382)),2,1)),10))+(INT(2*VALUE(MID(UPPER(TRIM(D382)),4,1))/10)+MOD(2*VALUE(MID(UPPER(TRIM(D382)),4,1)),10))+(INT(2*VALUE(MID(UPPER(TRIM(D382)),6,1))/10)+MOD(2*VALUE(MID(UPPER(TRIM(D382)),6,1)),10))+(INT(2*VALUE(MID(UPPER(TRIM(D382)),8,1))/10)+MOD(2*VALUE(MID(UPPER(TRIM(D382)),8,1)),10)),10),10)+1,1)),"OK","REVISAR")),"REVISAR")))</f>
        <v/>
      </c>
      <c r="Q382">
        <f>IF(B382="","",IF(COUNTIFS($B$2:$B$501,B382,$D$2:$D$501,D382)&gt;1,"DUPLICADA",""))</f>
        <v/>
      </c>
      <c r="R382">
        <f>IF(A382="","",ROUNDUP(MONTH(A382)/3,0))</f>
        <v/>
      </c>
      <c r="S382" s="3" t="n"/>
    </row>
    <row r="383">
      <c r="A383" s="2" t="n"/>
      <c r="B383" s="3" t="n"/>
      <c r="C383" s="3" t="n"/>
      <c r="D383" s="3" t="n"/>
      <c r="E383" s="4" t="n"/>
      <c r="F383" s="4" t="n"/>
      <c r="G383" s="4" t="n"/>
      <c r="H383" s="4" t="n"/>
      <c r="I383" s="5">
        <f>IF(E383="","",ROUND(E383*0.21,2))</f>
        <v/>
      </c>
      <c r="J383" s="5">
        <f>IF(F383="","",ROUND(F383*0.1,2))</f>
        <v/>
      </c>
      <c r="K383" s="5">
        <f>IF(G383="","",ROUND(G383*0.04,2))</f>
        <v/>
      </c>
      <c r="L383" s="4" t="n"/>
      <c r="M383" s="4" t="n"/>
      <c r="N383" s="5">
        <f>IF(A383="","",SUM(E383:K383)-N(L383))</f>
        <v/>
      </c>
      <c r="O383">
        <f>IF(OR(A383="",M383=""),"",IF(ABS(M383-N383)&lt;=0.02,"OK","REVISAR"))</f>
        <v/>
      </c>
      <c r="P383">
        <f>IF(D383="","",IF(LEN(TRIM(D383))&lt;&gt;9,"REVISAR",IFERROR(IF(OR(ISNUMBER(VALUE(LEFT(UPPER(TRIM(D383)),1))),LEFT(UPPER(TRIM(D383)),1)="X",LEFT(UPPER(TRIM(D383)),1)="Y",LEFT(UPPER(TRIM(D383)),1)="Z"),IF(MID("TRWAGMYFPDXBNJZSQVHLCKE",MOD(VALUE(SUBSTITUTE(SUBSTITUTE(SUBSTITUTE(LEFT(UPPER(TRIM(D383)),8),"X","0"),"Y","1"),"Z","2")),23)+1,1)=RIGHT(UPPER(TRIM(D383)),1),"OK","REVISAR"),IF(OR(RIGHT(UPPER(TRIM(D383)),1)=TEXT(MOD(10-MOD((VALUE(MID(UPPER(TRIM(D383)),3,1))+VALUE(MID(UPPER(TRIM(D383)),5,1))+VALUE(MID(UPPER(TRIM(D383)),7,1)))+(INT(2*VALUE(MID(UPPER(TRIM(D383)),2,1))/10)+MOD(2*VALUE(MID(UPPER(TRIM(D383)),2,1)),10))+(INT(2*VALUE(MID(UPPER(TRIM(D383)),4,1))/10)+MOD(2*VALUE(MID(UPPER(TRIM(D383)),4,1)),10))+(INT(2*VALUE(MID(UPPER(TRIM(D383)),6,1))/10)+MOD(2*VALUE(MID(UPPER(TRIM(D383)),6,1)),10))+(INT(2*VALUE(MID(UPPER(TRIM(D383)),8,1))/10)+MOD(2*VALUE(MID(UPPER(TRIM(D383)),8,1)),10)),10),10),"0"),RIGHT(UPPER(TRIM(D383)),1)=MID("JABCDEFGHI",MOD(10-MOD((VALUE(MID(UPPER(TRIM(D383)),3,1))+VALUE(MID(UPPER(TRIM(D383)),5,1))+VALUE(MID(UPPER(TRIM(D383)),7,1)))+(INT(2*VALUE(MID(UPPER(TRIM(D383)),2,1))/10)+MOD(2*VALUE(MID(UPPER(TRIM(D383)),2,1)),10))+(INT(2*VALUE(MID(UPPER(TRIM(D383)),4,1))/10)+MOD(2*VALUE(MID(UPPER(TRIM(D383)),4,1)),10))+(INT(2*VALUE(MID(UPPER(TRIM(D383)),6,1))/10)+MOD(2*VALUE(MID(UPPER(TRIM(D383)),6,1)),10))+(INT(2*VALUE(MID(UPPER(TRIM(D383)),8,1))/10)+MOD(2*VALUE(MID(UPPER(TRIM(D383)),8,1)),10)),10),10)+1,1)),"OK","REVISAR")),"REVISAR")))</f>
        <v/>
      </c>
      <c r="Q383">
        <f>IF(B383="","",IF(COUNTIFS($B$2:$B$501,B383,$D$2:$D$501,D383)&gt;1,"DUPLICADA",""))</f>
        <v/>
      </c>
      <c r="R383">
        <f>IF(A383="","",ROUNDUP(MONTH(A383)/3,0))</f>
        <v/>
      </c>
      <c r="S383" s="3" t="n"/>
    </row>
    <row r="384">
      <c r="A384" s="2" t="n"/>
      <c r="B384" s="3" t="n"/>
      <c r="C384" s="3" t="n"/>
      <c r="D384" s="3" t="n"/>
      <c r="E384" s="4" t="n"/>
      <c r="F384" s="4" t="n"/>
      <c r="G384" s="4" t="n"/>
      <c r="H384" s="4" t="n"/>
      <c r="I384" s="5">
        <f>IF(E384="","",ROUND(E384*0.21,2))</f>
        <v/>
      </c>
      <c r="J384" s="5">
        <f>IF(F384="","",ROUND(F384*0.1,2))</f>
        <v/>
      </c>
      <c r="K384" s="5">
        <f>IF(G384="","",ROUND(G384*0.04,2))</f>
        <v/>
      </c>
      <c r="L384" s="4" t="n"/>
      <c r="M384" s="4" t="n"/>
      <c r="N384" s="5">
        <f>IF(A384="","",SUM(E384:K384)-N(L384))</f>
        <v/>
      </c>
      <c r="O384">
        <f>IF(OR(A384="",M384=""),"",IF(ABS(M384-N384)&lt;=0.02,"OK","REVISAR"))</f>
        <v/>
      </c>
      <c r="P384">
        <f>IF(D384="","",IF(LEN(TRIM(D384))&lt;&gt;9,"REVISAR",IFERROR(IF(OR(ISNUMBER(VALUE(LEFT(UPPER(TRIM(D384)),1))),LEFT(UPPER(TRIM(D384)),1)="X",LEFT(UPPER(TRIM(D384)),1)="Y",LEFT(UPPER(TRIM(D384)),1)="Z"),IF(MID("TRWAGMYFPDXBNJZSQVHLCKE",MOD(VALUE(SUBSTITUTE(SUBSTITUTE(SUBSTITUTE(LEFT(UPPER(TRIM(D384)),8),"X","0"),"Y","1"),"Z","2")),23)+1,1)=RIGHT(UPPER(TRIM(D384)),1),"OK","REVISAR"),IF(OR(RIGHT(UPPER(TRIM(D384)),1)=TEXT(MOD(10-MOD((VALUE(MID(UPPER(TRIM(D384)),3,1))+VALUE(MID(UPPER(TRIM(D384)),5,1))+VALUE(MID(UPPER(TRIM(D384)),7,1)))+(INT(2*VALUE(MID(UPPER(TRIM(D384)),2,1))/10)+MOD(2*VALUE(MID(UPPER(TRIM(D384)),2,1)),10))+(INT(2*VALUE(MID(UPPER(TRIM(D384)),4,1))/10)+MOD(2*VALUE(MID(UPPER(TRIM(D384)),4,1)),10))+(INT(2*VALUE(MID(UPPER(TRIM(D384)),6,1))/10)+MOD(2*VALUE(MID(UPPER(TRIM(D384)),6,1)),10))+(INT(2*VALUE(MID(UPPER(TRIM(D384)),8,1))/10)+MOD(2*VALUE(MID(UPPER(TRIM(D384)),8,1)),10)),10),10),"0"),RIGHT(UPPER(TRIM(D384)),1)=MID("JABCDEFGHI",MOD(10-MOD((VALUE(MID(UPPER(TRIM(D384)),3,1))+VALUE(MID(UPPER(TRIM(D384)),5,1))+VALUE(MID(UPPER(TRIM(D384)),7,1)))+(INT(2*VALUE(MID(UPPER(TRIM(D384)),2,1))/10)+MOD(2*VALUE(MID(UPPER(TRIM(D384)),2,1)),10))+(INT(2*VALUE(MID(UPPER(TRIM(D384)),4,1))/10)+MOD(2*VALUE(MID(UPPER(TRIM(D384)),4,1)),10))+(INT(2*VALUE(MID(UPPER(TRIM(D384)),6,1))/10)+MOD(2*VALUE(MID(UPPER(TRIM(D384)),6,1)),10))+(INT(2*VALUE(MID(UPPER(TRIM(D384)),8,1))/10)+MOD(2*VALUE(MID(UPPER(TRIM(D384)),8,1)),10)),10),10)+1,1)),"OK","REVISAR")),"REVISAR")))</f>
        <v/>
      </c>
      <c r="Q384">
        <f>IF(B384="","",IF(COUNTIFS($B$2:$B$501,B384,$D$2:$D$501,D384)&gt;1,"DUPLICADA",""))</f>
        <v/>
      </c>
      <c r="R384">
        <f>IF(A384="","",ROUNDUP(MONTH(A384)/3,0))</f>
        <v/>
      </c>
      <c r="S384" s="3" t="n"/>
    </row>
    <row r="385">
      <c r="A385" s="2" t="n"/>
      <c r="B385" s="3" t="n"/>
      <c r="C385" s="3" t="n"/>
      <c r="D385" s="3" t="n"/>
      <c r="E385" s="4" t="n"/>
      <c r="F385" s="4" t="n"/>
      <c r="G385" s="4" t="n"/>
      <c r="H385" s="4" t="n"/>
      <c r="I385" s="5">
        <f>IF(E385="","",ROUND(E385*0.21,2))</f>
        <v/>
      </c>
      <c r="J385" s="5">
        <f>IF(F385="","",ROUND(F385*0.1,2))</f>
        <v/>
      </c>
      <c r="K385" s="5">
        <f>IF(G385="","",ROUND(G385*0.04,2))</f>
        <v/>
      </c>
      <c r="L385" s="4" t="n"/>
      <c r="M385" s="4" t="n"/>
      <c r="N385" s="5">
        <f>IF(A385="","",SUM(E385:K385)-N(L385))</f>
        <v/>
      </c>
      <c r="O385">
        <f>IF(OR(A385="",M385=""),"",IF(ABS(M385-N385)&lt;=0.02,"OK","REVISAR"))</f>
        <v/>
      </c>
      <c r="P385">
        <f>IF(D385="","",IF(LEN(TRIM(D385))&lt;&gt;9,"REVISAR",IFERROR(IF(OR(ISNUMBER(VALUE(LEFT(UPPER(TRIM(D385)),1))),LEFT(UPPER(TRIM(D385)),1)="X",LEFT(UPPER(TRIM(D385)),1)="Y",LEFT(UPPER(TRIM(D385)),1)="Z"),IF(MID("TRWAGMYFPDXBNJZSQVHLCKE",MOD(VALUE(SUBSTITUTE(SUBSTITUTE(SUBSTITUTE(LEFT(UPPER(TRIM(D385)),8),"X","0"),"Y","1"),"Z","2")),23)+1,1)=RIGHT(UPPER(TRIM(D385)),1),"OK","REVISAR"),IF(OR(RIGHT(UPPER(TRIM(D385)),1)=TEXT(MOD(10-MOD((VALUE(MID(UPPER(TRIM(D385)),3,1))+VALUE(MID(UPPER(TRIM(D385)),5,1))+VALUE(MID(UPPER(TRIM(D385)),7,1)))+(INT(2*VALUE(MID(UPPER(TRIM(D385)),2,1))/10)+MOD(2*VALUE(MID(UPPER(TRIM(D385)),2,1)),10))+(INT(2*VALUE(MID(UPPER(TRIM(D385)),4,1))/10)+MOD(2*VALUE(MID(UPPER(TRIM(D385)),4,1)),10))+(INT(2*VALUE(MID(UPPER(TRIM(D385)),6,1))/10)+MOD(2*VALUE(MID(UPPER(TRIM(D385)),6,1)),10))+(INT(2*VALUE(MID(UPPER(TRIM(D385)),8,1))/10)+MOD(2*VALUE(MID(UPPER(TRIM(D385)),8,1)),10)),10),10),"0"),RIGHT(UPPER(TRIM(D385)),1)=MID("JABCDEFGHI",MOD(10-MOD((VALUE(MID(UPPER(TRIM(D385)),3,1))+VALUE(MID(UPPER(TRIM(D385)),5,1))+VALUE(MID(UPPER(TRIM(D385)),7,1)))+(INT(2*VALUE(MID(UPPER(TRIM(D385)),2,1))/10)+MOD(2*VALUE(MID(UPPER(TRIM(D385)),2,1)),10))+(INT(2*VALUE(MID(UPPER(TRIM(D385)),4,1))/10)+MOD(2*VALUE(MID(UPPER(TRIM(D385)),4,1)),10))+(INT(2*VALUE(MID(UPPER(TRIM(D385)),6,1))/10)+MOD(2*VALUE(MID(UPPER(TRIM(D385)),6,1)),10))+(INT(2*VALUE(MID(UPPER(TRIM(D385)),8,1))/10)+MOD(2*VALUE(MID(UPPER(TRIM(D385)),8,1)),10)),10),10)+1,1)),"OK","REVISAR")),"REVISAR")))</f>
        <v/>
      </c>
      <c r="Q385">
        <f>IF(B385="","",IF(COUNTIFS($B$2:$B$501,B385,$D$2:$D$501,D385)&gt;1,"DUPLICADA",""))</f>
        <v/>
      </c>
      <c r="R385">
        <f>IF(A385="","",ROUNDUP(MONTH(A385)/3,0))</f>
        <v/>
      </c>
      <c r="S385" s="3" t="n"/>
    </row>
    <row r="386">
      <c r="A386" s="2" t="n"/>
      <c r="B386" s="3" t="n"/>
      <c r="C386" s="3" t="n"/>
      <c r="D386" s="3" t="n"/>
      <c r="E386" s="4" t="n"/>
      <c r="F386" s="4" t="n"/>
      <c r="G386" s="4" t="n"/>
      <c r="H386" s="4" t="n"/>
      <c r="I386" s="5">
        <f>IF(E386="","",ROUND(E386*0.21,2))</f>
        <v/>
      </c>
      <c r="J386" s="5">
        <f>IF(F386="","",ROUND(F386*0.1,2))</f>
        <v/>
      </c>
      <c r="K386" s="5">
        <f>IF(G386="","",ROUND(G386*0.04,2))</f>
        <v/>
      </c>
      <c r="L386" s="4" t="n"/>
      <c r="M386" s="4" t="n"/>
      <c r="N386" s="5">
        <f>IF(A386="","",SUM(E386:K386)-N(L386))</f>
        <v/>
      </c>
      <c r="O386">
        <f>IF(OR(A386="",M386=""),"",IF(ABS(M386-N386)&lt;=0.02,"OK","REVISAR"))</f>
        <v/>
      </c>
      <c r="P386">
        <f>IF(D386="","",IF(LEN(TRIM(D386))&lt;&gt;9,"REVISAR",IFERROR(IF(OR(ISNUMBER(VALUE(LEFT(UPPER(TRIM(D386)),1))),LEFT(UPPER(TRIM(D386)),1)="X",LEFT(UPPER(TRIM(D386)),1)="Y",LEFT(UPPER(TRIM(D386)),1)="Z"),IF(MID("TRWAGMYFPDXBNJZSQVHLCKE",MOD(VALUE(SUBSTITUTE(SUBSTITUTE(SUBSTITUTE(LEFT(UPPER(TRIM(D386)),8),"X","0"),"Y","1"),"Z","2")),23)+1,1)=RIGHT(UPPER(TRIM(D386)),1),"OK","REVISAR"),IF(OR(RIGHT(UPPER(TRIM(D386)),1)=TEXT(MOD(10-MOD((VALUE(MID(UPPER(TRIM(D386)),3,1))+VALUE(MID(UPPER(TRIM(D386)),5,1))+VALUE(MID(UPPER(TRIM(D386)),7,1)))+(INT(2*VALUE(MID(UPPER(TRIM(D386)),2,1))/10)+MOD(2*VALUE(MID(UPPER(TRIM(D386)),2,1)),10))+(INT(2*VALUE(MID(UPPER(TRIM(D386)),4,1))/10)+MOD(2*VALUE(MID(UPPER(TRIM(D386)),4,1)),10))+(INT(2*VALUE(MID(UPPER(TRIM(D386)),6,1))/10)+MOD(2*VALUE(MID(UPPER(TRIM(D386)),6,1)),10))+(INT(2*VALUE(MID(UPPER(TRIM(D386)),8,1))/10)+MOD(2*VALUE(MID(UPPER(TRIM(D386)),8,1)),10)),10),10),"0"),RIGHT(UPPER(TRIM(D386)),1)=MID("JABCDEFGHI",MOD(10-MOD((VALUE(MID(UPPER(TRIM(D386)),3,1))+VALUE(MID(UPPER(TRIM(D386)),5,1))+VALUE(MID(UPPER(TRIM(D386)),7,1)))+(INT(2*VALUE(MID(UPPER(TRIM(D386)),2,1))/10)+MOD(2*VALUE(MID(UPPER(TRIM(D386)),2,1)),10))+(INT(2*VALUE(MID(UPPER(TRIM(D386)),4,1))/10)+MOD(2*VALUE(MID(UPPER(TRIM(D386)),4,1)),10))+(INT(2*VALUE(MID(UPPER(TRIM(D386)),6,1))/10)+MOD(2*VALUE(MID(UPPER(TRIM(D386)),6,1)),10))+(INT(2*VALUE(MID(UPPER(TRIM(D386)),8,1))/10)+MOD(2*VALUE(MID(UPPER(TRIM(D386)),8,1)),10)),10),10)+1,1)),"OK","REVISAR")),"REVISAR")))</f>
        <v/>
      </c>
      <c r="Q386">
        <f>IF(B386="","",IF(COUNTIFS($B$2:$B$501,B386,$D$2:$D$501,D386)&gt;1,"DUPLICADA",""))</f>
        <v/>
      </c>
      <c r="R386">
        <f>IF(A386="","",ROUNDUP(MONTH(A386)/3,0))</f>
        <v/>
      </c>
      <c r="S386" s="3" t="n"/>
    </row>
    <row r="387">
      <c r="A387" s="2" t="n"/>
      <c r="B387" s="3" t="n"/>
      <c r="C387" s="3" t="n"/>
      <c r="D387" s="3" t="n"/>
      <c r="E387" s="4" t="n"/>
      <c r="F387" s="4" t="n"/>
      <c r="G387" s="4" t="n"/>
      <c r="H387" s="4" t="n"/>
      <c r="I387" s="5">
        <f>IF(E387="","",ROUND(E387*0.21,2))</f>
        <v/>
      </c>
      <c r="J387" s="5">
        <f>IF(F387="","",ROUND(F387*0.1,2))</f>
        <v/>
      </c>
      <c r="K387" s="5">
        <f>IF(G387="","",ROUND(G387*0.04,2))</f>
        <v/>
      </c>
      <c r="L387" s="4" t="n"/>
      <c r="M387" s="4" t="n"/>
      <c r="N387" s="5">
        <f>IF(A387="","",SUM(E387:K387)-N(L387))</f>
        <v/>
      </c>
      <c r="O387">
        <f>IF(OR(A387="",M387=""),"",IF(ABS(M387-N387)&lt;=0.02,"OK","REVISAR"))</f>
        <v/>
      </c>
      <c r="P387">
        <f>IF(D387="","",IF(LEN(TRIM(D387))&lt;&gt;9,"REVISAR",IFERROR(IF(OR(ISNUMBER(VALUE(LEFT(UPPER(TRIM(D387)),1))),LEFT(UPPER(TRIM(D387)),1)="X",LEFT(UPPER(TRIM(D387)),1)="Y",LEFT(UPPER(TRIM(D387)),1)="Z"),IF(MID("TRWAGMYFPDXBNJZSQVHLCKE",MOD(VALUE(SUBSTITUTE(SUBSTITUTE(SUBSTITUTE(LEFT(UPPER(TRIM(D387)),8),"X","0"),"Y","1"),"Z","2")),23)+1,1)=RIGHT(UPPER(TRIM(D387)),1),"OK","REVISAR"),IF(OR(RIGHT(UPPER(TRIM(D387)),1)=TEXT(MOD(10-MOD((VALUE(MID(UPPER(TRIM(D387)),3,1))+VALUE(MID(UPPER(TRIM(D387)),5,1))+VALUE(MID(UPPER(TRIM(D387)),7,1)))+(INT(2*VALUE(MID(UPPER(TRIM(D387)),2,1))/10)+MOD(2*VALUE(MID(UPPER(TRIM(D387)),2,1)),10))+(INT(2*VALUE(MID(UPPER(TRIM(D387)),4,1))/10)+MOD(2*VALUE(MID(UPPER(TRIM(D387)),4,1)),10))+(INT(2*VALUE(MID(UPPER(TRIM(D387)),6,1))/10)+MOD(2*VALUE(MID(UPPER(TRIM(D387)),6,1)),10))+(INT(2*VALUE(MID(UPPER(TRIM(D387)),8,1))/10)+MOD(2*VALUE(MID(UPPER(TRIM(D387)),8,1)),10)),10),10),"0"),RIGHT(UPPER(TRIM(D387)),1)=MID("JABCDEFGHI",MOD(10-MOD((VALUE(MID(UPPER(TRIM(D387)),3,1))+VALUE(MID(UPPER(TRIM(D387)),5,1))+VALUE(MID(UPPER(TRIM(D387)),7,1)))+(INT(2*VALUE(MID(UPPER(TRIM(D387)),2,1))/10)+MOD(2*VALUE(MID(UPPER(TRIM(D387)),2,1)),10))+(INT(2*VALUE(MID(UPPER(TRIM(D387)),4,1))/10)+MOD(2*VALUE(MID(UPPER(TRIM(D387)),4,1)),10))+(INT(2*VALUE(MID(UPPER(TRIM(D387)),6,1))/10)+MOD(2*VALUE(MID(UPPER(TRIM(D387)),6,1)),10))+(INT(2*VALUE(MID(UPPER(TRIM(D387)),8,1))/10)+MOD(2*VALUE(MID(UPPER(TRIM(D387)),8,1)),10)),10),10)+1,1)),"OK","REVISAR")),"REVISAR")))</f>
        <v/>
      </c>
      <c r="Q387">
        <f>IF(B387="","",IF(COUNTIFS($B$2:$B$501,B387,$D$2:$D$501,D387)&gt;1,"DUPLICADA",""))</f>
        <v/>
      </c>
      <c r="R387">
        <f>IF(A387="","",ROUNDUP(MONTH(A387)/3,0))</f>
        <v/>
      </c>
      <c r="S387" s="3" t="n"/>
    </row>
    <row r="388">
      <c r="A388" s="2" t="n"/>
      <c r="B388" s="3" t="n"/>
      <c r="C388" s="3" t="n"/>
      <c r="D388" s="3" t="n"/>
      <c r="E388" s="4" t="n"/>
      <c r="F388" s="4" t="n"/>
      <c r="G388" s="4" t="n"/>
      <c r="H388" s="4" t="n"/>
      <c r="I388" s="5">
        <f>IF(E388="","",ROUND(E388*0.21,2))</f>
        <v/>
      </c>
      <c r="J388" s="5">
        <f>IF(F388="","",ROUND(F388*0.1,2))</f>
        <v/>
      </c>
      <c r="K388" s="5">
        <f>IF(G388="","",ROUND(G388*0.04,2))</f>
        <v/>
      </c>
      <c r="L388" s="4" t="n"/>
      <c r="M388" s="4" t="n"/>
      <c r="N388" s="5">
        <f>IF(A388="","",SUM(E388:K388)-N(L388))</f>
        <v/>
      </c>
      <c r="O388">
        <f>IF(OR(A388="",M388=""),"",IF(ABS(M388-N388)&lt;=0.02,"OK","REVISAR"))</f>
        <v/>
      </c>
      <c r="P388">
        <f>IF(D388="","",IF(LEN(TRIM(D388))&lt;&gt;9,"REVISAR",IFERROR(IF(OR(ISNUMBER(VALUE(LEFT(UPPER(TRIM(D388)),1))),LEFT(UPPER(TRIM(D388)),1)="X",LEFT(UPPER(TRIM(D388)),1)="Y",LEFT(UPPER(TRIM(D388)),1)="Z"),IF(MID("TRWAGMYFPDXBNJZSQVHLCKE",MOD(VALUE(SUBSTITUTE(SUBSTITUTE(SUBSTITUTE(LEFT(UPPER(TRIM(D388)),8),"X","0"),"Y","1"),"Z","2")),23)+1,1)=RIGHT(UPPER(TRIM(D388)),1),"OK","REVISAR"),IF(OR(RIGHT(UPPER(TRIM(D388)),1)=TEXT(MOD(10-MOD((VALUE(MID(UPPER(TRIM(D388)),3,1))+VALUE(MID(UPPER(TRIM(D388)),5,1))+VALUE(MID(UPPER(TRIM(D388)),7,1)))+(INT(2*VALUE(MID(UPPER(TRIM(D388)),2,1))/10)+MOD(2*VALUE(MID(UPPER(TRIM(D388)),2,1)),10))+(INT(2*VALUE(MID(UPPER(TRIM(D388)),4,1))/10)+MOD(2*VALUE(MID(UPPER(TRIM(D388)),4,1)),10))+(INT(2*VALUE(MID(UPPER(TRIM(D388)),6,1))/10)+MOD(2*VALUE(MID(UPPER(TRIM(D388)),6,1)),10))+(INT(2*VALUE(MID(UPPER(TRIM(D388)),8,1))/10)+MOD(2*VALUE(MID(UPPER(TRIM(D388)),8,1)),10)),10),10),"0"),RIGHT(UPPER(TRIM(D388)),1)=MID("JABCDEFGHI",MOD(10-MOD((VALUE(MID(UPPER(TRIM(D388)),3,1))+VALUE(MID(UPPER(TRIM(D388)),5,1))+VALUE(MID(UPPER(TRIM(D388)),7,1)))+(INT(2*VALUE(MID(UPPER(TRIM(D388)),2,1))/10)+MOD(2*VALUE(MID(UPPER(TRIM(D388)),2,1)),10))+(INT(2*VALUE(MID(UPPER(TRIM(D388)),4,1))/10)+MOD(2*VALUE(MID(UPPER(TRIM(D388)),4,1)),10))+(INT(2*VALUE(MID(UPPER(TRIM(D388)),6,1))/10)+MOD(2*VALUE(MID(UPPER(TRIM(D388)),6,1)),10))+(INT(2*VALUE(MID(UPPER(TRIM(D388)),8,1))/10)+MOD(2*VALUE(MID(UPPER(TRIM(D388)),8,1)),10)),10),10)+1,1)),"OK","REVISAR")),"REVISAR")))</f>
        <v/>
      </c>
      <c r="Q388">
        <f>IF(B388="","",IF(COUNTIFS($B$2:$B$501,B388,$D$2:$D$501,D388)&gt;1,"DUPLICADA",""))</f>
        <v/>
      </c>
      <c r="R388">
        <f>IF(A388="","",ROUNDUP(MONTH(A388)/3,0))</f>
        <v/>
      </c>
      <c r="S388" s="3" t="n"/>
    </row>
    <row r="389">
      <c r="A389" s="2" t="n"/>
      <c r="B389" s="3" t="n"/>
      <c r="C389" s="3" t="n"/>
      <c r="D389" s="3" t="n"/>
      <c r="E389" s="4" t="n"/>
      <c r="F389" s="4" t="n"/>
      <c r="G389" s="4" t="n"/>
      <c r="H389" s="4" t="n"/>
      <c r="I389" s="5">
        <f>IF(E389="","",ROUND(E389*0.21,2))</f>
        <v/>
      </c>
      <c r="J389" s="5">
        <f>IF(F389="","",ROUND(F389*0.1,2))</f>
        <v/>
      </c>
      <c r="K389" s="5">
        <f>IF(G389="","",ROUND(G389*0.04,2))</f>
        <v/>
      </c>
      <c r="L389" s="4" t="n"/>
      <c r="M389" s="4" t="n"/>
      <c r="N389" s="5">
        <f>IF(A389="","",SUM(E389:K389)-N(L389))</f>
        <v/>
      </c>
      <c r="O389">
        <f>IF(OR(A389="",M389=""),"",IF(ABS(M389-N389)&lt;=0.02,"OK","REVISAR"))</f>
        <v/>
      </c>
      <c r="P389">
        <f>IF(D389="","",IF(LEN(TRIM(D389))&lt;&gt;9,"REVISAR",IFERROR(IF(OR(ISNUMBER(VALUE(LEFT(UPPER(TRIM(D389)),1))),LEFT(UPPER(TRIM(D389)),1)="X",LEFT(UPPER(TRIM(D389)),1)="Y",LEFT(UPPER(TRIM(D389)),1)="Z"),IF(MID("TRWAGMYFPDXBNJZSQVHLCKE",MOD(VALUE(SUBSTITUTE(SUBSTITUTE(SUBSTITUTE(LEFT(UPPER(TRIM(D389)),8),"X","0"),"Y","1"),"Z","2")),23)+1,1)=RIGHT(UPPER(TRIM(D389)),1),"OK","REVISAR"),IF(OR(RIGHT(UPPER(TRIM(D389)),1)=TEXT(MOD(10-MOD((VALUE(MID(UPPER(TRIM(D389)),3,1))+VALUE(MID(UPPER(TRIM(D389)),5,1))+VALUE(MID(UPPER(TRIM(D389)),7,1)))+(INT(2*VALUE(MID(UPPER(TRIM(D389)),2,1))/10)+MOD(2*VALUE(MID(UPPER(TRIM(D389)),2,1)),10))+(INT(2*VALUE(MID(UPPER(TRIM(D389)),4,1))/10)+MOD(2*VALUE(MID(UPPER(TRIM(D389)),4,1)),10))+(INT(2*VALUE(MID(UPPER(TRIM(D389)),6,1))/10)+MOD(2*VALUE(MID(UPPER(TRIM(D389)),6,1)),10))+(INT(2*VALUE(MID(UPPER(TRIM(D389)),8,1))/10)+MOD(2*VALUE(MID(UPPER(TRIM(D389)),8,1)),10)),10),10),"0"),RIGHT(UPPER(TRIM(D389)),1)=MID("JABCDEFGHI",MOD(10-MOD((VALUE(MID(UPPER(TRIM(D389)),3,1))+VALUE(MID(UPPER(TRIM(D389)),5,1))+VALUE(MID(UPPER(TRIM(D389)),7,1)))+(INT(2*VALUE(MID(UPPER(TRIM(D389)),2,1))/10)+MOD(2*VALUE(MID(UPPER(TRIM(D389)),2,1)),10))+(INT(2*VALUE(MID(UPPER(TRIM(D389)),4,1))/10)+MOD(2*VALUE(MID(UPPER(TRIM(D389)),4,1)),10))+(INT(2*VALUE(MID(UPPER(TRIM(D389)),6,1))/10)+MOD(2*VALUE(MID(UPPER(TRIM(D389)),6,1)),10))+(INT(2*VALUE(MID(UPPER(TRIM(D389)),8,1))/10)+MOD(2*VALUE(MID(UPPER(TRIM(D389)),8,1)),10)),10),10)+1,1)),"OK","REVISAR")),"REVISAR")))</f>
        <v/>
      </c>
      <c r="Q389">
        <f>IF(B389="","",IF(COUNTIFS($B$2:$B$501,B389,$D$2:$D$501,D389)&gt;1,"DUPLICADA",""))</f>
        <v/>
      </c>
      <c r="R389">
        <f>IF(A389="","",ROUNDUP(MONTH(A389)/3,0))</f>
        <v/>
      </c>
      <c r="S389" s="3" t="n"/>
    </row>
    <row r="390">
      <c r="A390" s="2" t="n"/>
      <c r="B390" s="3" t="n"/>
      <c r="C390" s="3" t="n"/>
      <c r="D390" s="3" t="n"/>
      <c r="E390" s="4" t="n"/>
      <c r="F390" s="4" t="n"/>
      <c r="G390" s="4" t="n"/>
      <c r="H390" s="4" t="n"/>
      <c r="I390" s="5">
        <f>IF(E390="","",ROUND(E390*0.21,2))</f>
        <v/>
      </c>
      <c r="J390" s="5">
        <f>IF(F390="","",ROUND(F390*0.1,2))</f>
        <v/>
      </c>
      <c r="K390" s="5">
        <f>IF(G390="","",ROUND(G390*0.04,2))</f>
        <v/>
      </c>
      <c r="L390" s="4" t="n"/>
      <c r="M390" s="4" t="n"/>
      <c r="N390" s="5">
        <f>IF(A390="","",SUM(E390:K390)-N(L390))</f>
        <v/>
      </c>
      <c r="O390">
        <f>IF(OR(A390="",M390=""),"",IF(ABS(M390-N390)&lt;=0.02,"OK","REVISAR"))</f>
        <v/>
      </c>
      <c r="P390">
        <f>IF(D390="","",IF(LEN(TRIM(D390))&lt;&gt;9,"REVISAR",IFERROR(IF(OR(ISNUMBER(VALUE(LEFT(UPPER(TRIM(D390)),1))),LEFT(UPPER(TRIM(D390)),1)="X",LEFT(UPPER(TRIM(D390)),1)="Y",LEFT(UPPER(TRIM(D390)),1)="Z"),IF(MID("TRWAGMYFPDXBNJZSQVHLCKE",MOD(VALUE(SUBSTITUTE(SUBSTITUTE(SUBSTITUTE(LEFT(UPPER(TRIM(D390)),8),"X","0"),"Y","1"),"Z","2")),23)+1,1)=RIGHT(UPPER(TRIM(D390)),1),"OK","REVISAR"),IF(OR(RIGHT(UPPER(TRIM(D390)),1)=TEXT(MOD(10-MOD((VALUE(MID(UPPER(TRIM(D390)),3,1))+VALUE(MID(UPPER(TRIM(D390)),5,1))+VALUE(MID(UPPER(TRIM(D390)),7,1)))+(INT(2*VALUE(MID(UPPER(TRIM(D390)),2,1))/10)+MOD(2*VALUE(MID(UPPER(TRIM(D390)),2,1)),10))+(INT(2*VALUE(MID(UPPER(TRIM(D390)),4,1))/10)+MOD(2*VALUE(MID(UPPER(TRIM(D390)),4,1)),10))+(INT(2*VALUE(MID(UPPER(TRIM(D390)),6,1))/10)+MOD(2*VALUE(MID(UPPER(TRIM(D390)),6,1)),10))+(INT(2*VALUE(MID(UPPER(TRIM(D390)),8,1))/10)+MOD(2*VALUE(MID(UPPER(TRIM(D390)),8,1)),10)),10),10),"0"),RIGHT(UPPER(TRIM(D390)),1)=MID("JABCDEFGHI",MOD(10-MOD((VALUE(MID(UPPER(TRIM(D390)),3,1))+VALUE(MID(UPPER(TRIM(D390)),5,1))+VALUE(MID(UPPER(TRIM(D390)),7,1)))+(INT(2*VALUE(MID(UPPER(TRIM(D390)),2,1))/10)+MOD(2*VALUE(MID(UPPER(TRIM(D390)),2,1)),10))+(INT(2*VALUE(MID(UPPER(TRIM(D390)),4,1))/10)+MOD(2*VALUE(MID(UPPER(TRIM(D390)),4,1)),10))+(INT(2*VALUE(MID(UPPER(TRIM(D390)),6,1))/10)+MOD(2*VALUE(MID(UPPER(TRIM(D390)),6,1)),10))+(INT(2*VALUE(MID(UPPER(TRIM(D390)),8,1))/10)+MOD(2*VALUE(MID(UPPER(TRIM(D390)),8,1)),10)),10),10)+1,1)),"OK","REVISAR")),"REVISAR")))</f>
        <v/>
      </c>
      <c r="Q390">
        <f>IF(B390="","",IF(COUNTIFS($B$2:$B$501,B390,$D$2:$D$501,D390)&gt;1,"DUPLICADA",""))</f>
        <v/>
      </c>
      <c r="R390">
        <f>IF(A390="","",ROUNDUP(MONTH(A390)/3,0))</f>
        <v/>
      </c>
      <c r="S390" s="3" t="n"/>
    </row>
    <row r="391">
      <c r="A391" s="2" t="n"/>
      <c r="B391" s="3" t="n"/>
      <c r="C391" s="3" t="n"/>
      <c r="D391" s="3" t="n"/>
      <c r="E391" s="4" t="n"/>
      <c r="F391" s="4" t="n"/>
      <c r="G391" s="4" t="n"/>
      <c r="H391" s="4" t="n"/>
      <c r="I391" s="5">
        <f>IF(E391="","",ROUND(E391*0.21,2))</f>
        <v/>
      </c>
      <c r="J391" s="5">
        <f>IF(F391="","",ROUND(F391*0.1,2))</f>
        <v/>
      </c>
      <c r="K391" s="5">
        <f>IF(G391="","",ROUND(G391*0.04,2))</f>
        <v/>
      </c>
      <c r="L391" s="4" t="n"/>
      <c r="M391" s="4" t="n"/>
      <c r="N391" s="5">
        <f>IF(A391="","",SUM(E391:K391)-N(L391))</f>
        <v/>
      </c>
      <c r="O391">
        <f>IF(OR(A391="",M391=""),"",IF(ABS(M391-N391)&lt;=0.02,"OK","REVISAR"))</f>
        <v/>
      </c>
      <c r="P391">
        <f>IF(D391="","",IF(LEN(TRIM(D391))&lt;&gt;9,"REVISAR",IFERROR(IF(OR(ISNUMBER(VALUE(LEFT(UPPER(TRIM(D391)),1))),LEFT(UPPER(TRIM(D391)),1)="X",LEFT(UPPER(TRIM(D391)),1)="Y",LEFT(UPPER(TRIM(D391)),1)="Z"),IF(MID("TRWAGMYFPDXBNJZSQVHLCKE",MOD(VALUE(SUBSTITUTE(SUBSTITUTE(SUBSTITUTE(LEFT(UPPER(TRIM(D391)),8),"X","0"),"Y","1"),"Z","2")),23)+1,1)=RIGHT(UPPER(TRIM(D391)),1),"OK","REVISAR"),IF(OR(RIGHT(UPPER(TRIM(D391)),1)=TEXT(MOD(10-MOD((VALUE(MID(UPPER(TRIM(D391)),3,1))+VALUE(MID(UPPER(TRIM(D391)),5,1))+VALUE(MID(UPPER(TRIM(D391)),7,1)))+(INT(2*VALUE(MID(UPPER(TRIM(D391)),2,1))/10)+MOD(2*VALUE(MID(UPPER(TRIM(D391)),2,1)),10))+(INT(2*VALUE(MID(UPPER(TRIM(D391)),4,1))/10)+MOD(2*VALUE(MID(UPPER(TRIM(D391)),4,1)),10))+(INT(2*VALUE(MID(UPPER(TRIM(D391)),6,1))/10)+MOD(2*VALUE(MID(UPPER(TRIM(D391)),6,1)),10))+(INT(2*VALUE(MID(UPPER(TRIM(D391)),8,1))/10)+MOD(2*VALUE(MID(UPPER(TRIM(D391)),8,1)),10)),10),10),"0"),RIGHT(UPPER(TRIM(D391)),1)=MID("JABCDEFGHI",MOD(10-MOD((VALUE(MID(UPPER(TRIM(D391)),3,1))+VALUE(MID(UPPER(TRIM(D391)),5,1))+VALUE(MID(UPPER(TRIM(D391)),7,1)))+(INT(2*VALUE(MID(UPPER(TRIM(D391)),2,1))/10)+MOD(2*VALUE(MID(UPPER(TRIM(D391)),2,1)),10))+(INT(2*VALUE(MID(UPPER(TRIM(D391)),4,1))/10)+MOD(2*VALUE(MID(UPPER(TRIM(D391)),4,1)),10))+(INT(2*VALUE(MID(UPPER(TRIM(D391)),6,1))/10)+MOD(2*VALUE(MID(UPPER(TRIM(D391)),6,1)),10))+(INT(2*VALUE(MID(UPPER(TRIM(D391)),8,1))/10)+MOD(2*VALUE(MID(UPPER(TRIM(D391)),8,1)),10)),10),10)+1,1)),"OK","REVISAR")),"REVISAR")))</f>
        <v/>
      </c>
      <c r="Q391">
        <f>IF(B391="","",IF(COUNTIFS($B$2:$B$501,B391,$D$2:$D$501,D391)&gt;1,"DUPLICADA",""))</f>
        <v/>
      </c>
      <c r="R391">
        <f>IF(A391="","",ROUNDUP(MONTH(A391)/3,0))</f>
        <v/>
      </c>
      <c r="S391" s="3" t="n"/>
    </row>
    <row r="392">
      <c r="A392" s="2" t="n"/>
      <c r="B392" s="3" t="n"/>
      <c r="C392" s="3" t="n"/>
      <c r="D392" s="3" t="n"/>
      <c r="E392" s="4" t="n"/>
      <c r="F392" s="4" t="n"/>
      <c r="G392" s="4" t="n"/>
      <c r="H392" s="4" t="n"/>
      <c r="I392" s="5">
        <f>IF(E392="","",ROUND(E392*0.21,2))</f>
        <v/>
      </c>
      <c r="J392" s="5">
        <f>IF(F392="","",ROUND(F392*0.1,2))</f>
        <v/>
      </c>
      <c r="K392" s="5">
        <f>IF(G392="","",ROUND(G392*0.04,2))</f>
        <v/>
      </c>
      <c r="L392" s="4" t="n"/>
      <c r="M392" s="4" t="n"/>
      <c r="N392" s="5">
        <f>IF(A392="","",SUM(E392:K392)-N(L392))</f>
        <v/>
      </c>
      <c r="O392">
        <f>IF(OR(A392="",M392=""),"",IF(ABS(M392-N392)&lt;=0.02,"OK","REVISAR"))</f>
        <v/>
      </c>
      <c r="P392">
        <f>IF(D392="","",IF(LEN(TRIM(D392))&lt;&gt;9,"REVISAR",IFERROR(IF(OR(ISNUMBER(VALUE(LEFT(UPPER(TRIM(D392)),1))),LEFT(UPPER(TRIM(D392)),1)="X",LEFT(UPPER(TRIM(D392)),1)="Y",LEFT(UPPER(TRIM(D392)),1)="Z"),IF(MID("TRWAGMYFPDXBNJZSQVHLCKE",MOD(VALUE(SUBSTITUTE(SUBSTITUTE(SUBSTITUTE(LEFT(UPPER(TRIM(D392)),8),"X","0"),"Y","1"),"Z","2")),23)+1,1)=RIGHT(UPPER(TRIM(D392)),1),"OK","REVISAR"),IF(OR(RIGHT(UPPER(TRIM(D392)),1)=TEXT(MOD(10-MOD((VALUE(MID(UPPER(TRIM(D392)),3,1))+VALUE(MID(UPPER(TRIM(D392)),5,1))+VALUE(MID(UPPER(TRIM(D392)),7,1)))+(INT(2*VALUE(MID(UPPER(TRIM(D392)),2,1))/10)+MOD(2*VALUE(MID(UPPER(TRIM(D392)),2,1)),10))+(INT(2*VALUE(MID(UPPER(TRIM(D392)),4,1))/10)+MOD(2*VALUE(MID(UPPER(TRIM(D392)),4,1)),10))+(INT(2*VALUE(MID(UPPER(TRIM(D392)),6,1))/10)+MOD(2*VALUE(MID(UPPER(TRIM(D392)),6,1)),10))+(INT(2*VALUE(MID(UPPER(TRIM(D392)),8,1))/10)+MOD(2*VALUE(MID(UPPER(TRIM(D392)),8,1)),10)),10),10),"0"),RIGHT(UPPER(TRIM(D392)),1)=MID("JABCDEFGHI",MOD(10-MOD((VALUE(MID(UPPER(TRIM(D392)),3,1))+VALUE(MID(UPPER(TRIM(D392)),5,1))+VALUE(MID(UPPER(TRIM(D392)),7,1)))+(INT(2*VALUE(MID(UPPER(TRIM(D392)),2,1))/10)+MOD(2*VALUE(MID(UPPER(TRIM(D392)),2,1)),10))+(INT(2*VALUE(MID(UPPER(TRIM(D392)),4,1))/10)+MOD(2*VALUE(MID(UPPER(TRIM(D392)),4,1)),10))+(INT(2*VALUE(MID(UPPER(TRIM(D392)),6,1))/10)+MOD(2*VALUE(MID(UPPER(TRIM(D392)),6,1)),10))+(INT(2*VALUE(MID(UPPER(TRIM(D392)),8,1))/10)+MOD(2*VALUE(MID(UPPER(TRIM(D392)),8,1)),10)),10),10)+1,1)),"OK","REVISAR")),"REVISAR")))</f>
        <v/>
      </c>
      <c r="Q392">
        <f>IF(B392="","",IF(COUNTIFS($B$2:$B$501,B392,$D$2:$D$501,D392)&gt;1,"DUPLICADA",""))</f>
        <v/>
      </c>
      <c r="R392">
        <f>IF(A392="","",ROUNDUP(MONTH(A392)/3,0))</f>
        <v/>
      </c>
      <c r="S392" s="3" t="n"/>
    </row>
    <row r="393">
      <c r="A393" s="2" t="n"/>
      <c r="B393" s="3" t="n"/>
      <c r="C393" s="3" t="n"/>
      <c r="D393" s="3" t="n"/>
      <c r="E393" s="4" t="n"/>
      <c r="F393" s="4" t="n"/>
      <c r="G393" s="4" t="n"/>
      <c r="H393" s="4" t="n"/>
      <c r="I393" s="5">
        <f>IF(E393="","",ROUND(E393*0.21,2))</f>
        <v/>
      </c>
      <c r="J393" s="5">
        <f>IF(F393="","",ROUND(F393*0.1,2))</f>
        <v/>
      </c>
      <c r="K393" s="5">
        <f>IF(G393="","",ROUND(G393*0.04,2))</f>
        <v/>
      </c>
      <c r="L393" s="4" t="n"/>
      <c r="M393" s="4" t="n"/>
      <c r="N393" s="5">
        <f>IF(A393="","",SUM(E393:K393)-N(L393))</f>
        <v/>
      </c>
      <c r="O393">
        <f>IF(OR(A393="",M393=""),"",IF(ABS(M393-N393)&lt;=0.02,"OK","REVISAR"))</f>
        <v/>
      </c>
      <c r="P393">
        <f>IF(D393="","",IF(LEN(TRIM(D393))&lt;&gt;9,"REVISAR",IFERROR(IF(OR(ISNUMBER(VALUE(LEFT(UPPER(TRIM(D393)),1))),LEFT(UPPER(TRIM(D393)),1)="X",LEFT(UPPER(TRIM(D393)),1)="Y",LEFT(UPPER(TRIM(D393)),1)="Z"),IF(MID("TRWAGMYFPDXBNJZSQVHLCKE",MOD(VALUE(SUBSTITUTE(SUBSTITUTE(SUBSTITUTE(LEFT(UPPER(TRIM(D393)),8),"X","0"),"Y","1"),"Z","2")),23)+1,1)=RIGHT(UPPER(TRIM(D393)),1),"OK","REVISAR"),IF(OR(RIGHT(UPPER(TRIM(D393)),1)=TEXT(MOD(10-MOD((VALUE(MID(UPPER(TRIM(D393)),3,1))+VALUE(MID(UPPER(TRIM(D393)),5,1))+VALUE(MID(UPPER(TRIM(D393)),7,1)))+(INT(2*VALUE(MID(UPPER(TRIM(D393)),2,1))/10)+MOD(2*VALUE(MID(UPPER(TRIM(D393)),2,1)),10))+(INT(2*VALUE(MID(UPPER(TRIM(D393)),4,1))/10)+MOD(2*VALUE(MID(UPPER(TRIM(D393)),4,1)),10))+(INT(2*VALUE(MID(UPPER(TRIM(D393)),6,1))/10)+MOD(2*VALUE(MID(UPPER(TRIM(D393)),6,1)),10))+(INT(2*VALUE(MID(UPPER(TRIM(D393)),8,1))/10)+MOD(2*VALUE(MID(UPPER(TRIM(D393)),8,1)),10)),10),10),"0"),RIGHT(UPPER(TRIM(D393)),1)=MID("JABCDEFGHI",MOD(10-MOD((VALUE(MID(UPPER(TRIM(D393)),3,1))+VALUE(MID(UPPER(TRIM(D393)),5,1))+VALUE(MID(UPPER(TRIM(D393)),7,1)))+(INT(2*VALUE(MID(UPPER(TRIM(D393)),2,1))/10)+MOD(2*VALUE(MID(UPPER(TRIM(D393)),2,1)),10))+(INT(2*VALUE(MID(UPPER(TRIM(D393)),4,1))/10)+MOD(2*VALUE(MID(UPPER(TRIM(D393)),4,1)),10))+(INT(2*VALUE(MID(UPPER(TRIM(D393)),6,1))/10)+MOD(2*VALUE(MID(UPPER(TRIM(D393)),6,1)),10))+(INT(2*VALUE(MID(UPPER(TRIM(D393)),8,1))/10)+MOD(2*VALUE(MID(UPPER(TRIM(D393)),8,1)),10)),10),10)+1,1)),"OK","REVISAR")),"REVISAR")))</f>
        <v/>
      </c>
      <c r="Q393">
        <f>IF(B393="","",IF(COUNTIFS($B$2:$B$501,B393,$D$2:$D$501,D393)&gt;1,"DUPLICADA",""))</f>
        <v/>
      </c>
      <c r="R393">
        <f>IF(A393="","",ROUNDUP(MONTH(A393)/3,0))</f>
        <v/>
      </c>
      <c r="S393" s="3" t="n"/>
    </row>
    <row r="394">
      <c r="A394" s="2" t="n"/>
      <c r="B394" s="3" t="n"/>
      <c r="C394" s="3" t="n"/>
      <c r="D394" s="3" t="n"/>
      <c r="E394" s="4" t="n"/>
      <c r="F394" s="4" t="n"/>
      <c r="G394" s="4" t="n"/>
      <c r="H394" s="4" t="n"/>
      <c r="I394" s="5">
        <f>IF(E394="","",ROUND(E394*0.21,2))</f>
        <v/>
      </c>
      <c r="J394" s="5">
        <f>IF(F394="","",ROUND(F394*0.1,2))</f>
        <v/>
      </c>
      <c r="K394" s="5">
        <f>IF(G394="","",ROUND(G394*0.04,2))</f>
        <v/>
      </c>
      <c r="L394" s="4" t="n"/>
      <c r="M394" s="4" t="n"/>
      <c r="N394" s="5">
        <f>IF(A394="","",SUM(E394:K394)-N(L394))</f>
        <v/>
      </c>
      <c r="O394">
        <f>IF(OR(A394="",M394=""),"",IF(ABS(M394-N394)&lt;=0.02,"OK","REVISAR"))</f>
        <v/>
      </c>
      <c r="P394">
        <f>IF(D394="","",IF(LEN(TRIM(D394))&lt;&gt;9,"REVISAR",IFERROR(IF(OR(ISNUMBER(VALUE(LEFT(UPPER(TRIM(D394)),1))),LEFT(UPPER(TRIM(D394)),1)="X",LEFT(UPPER(TRIM(D394)),1)="Y",LEFT(UPPER(TRIM(D394)),1)="Z"),IF(MID("TRWAGMYFPDXBNJZSQVHLCKE",MOD(VALUE(SUBSTITUTE(SUBSTITUTE(SUBSTITUTE(LEFT(UPPER(TRIM(D394)),8),"X","0"),"Y","1"),"Z","2")),23)+1,1)=RIGHT(UPPER(TRIM(D394)),1),"OK","REVISAR"),IF(OR(RIGHT(UPPER(TRIM(D394)),1)=TEXT(MOD(10-MOD((VALUE(MID(UPPER(TRIM(D394)),3,1))+VALUE(MID(UPPER(TRIM(D394)),5,1))+VALUE(MID(UPPER(TRIM(D394)),7,1)))+(INT(2*VALUE(MID(UPPER(TRIM(D394)),2,1))/10)+MOD(2*VALUE(MID(UPPER(TRIM(D394)),2,1)),10))+(INT(2*VALUE(MID(UPPER(TRIM(D394)),4,1))/10)+MOD(2*VALUE(MID(UPPER(TRIM(D394)),4,1)),10))+(INT(2*VALUE(MID(UPPER(TRIM(D394)),6,1))/10)+MOD(2*VALUE(MID(UPPER(TRIM(D394)),6,1)),10))+(INT(2*VALUE(MID(UPPER(TRIM(D394)),8,1))/10)+MOD(2*VALUE(MID(UPPER(TRIM(D394)),8,1)),10)),10),10),"0"),RIGHT(UPPER(TRIM(D394)),1)=MID("JABCDEFGHI",MOD(10-MOD((VALUE(MID(UPPER(TRIM(D394)),3,1))+VALUE(MID(UPPER(TRIM(D394)),5,1))+VALUE(MID(UPPER(TRIM(D394)),7,1)))+(INT(2*VALUE(MID(UPPER(TRIM(D394)),2,1))/10)+MOD(2*VALUE(MID(UPPER(TRIM(D394)),2,1)),10))+(INT(2*VALUE(MID(UPPER(TRIM(D394)),4,1))/10)+MOD(2*VALUE(MID(UPPER(TRIM(D394)),4,1)),10))+(INT(2*VALUE(MID(UPPER(TRIM(D394)),6,1))/10)+MOD(2*VALUE(MID(UPPER(TRIM(D394)),6,1)),10))+(INT(2*VALUE(MID(UPPER(TRIM(D394)),8,1))/10)+MOD(2*VALUE(MID(UPPER(TRIM(D394)),8,1)),10)),10),10)+1,1)),"OK","REVISAR")),"REVISAR")))</f>
        <v/>
      </c>
      <c r="Q394">
        <f>IF(B394="","",IF(COUNTIFS($B$2:$B$501,B394,$D$2:$D$501,D394)&gt;1,"DUPLICADA",""))</f>
        <v/>
      </c>
      <c r="R394">
        <f>IF(A394="","",ROUNDUP(MONTH(A394)/3,0))</f>
        <v/>
      </c>
      <c r="S394" s="3" t="n"/>
    </row>
    <row r="395">
      <c r="A395" s="2" t="n"/>
      <c r="B395" s="3" t="n"/>
      <c r="C395" s="3" t="n"/>
      <c r="D395" s="3" t="n"/>
      <c r="E395" s="4" t="n"/>
      <c r="F395" s="4" t="n"/>
      <c r="G395" s="4" t="n"/>
      <c r="H395" s="4" t="n"/>
      <c r="I395" s="5">
        <f>IF(E395="","",ROUND(E395*0.21,2))</f>
        <v/>
      </c>
      <c r="J395" s="5">
        <f>IF(F395="","",ROUND(F395*0.1,2))</f>
        <v/>
      </c>
      <c r="K395" s="5">
        <f>IF(G395="","",ROUND(G395*0.04,2))</f>
        <v/>
      </c>
      <c r="L395" s="4" t="n"/>
      <c r="M395" s="4" t="n"/>
      <c r="N395" s="5">
        <f>IF(A395="","",SUM(E395:K395)-N(L395))</f>
        <v/>
      </c>
      <c r="O395">
        <f>IF(OR(A395="",M395=""),"",IF(ABS(M395-N395)&lt;=0.02,"OK","REVISAR"))</f>
        <v/>
      </c>
      <c r="P395">
        <f>IF(D395="","",IF(LEN(TRIM(D395))&lt;&gt;9,"REVISAR",IFERROR(IF(OR(ISNUMBER(VALUE(LEFT(UPPER(TRIM(D395)),1))),LEFT(UPPER(TRIM(D395)),1)="X",LEFT(UPPER(TRIM(D395)),1)="Y",LEFT(UPPER(TRIM(D395)),1)="Z"),IF(MID("TRWAGMYFPDXBNJZSQVHLCKE",MOD(VALUE(SUBSTITUTE(SUBSTITUTE(SUBSTITUTE(LEFT(UPPER(TRIM(D395)),8),"X","0"),"Y","1"),"Z","2")),23)+1,1)=RIGHT(UPPER(TRIM(D395)),1),"OK","REVISAR"),IF(OR(RIGHT(UPPER(TRIM(D395)),1)=TEXT(MOD(10-MOD((VALUE(MID(UPPER(TRIM(D395)),3,1))+VALUE(MID(UPPER(TRIM(D395)),5,1))+VALUE(MID(UPPER(TRIM(D395)),7,1)))+(INT(2*VALUE(MID(UPPER(TRIM(D395)),2,1))/10)+MOD(2*VALUE(MID(UPPER(TRIM(D395)),2,1)),10))+(INT(2*VALUE(MID(UPPER(TRIM(D395)),4,1))/10)+MOD(2*VALUE(MID(UPPER(TRIM(D395)),4,1)),10))+(INT(2*VALUE(MID(UPPER(TRIM(D395)),6,1))/10)+MOD(2*VALUE(MID(UPPER(TRIM(D395)),6,1)),10))+(INT(2*VALUE(MID(UPPER(TRIM(D395)),8,1))/10)+MOD(2*VALUE(MID(UPPER(TRIM(D395)),8,1)),10)),10),10),"0"),RIGHT(UPPER(TRIM(D395)),1)=MID("JABCDEFGHI",MOD(10-MOD((VALUE(MID(UPPER(TRIM(D395)),3,1))+VALUE(MID(UPPER(TRIM(D395)),5,1))+VALUE(MID(UPPER(TRIM(D395)),7,1)))+(INT(2*VALUE(MID(UPPER(TRIM(D395)),2,1))/10)+MOD(2*VALUE(MID(UPPER(TRIM(D395)),2,1)),10))+(INT(2*VALUE(MID(UPPER(TRIM(D395)),4,1))/10)+MOD(2*VALUE(MID(UPPER(TRIM(D395)),4,1)),10))+(INT(2*VALUE(MID(UPPER(TRIM(D395)),6,1))/10)+MOD(2*VALUE(MID(UPPER(TRIM(D395)),6,1)),10))+(INT(2*VALUE(MID(UPPER(TRIM(D395)),8,1))/10)+MOD(2*VALUE(MID(UPPER(TRIM(D395)),8,1)),10)),10),10)+1,1)),"OK","REVISAR")),"REVISAR")))</f>
        <v/>
      </c>
      <c r="Q395">
        <f>IF(B395="","",IF(COUNTIFS($B$2:$B$501,B395,$D$2:$D$501,D395)&gt;1,"DUPLICADA",""))</f>
        <v/>
      </c>
      <c r="R395">
        <f>IF(A395="","",ROUNDUP(MONTH(A395)/3,0))</f>
        <v/>
      </c>
      <c r="S395" s="3" t="n"/>
    </row>
    <row r="396">
      <c r="A396" s="2" t="n"/>
      <c r="B396" s="3" t="n"/>
      <c r="C396" s="3" t="n"/>
      <c r="D396" s="3" t="n"/>
      <c r="E396" s="4" t="n"/>
      <c r="F396" s="4" t="n"/>
      <c r="G396" s="4" t="n"/>
      <c r="H396" s="4" t="n"/>
      <c r="I396" s="5">
        <f>IF(E396="","",ROUND(E396*0.21,2))</f>
        <v/>
      </c>
      <c r="J396" s="5">
        <f>IF(F396="","",ROUND(F396*0.1,2))</f>
        <v/>
      </c>
      <c r="K396" s="5">
        <f>IF(G396="","",ROUND(G396*0.04,2))</f>
        <v/>
      </c>
      <c r="L396" s="4" t="n"/>
      <c r="M396" s="4" t="n"/>
      <c r="N396" s="5">
        <f>IF(A396="","",SUM(E396:K396)-N(L396))</f>
        <v/>
      </c>
      <c r="O396">
        <f>IF(OR(A396="",M396=""),"",IF(ABS(M396-N396)&lt;=0.02,"OK","REVISAR"))</f>
        <v/>
      </c>
      <c r="P396">
        <f>IF(D396="","",IF(LEN(TRIM(D396))&lt;&gt;9,"REVISAR",IFERROR(IF(OR(ISNUMBER(VALUE(LEFT(UPPER(TRIM(D396)),1))),LEFT(UPPER(TRIM(D396)),1)="X",LEFT(UPPER(TRIM(D396)),1)="Y",LEFT(UPPER(TRIM(D396)),1)="Z"),IF(MID("TRWAGMYFPDXBNJZSQVHLCKE",MOD(VALUE(SUBSTITUTE(SUBSTITUTE(SUBSTITUTE(LEFT(UPPER(TRIM(D396)),8),"X","0"),"Y","1"),"Z","2")),23)+1,1)=RIGHT(UPPER(TRIM(D396)),1),"OK","REVISAR"),IF(OR(RIGHT(UPPER(TRIM(D396)),1)=TEXT(MOD(10-MOD((VALUE(MID(UPPER(TRIM(D396)),3,1))+VALUE(MID(UPPER(TRIM(D396)),5,1))+VALUE(MID(UPPER(TRIM(D396)),7,1)))+(INT(2*VALUE(MID(UPPER(TRIM(D396)),2,1))/10)+MOD(2*VALUE(MID(UPPER(TRIM(D396)),2,1)),10))+(INT(2*VALUE(MID(UPPER(TRIM(D396)),4,1))/10)+MOD(2*VALUE(MID(UPPER(TRIM(D396)),4,1)),10))+(INT(2*VALUE(MID(UPPER(TRIM(D396)),6,1))/10)+MOD(2*VALUE(MID(UPPER(TRIM(D396)),6,1)),10))+(INT(2*VALUE(MID(UPPER(TRIM(D396)),8,1))/10)+MOD(2*VALUE(MID(UPPER(TRIM(D396)),8,1)),10)),10),10),"0"),RIGHT(UPPER(TRIM(D396)),1)=MID("JABCDEFGHI",MOD(10-MOD((VALUE(MID(UPPER(TRIM(D396)),3,1))+VALUE(MID(UPPER(TRIM(D396)),5,1))+VALUE(MID(UPPER(TRIM(D396)),7,1)))+(INT(2*VALUE(MID(UPPER(TRIM(D396)),2,1))/10)+MOD(2*VALUE(MID(UPPER(TRIM(D396)),2,1)),10))+(INT(2*VALUE(MID(UPPER(TRIM(D396)),4,1))/10)+MOD(2*VALUE(MID(UPPER(TRIM(D396)),4,1)),10))+(INT(2*VALUE(MID(UPPER(TRIM(D396)),6,1))/10)+MOD(2*VALUE(MID(UPPER(TRIM(D396)),6,1)),10))+(INT(2*VALUE(MID(UPPER(TRIM(D396)),8,1))/10)+MOD(2*VALUE(MID(UPPER(TRIM(D396)),8,1)),10)),10),10)+1,1)),"OK","REVISAR")),"REVISAR")))</f>
        <v/>
      </c>
      <c r="Q396">
        <f>IF(B396="","",IF(COUNTIFS($B$2:$B$501,B396,$D$2:$D$501,D396)&gt;1,"DUPLICADA",""))</f>
        <v/>
      </c>
      <c r="R396">
        <f>IF(A396="","",ROUNDUP(MONTH(A396)/3,0))</f>
        <v/>
      </c>
      <c r="S396" s="3" t="n"/>
    </row>
    <row r="397">
      <c r="A397" s="2" t="n"/>
      <c r="B397" s="3" t="n"/>
      <c r="C397" s="3" t="n"/>
      <c r="D397" s="3" t="n"/>
      <c r="E397" s="4" t="n"/>
      <c r="F397" s="4" t="n"/>
      <c r="G397" s="4" t="n"/>
      <c r="H397" s="4" t="n"/>
      <c r="I397" s="5">
        <f>IF(E397="","",ROUND(E397*0.21,2))</f>
        <v/>
      </c>
      <c r="J397" s="5">
        <f>IF(F397="","",ROUND(F397*0.1,2))</f>
        <v/>
      </c>
      <c r="K397" s="5">
        <f>IF(G397="","",ROUND(G397*0.04,2))</f>
        <v/>
      </c>
      <c r="L397" s="4" t="n"/>
      <c r="M397" s="4" t="n"/>
      <c r="N397" s="5">
        <f>IF(A397="","",SUM(E397:K397)-N(L397))</f>
        <v/>
      </c>
      <c r="O397">
        <f>IF(OR(A397="",M397=""),"",IF(ABS(M397-N397)&lt;=0.02,"OK","REVISAR"))</f>
        <v/>
      </c>
      <c r="P397">
        <f>IF(D397="","",IF(LEN(TRIM(D397))&lt;&gt;9,"REVISAR",IFERROR(IF(OR(ISNUMBER(VALUE(LEFT(UPPER(TRIM(D397)),1))),LEFT(UPPER(TRIM(D397)),1)="X",LEFT(UPPER(TRIM(D397)),1)="Y",LEFT(UPPER(TRIM(D397)),1)="Z"),IF(MID("TRWAGMYFPDXBNJZSQVHLCKE",MOD(VALUE(SUBSTITUTE(SUBSTITUTE(SUBSTITUTE(LEFT(UPPER(TRIM(D397)),8),"X","0"),"Y","1"),"Z","2")),23)+1,1)=RIGHT(UPPER(TRIM(D397)),1),"OK","REVISAR"),IF(OR(RIGHT(UPPER(TRIM(D397)),1)=TEXT(MOD(10-MOD((VALUE(MID(UPPER(TRIM(D397)),3,1))+VALUE(MID(UPPER(TRIM(D397)),5,1))+VALUE(MID(UPPER(TRIM(D397)),7,1)))+(INT(2*VALUE(MID(UPPER(TRIM(D397)),2,1))/10)+MOD(2*VALUE(MID(UPPER(TRIM(D397)),2,1)),10))+(INT(2*VALUE(MID(UPPER(TRIM(D397)),4,1))/10)+MOD(2*VALUE(MID(UPPER(TRIM(D397)),4,1)),10))+(INT(2*VALUE(MID(UPPER(TRIM(D397)),6,1))/10)+MOD(2*VALUE(MID(UPPER(TRIM(D397)),6,1)),10))+(INT(2*VALUE(MID(UPPER(TRIM(D397)),8,1))/10)+MOD(2*VALUE(MID(UPPER(TRIM(D397)),8,1)),10)),10),10),"0"),RIGHT(UPPER(TRIM(D397)),1)=MID("JABCDEFGHI",MOD(10-MOD((VALUE(MID(UPPER(TRIM(D397)),3,1))+VALUE(MID(UPPER(TRIM(D397)),5,1))+VALUE(MID(UPPER(TRIM(D397)),7,1)))+(INT(2*VALUE(MID(UPPER(TRIM(D397)),2,1))/10)+MOD(2*VALUE(MID(UPPER(TRIM(D397)),2,1)),10))+(INT(2*VALUE(MID(UPPER(TRIM(D397)),4,1))/10)+MOD(2*VALUE(MID(UPPER(TRIM(D397)),4,1)),10))+(INT(2*VALUE(MID(UPPER(TRIM(D397)),6,1))/10)+MOD(2*VALUE(MID(UPPER(TRIM(D397)),6,1)),10))+(INT(2*VALUE(MID(UPPER(TRIM(D397)),8,1))/10)+MOD(2*VALUE(MID(UPPER(TRIM(D397)),8,1)),10)),10),10)+1,1)),"OK","REVISAR")),"REVISAR")))</f>
        <v/>
      </c>
      <c r="Q397">
        <f>IF(B397="","",IF(COUNTIFS($B$2:$B$501,B397,$D$2:$D$501,D397)&gt;1,"DUPLICADA",""))</f>
        <v/>
      </c>
      <c r="R397">
        <f>IF(A397="","",ROUNDUP(MONTH(A397)/3,0))</f>
        <v/>
      </c>
      <c r="S397" s="3" t="n"/>
    </row>
    <row r="398">
      <c r="A398" s="2" t="n"/>
      <c r="B398" s="3" t="n"/>
      <c r="C398" s="3" t="n"/>
      <c r="D398" s="3" t="n"/>
      <c r="E398" s="4" t="n"/>
      <c r="F398" s="4" t="n"/>
      <c r="G398" s="4" t="n"/>
      <c r="H398" s="4" t="n"/>
      <c r="I398" s="5">
        <f>IF(E398="","",ROUND(E398*0.21,2))</f>
        <v/>
      </c>
      <c r="J398" s="5">
        <f>IF(F398="","",ROUND(F398*0.1,2))</f>
        <v/>
      </c>
      <c r="K398" s="5">
        <f>IF(G398="","",ROUND(G398*0.04,2))</f>
        <v/>
      </c>
      <c r="L398" s="4" t="n"/>
      <c r="M398" s="4" t="n"/>
      <c r="N398" s="5">
        <f>IF(A398="","",SUM(E398:K398)-N(L398))</f>
        <v/>
      </c>
      <c r="O398">
        <f>IF(OR(A398="",M398=""),"",IF(ABS(M398-N398)&lt;=0.02,"OK","REVISAR"))</f>
        <v/>
      </c>
      <c r="P398">
        <f>IF(D398="","",IF(LEN(TRIM(D398))&lt;&gt;9,"REVISAR",IFERROR(IF(OR(ISNUMBER(VALUE(LEFT(UPPER(TRIM(D398)),1))),LEFT(UPPER(TRIM(D398)),1)="X",LEFT(UPPER(TRIM(D398)),1)="Y",LEFT(UPPER(TRIM(D398)),1)="Z"),IF(MID("TRWAGMYFPDXBNJZSQVHLCKE",MOD(VALUE(SUBSTITUTE(SUBSTITUTE(SUBSTITUTE(LEFT(UPPER(TRIM(D398)),8),"X","0"),"Y","1"),"Z","2")),23)+1,1)=RIGHT(UPPER(TRIM(D398)),1),"OK","REVISAR"),IF(OR(RIGHT(UPPER(TRIM(D398)),1)=TEXT(MOD(10-MOD((VALUE(MID(UPPER(TRIM(D398)),3,1))+VALUE(MID(UPPER(TRIM(D398)),5,1))+VALUE(MID(UPPER(TRIM(D398)),7,1)))+(INT(2*VALUE(MID(UPPER(TRIM(D398)),2,1))/10)+MOD(2*VALUE(MID(UPPER(TRIM(D398)),2,1)),10))+(INT(2*VALUE(MID(UPPER(TRIM(D398)),4,1))/10)+MOD(2*VALUE(MID(UPPER(TRIM(D398)),4,1)),10))+(INT(2*VALUE(MID(UPPER(TRIM(D398)),6,1))/10)+MOD(2*VALUE(MID(UPPER(TRIM(D398)),6,1)),10))+(INT(2*VALUE(MID(UPPER(TRIM(D398)),8,1))/10)+MOD(2*VALUE(MID(UPPER(TRIM(D398)),8,1)),10)),10),10),"0"),RIGHT(UPPER(TRIM(D398)),1)=MID("JABCDEFGHI",MOD(10-MOD((VALUE(MID(UPPER(TRIM(D398)),3,1))+VALUE(MID(UPPER(TRIM(D398)),5,1))+VALUE(MID(UPPER(TRIM(D398)),7,1)))+(INT(2*VALUE(MID(UPPER(TRIM(D398)),2,1))/10)+MOD(2*VALUE(MID(UPPER(TRIM(D398)),2,1)),10))+(INT(2*VALUE(MID(UPPER(TRIM(D398)),4,1))/10)+MOD(2*VALUE(MID(UPPER(TRIM(D398)),4,1)),10))+(INT(2*VALUE(MID(UPPER(TRIM(D398)),6,1))/10)+MOD(2*VALUE(MID(UPPER(TRIM(D398)),6,1)),10))+(INT(2*VALUE(MID(UPPER(TRIM(D398)),8,1))/10)+MOD(2*VALUE(MID(UPPER(TRIM(D398)),8,1)),10)),10),10)+1,1)),"OK","REVISAR")),"REVISAR")))</f>
        <v/>
      </c>
      <c r="Q398">
        <f>IF(B398="","",IF(COUNTIFS($B$2:$B$501,B398,$D$2:$D$501,D398)&gt;1,"DUPLICADA",""))</f>
        <v/>
      </c>
      <c r="R398">
        <f>IF(A398="","",ROUNDUP(MONTH(A398)/3,0))</f>
        <v/>
      </c>
      <c r="S398" s="3" t="n"/>
    </row>
    <row r="399">
      <c r="A399" s="2" t="n"/>
      <c r="B399" s="3" t="n"/>
      <c r="C399" s="3" t="n"/>
      <c r="D399" s="3" t="n"/>
      <c r="E399" s="4" t="n"/>
      <c r="F399" s="4" t="n"/>
      <c r="G399" s="4" t="n"/>
      <c r="H399" s="4" t="n"/>
      <c r="I399" s="5">
        <f>IF(E399="","",ROUND(E399*0.21,2))</f>
        <v/>
      </c>
      <c r="J399" s="5">
        <f>IF(F399="","",ROUND(F399*0.1,2))</f>
        <v/>
      </c>
      <c r="K399" s="5">
        <f>IF(G399="","",ROUND(G399*0.04,2))</f>
        <v/>
      </c>
      <c r="L399" s="4" t="n"/>
      <c r="M399" s="4" t="n"/>
      <c r="N399" s="5">
        <f>IF(A399="","",SUM(E399:K399)-N(L399))</f>
        <v/>
      </c>
      <c r="O399">
        <f>IF(OR(A399="",M399=""),"",IF(ABS(M399-N399)&lt;=0.02,"OK","REVISAR"))</f>
        <v/>
      </c>
      <c r="P399">
        <f>IF(D399="","",IF(LEN(TRIM(D399))&lt;&gt;9,"REVISAR",IFERROR(IF(OR(ISNUMBER(VALUE(LEFT(UPPER(TRIM(D399)),1))),LEFT(UPPER(TRIM(D399)),1)="X",LEFT(UPPER(TRIM(D399)),1)="Y",LEFT(UPPER(TRIM(D399)),1)="Z"),IF(MID("TRWAGMYFPDXBNJZSQVHLCKE",MOD(VALUE(SUBSTITUTE(SUBSTITUTE(SUBSTITUTE(LEFT(UPPER(TRIM(D399)),8),"X","0"),"Y","1"),"Z","2")),23)+1,1)=RIGHT(UPPER(TRIM(D399)),1),"OK","REVISAR"),IF(OR(RIGHT(UPPER(TRIM(D399)),1)=TEXT(MOD(10-MOD((VALUE(MID(UPPER(TRIM(D399)),3,1))+VALUE(MID(UPPER(TRIM(D399)),5,1))+VALUE(MID(UPPER(TRIM(D399)),7,1)))+(INT(2*VALUE(MID(UPPER(TRIM(D399)),2,1))/10)+MOD(2*VALUE(MID(UPPER(TRIM(D399)),2,1)),10))+(INT(2*VALUE(MID(UPPER(TRIM(D399)),4,1))/10)+MOD(2*VALUE(MID(UPPER(TRIM(D399)),4,1)),10))+(INT(2*VALUE(MID(UPPER(TRIM(D399)),6,1))/10)+MOD(2*VALUE(MID(UPPER(TRIM(D399)),6,1)),10))+(INT(2*VALUE(MID(UPPER(TRIM(D399)),8,1))/10)+MOD(2*VALUE(MID(UPPER(TRIM(D399)),8,1)),10)),10),10),"0"),RIGHT(UPPER(TRIM(D399)),1)=MID("JABCDEFGHI",MOD(10-MOD((VALUE(MID(UPPER(TRIM(D399)),3,1))+VALUE(MID(UPPER(TRIM(D399)),5,1))+VALUE(MID(UPPER(TRIM(D399)),7,1)))+(INT(2*VALUE(MID(UPPER(TRIM(D399)),2,1))/10)+MOD(2*VALUE(MID(UPPER(TRIM(D399)),2,1)),10))+(INT(2*VALUE(MID(UPPER(TRIM(D399)),4,1))/10)+MOD(2*VALUE(MID(UPPER(TRIM(D399)),4,1)),10))+(INT(2*VALUE(MID(UPPER(TRIM(D399)),6,1))/10)+MOD(2*VALUE(MID(UPPER(TRIM(D399)),6,1)),10))+(INT(2*VALUE(MID(UPPER(TRIM(D399)),8,1))/10)+MOD(2*VALUE(MID(UPPER(TRIM(D399)),8,1)),10)),10),10)+1,1)),"OK","REVISAR")),"REVISAR")))</f>
        <v/>
      </c>
      <c r="Q399">
        <f>IF(B399="","",IF(COUNTIFS($B$2:$B$501,B399,$D$2:$D$501,D399)&gt;1,"DUPLICADA",""))</f>
        <v/>
      </c>
      <c r="R399">
        <f>IF(A399="","",ROUNDUP(MONTH(A399)/3,0))</f>
        <v/>
      </c>
      <c r="S399" s="3" t="n"/>
    </row>
    <row r="400">
      <c r="A400" s="2" t="n"/>
      <c r="B400" s="3" t="n"/>
      <c r="C400" s="3" t="n"/>
      <c r="D400" s="3" t="n"/>
      <c r="E400" s="4" t="n"/>
      <c r="F400" s="4" t="n"/>
      <c r="G400" s="4" t="n"/>
      <c r="H400" s="4" t="n"/>
      <c r="I400" s="5">
        <f>IF(E400="","",ROUND(E400*0.21,2))</f>
        <v/>
      </c>
      <c r="J400" s="5">
        <f>IF(F400="","",ROUND(F400*0.1,2))</f>
        <v/>
      </c>
      <c r="K400" s="5">
        <f>IF(G400="","",ROUND(G400*0.04,2))</f>
        <v/>
      </c>
      <c r="L400" s="4" t="n"/>
      <c r="M400" s="4" t="n"/>
      <c r="N400" s="5">
        <f>IF(A400="","",SUM(E400:K400)-N(L400))</f>
        <v/>
      </c>
      <c r="O400">
        <f>IF(OR(A400="",M400=""),"",IF(ABS(M400-N400)&lt;=0.02,"OK","REVISAR"))</f>
        <v/>
      </c>
      <c r="P400">
        <f>IF(D400="","",IF(LEN(TRIM(D400))&lt;&gt;9,"REVISAR",IFERROR(IF(OR(ISNUMBER(VALUE(LEFT(UPPER(TRIM(D400)),1))),LEFT(UPPER(TRIM(D400)),1)="X",LEFT(UPPER(TRIM(D400)),1)="Y",LEFT(UPPER(TRIM(D400)),1)="Z"),IF(MID("TRWAGMYFPDXBNJZSQVHLCKE",MOD(VALUE(SUBSTITUTE(SUBSTITUTE(SUBSTITUTE(LEFT(UPPER(TRIM(D400)),8),"X","0"),"Y","1"),"Z","2")),23)+1,1)=RIGHT(UPPER(TRIM(D400)),1),"OK","REVISAR"),IF(OR(RIGHT(UPPER(TRIM(D400)),1)=TEXT(MOD(10-MOD((VALUE(MID(UPPER(TRIM(D400)),3,1))+VALUE(MID(UPPER(TRIM(D400)),5,1))+VALUE(MID(UPPER(TRIM(D400)),7,1)))+(INT(2*VALUE(MID(UPPER(TRIM(D400)),2,1))/10)+MOD(2*VALUE(MID(UPPER(TRIM(D400)),2,1)),10))+(INT(2*VALUE(MID(UPPER(TRIM(D400)),4,1))/10)+MOD(2*VALUE(MID(UPPER(TRIM(D400)),4,1)),10))+(INT(2*VALUE(MID(UPPER(TRIM(D400)),6,1))/10)+MOD(2*VALUE(MID(UPPER(TRIM(D400)),6,1)),10))+(INT(2*VALUE(MID(UPPER(TRIM(D400)),8,1))/10)+MOD(2*VALUE(MID(UPPER(TRIM(D400)),8,1)),10)),10),10),"0"),RIGHT(UPPER(TRIM(D400)),1)=MID("JABCDEFGHI",MOD(10-MOD((VALUE(MID(UPPER(TRIM(D400)),3,1))+VALUE(MID(UPPER(TRIM(D400)),5,1))+VALUE(MID(UPPER(TRIM(D400)),7,1)))+(INT(2*VALUE(MID(UPPER(TRIM(D400)),2,1))/10)+MOD(2*VALUE(MID(UPPER(TRIM(D400)),2,1)),10))+(INT(2*VALUE(MID(UPPER(TRIM(D400)),4,1))/10)+MOD(2*VALUE(MID(UPPER(TRIM(D400)),4,1)),10))+(INT(2*VALUE(MID(UPPER(TRIM(D400)),6,1))/10)+MOD(2*VALUE(MID(UPPER(TRIM(D400)),6,1)),10))+(INT(2*VALUE(MID(UPPER(TRIM(D400)),8,1))/10)+MOD(2*VALUE(MID(UPPER(TRIM(D400)),8,1)),10)),10),10)+1,1)),"OK","REVISAR")),"REVISAR")))</f>
        <v/>
      </c>
      <c r="Q400">
        <f>IF(B400="","",IF(COUNTIFS($B$2:$B$501,B400,$D$2:$D$501,D400)&gt;1,"DUPLICADA",""))</f>
        <v/>
      </c>
      <c r="R400">
        <f>IF(A400="","",ROUNDUP(MONTH(A400)/3,0))</f>
        <v/>
      </c>
      <c r="S400" s="3" t="n"/>
    </row>
    <row r="401">
      <c r="A401" s="2" t="n"/>
      <c r="B401" s="3" t="n"/>
      <c r="C401" s="3" t="n"/>
      <c r="D401" s="3" t="n"/>
      <c r="E401" s="4" t="n"/>
      <c r="F401" s="4" t="n"/>
      <c r="G401" s="4" t="n"/>
      <c r="H401" s="4" t="n"/>
      <c r="I401" s="5">
        <f>IF(E401="","",ROUND(E401*0.21,2))</f>
        <v/>
      </c>
      <c r="J401" s="5">
        <f>IF(F401="","",ROUND(F401*0.1,2))</f>
        <v/>
      </c>
      <c r="K401" s="5">
        <f>IF(G401="","",ROUND(G401*0.04,2))</f>
        <v/>
      </c>
      <c r="L401" s="4" t="n"/>
      <c r="M401" s="4" t="n"/>
      <c r="N401" s="5">
        <f>IF(A401="","",SUM(E401:K401)-N(L401))</f>
        <v/>
      </c>
      <c r="O401">
        <f>IF(OR(A401="",M401=""),"",IF(ABS(M401-N401)&lt;=0.02,"OK","REVISAR"))</f>
        <v/>
      </c>
      <c r="P401">
        <f>IF(D401="","",IF(LEN(TRIM(D401))&lt;&gt;9,"REVISAR",IFERROR(IF(OR(ISNUMBER(VALUE(LEFT(UPPER(TRIM(D401)),1))),LEFT(UPPER(TRIM(D401)),1)="X",LEFT(UPPER(TRIM(D401)),1)="Y",LEFT(UPPER(TRIM(D401)),1)="Z"),IF(MID("TRWAGMYFPDXBNJZSQVHLCKE",MOD(VALUE(SUBSTITUTE(SUBSTITUTE(SUBSTITUTE(LEFT(UPPER(TRIM(D401)),8),"X","0"),"Y","1"),"Z","2")),23)+1,1)=RIGHT(UPPER(TRIM(D401)),1),"OK","REVISAR"),IF(OR(RIGHT(UPPER(TRIM(D401)),1)=TEXT(MOD(10-MOD((VALUE(MID(UPPER(TRIM(D401)),3,1))+VALUE(MID(UPPER(TRIM(D401)),5,1))+VALUE(MID(UPPER(TRIM(D401)),7,1)))+(INT(2*VALUE(MID(UPPER(TRIM(D401)),2,1))/10)+MOD(2*VALUE(MID(UPPER(TRIM(D401)),2,1)),10))+(INT(2*VALUE(MID(UPPER(TRIM(D401)),4,1))/10)+MOD(2*VALUE(MID(UPPER(TRIM(D401)),4,1)),10))+(INT(2*VALUE(MID(UPPER(TRIM(D401)),6,1))/10)+MOD(2*VALUE(MID(UPPER(TRIM(D401)),6,1)),10))+(INT(2*VALUE(MID(UPPER(TRIM(D401)),8,1))/10)+MOD(2*VALUE(MID(UPPER(TRIM(D401)),8,1)),10)),10),10),"0"),RIGHT(UPPER(TRIM(D401)),1)=MID("JABCDEFGHI",MOD(10-MOD((VALUE(MID(UPPER(TRIM(D401)),3,1))+VALUE(MID(UPPER(TRIM(D401)),5,1))+VALUE(MID(UPPER(TRIM(D401)),7,1)))+(INT(2*VALUE(MID(UPPER(TRIM(D401)),2,1))/10)+MOD(2*VALUE(MID(UPPER(TRIM(D401)),2,1)),10))+(INT(2*VALUE(MID(UPPER(TRIM(D401)),4,1))/10)+MOD(2*VALUE(MID(UPPER(TRIM(D401)),4,1)),10))+(INT(2*VALUE(MID(UPPER(TRIM(D401)),6,1))/10)+MOD(2*VALUE(MID(UPPER(TRIM(D401)),6,1)),10))+(INT(2*VALUE(MID(UPPER(TRIM(D401)),8,1))/10)+MOD(2*VALUE(MID(UPPER(TRIM(D401)),8,1)),10)),10),10)+1,1)),"OK","REVISAR")),"REVISAR")))</f>
        <v/>
      </c>
      <c r="Q401">
        <f>IF(B401="","",IF(COUNTIFS($B$2:$B$501,B401,$D$2:$D$501,D401)&gt;1,"DUPLICADA",""))</f>
        <v/>
      </c>
      <c r="R401">
        <f>IF(A401="","",ROUNDUP(MONTH(A401)/3,0))</f>
        <v/>
      </c>
      <c r="S401" s="3" t="n"/>
    </row>
    <row r="402">
      <c r="A402" s="2" t="n"/>
      <c r="B402" s="3" t="n"/>
      <c r="C402" s="3" t="n"/>
      <c r="D402" s="3" t="n"/>
      <c r="E402" s="4" t="n"/>
      <c r="F402" s="4" t="n"/>
      <c r="G402" s="4" t="n"/>
      <c r="H402" s="4" t="n"/>
      <c r="I402" s="5">
        <f>IF(E402="","",ROUND(E402*0.21,2))</f>
        <v/>
      </c>
      <c r="J402" s="5">
        <f>IF(F402="","",ROUND(F402*0.1,2))</f>
        <v/>
      </c>
      <c r="K402" s="5">
        <f>IF(G402="","",ROUND(G402*0.04,2))</f>
        <v/>
      </c>
      <c r="L402" s="4" t="n"/>
      <c r="M402" s="4" t="n"/>
      <c r="N402" s="5">
        <f>IF(A402="","",SUM(E402:K402)-N(L402))</f>
        <v/>
      </c>
      <c r="O402">
        <f>IF(OR(A402="",M402=""),"",IF(ABS(M402-N402)&lt;=0.02,"OK","REVISAR"))</f>
        <v/>
      </c>
      <c r="P402">
        <f>IF(D402="","",IF(LEN(TRIM(D402))&lt;&gt;9,"REVISAR",IFERROR(IF(OR(ISNUMBER(VALUE(LEFT(UPPER(TRIM(D402)),1))),LEFT(UPPER(TRIM(D402)),1)="X",LEFT(UPPER(TRIM(D402)),1)="Y",LEFT(UPPER(TRIM(D402)),1)="Z"),IF(MID("TRWAGMYFPDXBNJZSQVHLCKE",MOD(VALUE(SUBSTITUTE(SUBSTITUTE(SUBSTITUTE(LEFT(UPPER(TRIM(D402)),8),"X","0"),"Y","1"),"Z","2")),23)+1,1)=RIGHT(UPPER(TRIM(D402)),1),"OK","REVISAR"),IF(OR(RIGHT(UPPER(TRIM(D402)),1)=TEXT(MOD(10-MOD((VALUE(MID(UPPER(TRIM(D402)),3,1))+VALUE(MID(UPPER(TRIM(D402)),5,1))+VALUE(MID(UPPER(TRIM(D402)),7,1)))+(INT(2*VALUE(MID(UPPER(TRIM(D402)),2,1))/10)+MOD(2*VALUE(MID(UPPER(TRIM(D402)),2,1)),10))+(INT(2*VALUE(MID(UPPER(TRIM(D402)),4,1))/10)+MOD(2*VALUE(MID(UPPER(TRIM(D402)),4,1)),10))+(INT(2*VALUE(MID(UPPER(TRIM(D402)),6,1))/10)+MOD(2*VALUE(MID(UPPER(TRIM(D402)),6,1)),10))+(INT(2*VALUE(MID(UPPER(TRIM(D402)),8,1))/10)+MOD(2*VALUE(MID(UPPER(TRIM(D402)),8,1)),10)),10),10),"0"),RIGHT(UPPER(TRIM(D402)),1)=MID("JABCDEFGHI",MOD(10-MOD((VALUE(MID(UPPER(TRIM(D402)),3,1))+VALUE(MID(UPPER(TRIM(D402)),5,1))+VALUE(MID(UPPER(TRIM(D402)),7,1)))+(INT(2*VALUE(MID(UPPER(TRIM(D402)),2,1))/10)+MOD(2*VALUE(MID(UPPER(TRIM(D402)),2,1)),10))+(INT(2*VALUE(MID(UPPER(TRIM(D402)),4,1))/10)+MOD(2*VALUE(MID(UPPER(TRIM(D402)),4,1)),10))+(INT(2*VALUE(MID(UPPER(TRIM(D402)),6,1))/10)+MOD(2*VALUE(MID(UPPER(TRIM(D402)),6,1)),10))+(INT(2*VALUE(MID(UPPER(TRIM(D402)),8,1))/10)+MOD(2*VALUE(MID(UPPER(TRIM(D402)),8,1)),10)),10),10)+1,1)),"OK","REVISAR")),"REVISAR")))</f>
        <v/>
      </c>
      <c r="Q402">
        <f>IF(B402="","",IF(COUNTIFS($B$2:$B$501,B402,$D$2:$D$501,D402)&gt;1,"DUPLICADA",""))</f>
        <v/>
      </c>
      <c r="R402">
        <f>IF(A402="","",ROUNDUP(MONTH(A402)/3,0))</f>
        <v/>
      </c>
      <c r="S402" s="3" t="n"/>
    </row>
    <row r="403">
      <c r="A403" s="2" t="n"/>
      <c r="B403" s="3" t="n"/>
      <c r="C403" s="3" t="n"/>
      <c r="D403" s="3" t="n"/>
      <c r="E403" s="4" t="n"/>
      <c r="F403" s="4" t="n"/>
      <c r="G403" s="4" t="n"/>
      <c r="H403" s="4" t="n"/>
      <c r="I403" s="5">
        <f>IF(E403="","",ROUND(E403*0.21,2))</f>
        <v/>
      </c>
      <c r="J403" s="5">
        <f>IF(F403="","",ROUND(F403*0.1,2))</f>
        <v/>
      </c>
      <c r="K403" s="5">
        <f>IF(G403="","",ROUND(G403*0.04,2))</f>
        <v/>
      </c>
      <c r="L403" s="4" t="n"/>
      <c r="M403" s="4" t="n"/>
      <c r="N403" s="5">
        <f>IF(A403="","",SUM(E403:K403)-N(L403))</f>
        <v/>
      </c>
      <c r="O403">
        <f>IF(OR(A403="",M403=""),"",IF(ABS(M403-N403)&lt;=0.02,"OK","REVISAR"))</f>
        <v/>
      </c>
      <c r="P403">
        <f>IF(D403="","",IF(LEN(TRIM(D403))&lt;&gt;9,"REVISAR",IFERROR(IF(OR(ISNUMBER(VALUE(LEFT(UPPER(TRIM(D403)),1))),LEFT(UPPER(TRIM(D403)),1)="X",LEFT(UPPER(TRIM(D403)),1)="Y",LEFT(UPPER(TRIM(D403)),1)="Z"),IF(MID("TRWAGMYFPDXBNJZSQVHLCKE",MOD(VALUE(SUBSTITUTE(SUBSTITUTE(SUBSTITUTE(LEFT(UPPER(TRIM(D403)),8),"X","0"),"Y","1"),"Z","2")),23)+1,1)=RIGHT(UPPER(TRIM(D403)),1),"OK","REVISAR"),IF(OR(RIGHT(UPPER(TRIM(D403)),1)=TEXT(MOD(10-MOD((VALUE(MID(UPPER(TRIM(D403)),3,1))+VALUE(MID(UPPER(TRIM(D403)),5,1))+VALUE(MID(UPPER(TRIM(D403)),7,1)))+(INT(2*VALUE(MID(UPPER(TRIM(D403)),2,1))/10)+MOD(2*VALUE(MID(UPPER(TRIM(D403)),2,1)),10))+(INT(2*VALUE(MID(UPPER(TRIM(D403)),4,1))/10)+MOD(2*VALUE(MID(UPPER(TRIM(D403)),4,1)),10))+(INT(2*VALUE(MID(UPPER(TRIM(D403)),6,1))/10)+MOD(2*VALUE(MID(UPPER(TRIM(D403)),6,1)),10))+(INT(2*VALUE(MID(UPPER(TRIM(D403)),8,1))/10)+MOD(2*VALUE(MID(UPPER(TRIM(D403)),8,1)),10)),10),10),"0"),RIGHT(UPPER(TRIM(D403)),1)=MID("JABCDEFGHI",MOD(10-MOD((VALUE(MID(UPPER(TRIM(D403)),3,1))+VALUE(MID(UPPER(TRIM(D403)),5,1))+VALUE(MID(UPPER(TRIM(D403)),7,1)))+(INT(2*VALUE(MID(UPPER(TRIM(D403)),2,1))/10)+MOD(2*VALUE(MID(UPPER(TRIM(D403)),2,1)),10))+(INT(2*VALUE(MID(UPPER(TRIM(D403)),4,1))/10)+MOD(2*VALUE(MID(UPPER(TRIM(D403)),4,1)),10))+(INT(2*VALUE(MID(UPPER(TRIM(D403)),6,1))/10)+MOD(2*VALUE(MID(UPPER(TRIM(D403)),6,1)),10))+(INT(2*VALUE(MID(UPPER(TRIM(D403)),8,1))/10)+MOD(2*VALUE(MID(UPPER(TRIM(D403)),8,1)),10)),10),10)+1,1)),"OK","REVISAR")),"REVISAR")))</f>
        <v/>
      </c>
      <c r="Q403">
        <f>IF(B403="","",IF(COUNTIFS($B$2:$B$501,B403,$D$2:$D$501,D403)&gt;1,"DUPLICADA",""))</f>
        <v/>
      </c>
      <c r="R403">
        <f>IF(A403="","",ROUNDUP(MONTH(A403)/3,0))</f>
        <v/>
      </c>
      <c r="S403" s="3" t="n"/>
    </row>
    <row r="404">
      <c r="A404" s="2" t="n"/>
      <c r="B404" s="3" t="n"/>
      <c r="C404" s="3" t="n"/>
      <c r="D404" s="3" t="n"/>
      <c r="E404" s="4" t="n"/>
      <c r="F404" s="4" t="n"/>
      <c r="G404" s="4" t="n"/>
      <c r="H404" s="4" t="n"/>
      <c r="I404" s="5">
        <f>IF(E404="","",ROUND(E404*0.21,2))</f>
        <v/>
      </c>
      <c r="J404" s="5">
        <f>IF(F404="","",ROUND(F404*0.1,2))</f>
        <v/>
      </c>
      <c r="K404" s="5">
        <f>IF(G404="","",ROUND(G404*0.04,2))</f>
        <v/>
      </c>
      <c r="L404" s="4" t="n"/>
      <c r="M404" s="4" t="n"/>
      <c r="N404" s="5">
        <f>IF(A404="","",SUM(E404:K404)-N(L404))</f>
        <v/>
      </c>
      <c r="O404">
        <f>IF(OR(A404="",M404=""),"",IF(ABS(M404-N404)&lt;=0.02,"OK","REVISAR"))</f>
        <v/>
      </c>
      <c r="P404">
        <f>IF(D404="","",IF(LEN(TRIM(D404))&lt;&gt;9,"REVISAR",IFERROR(IF(OR(ISNUMBER(VALUE(LEFT(UPPER(TRIM(D404)),1))),LEFT(UPPER(TRIM(D404)),1)="X",LEFT(UPPER(TRIM(D404)),1)="Y",LEFT(UPPER(TRIM(D404)),1)="Z"),IF(MID("TRWAGMYFPDXBNJZSQVHLCKE",MOD(VALUE(SUBSTITUTE(SUBSTITUTE(SUBSTITUTE(LEFT(UPPER(TRIM(D404)),8),"X","0"),"Y","1"),"Z","2")),23)+1,1)=RIGHT(UPPER(TRIM(D404)),1),"OK","REVISAR"),IF(OR(RIGHT(UPPER(TRIM(D404)),1)=TEXT(MOD(10-MOD((VALUE(MID(UPPER(TRIM(D404)),3,1))+VALUE(MID(UPPER(TRIM(D404)),5,1))+VALUE(MID(UPPER(TRIM(D404)),7,1)))+(INT(2*VALUE(MID(UPPER(TRIM(D404)),2,1))/10)+MOD(2*VALUE(MID(UPPER(TRIM(D404)),2,1)),10))+(INT(2*VALUE(MID(UPPER(TRIM(D404)),4,1))/10)+MOD(2*VALUE(MID(UPPER(TRIM(D404)),4,1)),10))+(INT(2*VALUE(MID(UPPER(TRIM(D404)),6,1))/10)+MOD(2*VALUE(MID(UPPER(TRIM(D404)),6,1)),10))+(INT(2*VALUE(MID(UPPER(TRIM(D404)),8,1))/10)+MOD(2*VALUE(MID(UPPER(TRIM(D404)),8,1)),10)),10),10),"0"),RIGHT(UPPER(TRIM(D404)),1)=MID("JABCDEFGHI",MOD(10-MOD((VALUE(MID(UPPER(TRIM(D404)),3,1))+VALUE(MID(UPPER(TRIM(D404)),5,1))+VALUE(MID(UPPER(TRIM(D404)),7,1)))+(INT(2*VALUE(MID(UPPER(TRIM(D404)),2,1))/10)+MOD(2*VALUE(MID(UPPER(TRIM(D404)),2,1)),10))+(INT(2*VALUE(MID(UPPER(TRIM(D404)),4,1))/10)+MOD(2*VALUE(MID(UPPER(TRIM(D404)),4,1)),10))+(INT(2*VALUE(MID(UPPER(TRIM(D404)),6,1))/10)+MOD(2*VALUE(MID(UPPER(TRIM(D404)),6,1)),10))+(INT(2*VALUE(MID(UPPER(TRIM(D404)),8,1))/10)+MOD(2*VALUE(MID(UPPER(TRIM(D404)),8,1)),10)),10),10)+1,1)),"OK","REVISAR")),"REVISAR")))</f>
        <v/>
      </c>
      <c r="Q404">
        <f>IF(B404="","",IF(COUNTIFS($B$2:$B$501,B404,$D$2:$D$501,D404)&gt;1,"DUPLICADA",""))</f>
        <v/>
      </c>
      <c r="R404">
        <f>IF(A404="","",ROUNDUP(MONTH(A404)/3,0))</f>
        <v/>
      </c>
      <c r="S404" s="3" t="n"/>
    </row>
    <row r="405">
      <c r="A405" s="2" t="n"/>
      <c r="B405" s="3" t="n"/>
      <c r="C405" s="3" t="n"/>
      <c r="D405" s="3" t="n"/>
      <c r="E405" s="4" t="n"/>
      <c r="F405" s="4" t="n"/>
      <c r="G405" s="4" t="n"/>
      <c r="H405" s="4" t="n"/>
      <c r="I405" s="5">
        <f>IF(E405="","",ROUND(E405*0.21,2))</f>
        <v/>
      </c>
      <c r="J405" s="5">
        <f>IF(F405="","",ROUND(F405*0.1,2))</f>
        <v/>
      </c>
      <c r="K405" s="5">
        <f>IF(G405="","",ROUND(G405*0.04,2))</f>
        <v/>
      </c>
      <c r="L405" s="4" t="n"/>
      <c r="M405" s="4" t="n"/>
      <c r="N405" s="5">
        <f>IF(A405="","",SUM(E405:K405)-N(L405))</f>
        <v/>
      </c>
      <c r="O405">
        <f>IF(OR(A405="",M405=""),"",IF(ABS(M405-N405)&lt;=0.02,"OK","REVISAR"))</f>
        <v/>
      </c>
      <c r="P405">
        <f>IF(D405="","",IF(LEN(TRIM(D405))&lt;&gt;9,"REVISAR",IFERROR(IF(OR(ISNUMBER(VALUE(LEFT(UPPER(TRIM(D405)),1))),LEFT(UPPER(TRIM(D405)),1)="X",LEFT(UPPER(TRIM(D405)),1)="Y",LEFT(UPPER(TRIM(D405)),1)="Z"),IF(MID("TRWAGMYFPDXBNJZSQVHLCKE",MOD(VALUE(SUBSTITUTE(SUBSTITUTE(SUBSTITUTE(LEFT(UPPER(TRIM(D405)),8),"X","0"),"Y","1"),"Z","2")),23)+1,1)=RIGHT(UPPER(TRIM(D405)),1),"OK","REVISAR"),IF(OR(RIGHT(UPPER(TRIM(D405)),1)=TEXT(MOD(10-MOD((VALUE(MID(UPPER(TRIM(D405)),3,1))+VALUE(MID(UPPER(TRIM(D405)),5,1))+VALUE(MID(UPPER(TRIM(D405)),7,1)))+(INT(2*VALUE(MID(UPPER(TRIM(D405)),2,1))/10)+MOD(2*VALUE(MID(UPPER(TRIM(D405)),2,1)),10))+(INT(2*VALUE(MID(UPPER(TRIM(D405)),4,1))/10)+MOD(2*VALUE(MID(UPPER(TRIM(D405)),4,1)),10))+(INT(2*VALUE(MID(UPPER(TRIM(D405)),6,1))/10)+MOD(2*VALUE(MID(UPPER(TRIM(D405)),6,1)),10))+(INT(2*VALUE(MID(UPPER(TRIM(D405)),8,1))/10)+MOD(2*VALUE(MID(UPPER(TRIM(D405)),8,1)),10)),10),10),"0"),RIGHT(UPPER(TRIM(D405)),1)=MID("JABCDEFGHI",MOD(10-MOD((VALUE(MID(UPPER(TRIM(D405)),3,1))+VALUE(MID(UPPER(TRIM(D405)),5,1))+VALUE(MID(UPPER(TRIM(D405)),7,1)))+(INT(2*VALUE(MID(UPPER(TRIM(D405)),2,1))/10)+MOD(2*VALUE(MID(UPPER(TRIM(D405)),2,1)),10))+(INT(2*VALUE(MID(UPPER(TRIM(D405)),4,1))/10)+MOD(2*VALUE(MID(UPPER(TRIM(D405)),4,1)),10))+(INT(2*VALUE(MID(UPPER(TRIM(D405)),6,1))/10)+MOD(2*VALUE(MID(UPPER(TRIM(D405)),6,1)),10))+(INT(2*VALUE(MID(UPPER(TRIM(D405)),8,1))/10)+MOD(2*VALUE(MID(UPPER(TRIM(D405)),8,1)),10)),10),10)+1,1)),"OK","REVISAR")),"REVISAR")))</f>
        <v/>
      </c>
      <c r="Q405">
        <f>IF(B405="","",IF(COUNTIFS($B$2:$B$501,B405,$D$2:$D$501,D405)&gt;1,"DUPLICADA",""))</f>
        <v/>
      </c>
      <c r="R405">
        <f>IF(A405="","",ROUNDUP(MONTH(A405)/3,0))</f>
        <v/>
      </c>
      <c r="S405" s="3" t="n"/>
    </row>
    <row r="406">
      <c r="A406" s="2" t="n"/>
      <c r="B406" s="3" t="n"/>
      <c r="C406" s="3" t="n"/>
      <c r="D406" s="3" t="n"/>
      <c r="E406" s="4" t="n"/>
      <c r="F406" s="4" t="n"/>
      <c r="G406" s="4" t="n"/>
      <c r="H406" s="4" t="n"/>
      <c r="I406" s="5">
        <f>IF(E406="","",ROUND(E406*0.21,2))</f>
        <v/>
      </c>
      <c r="J406" s="5">
        <f>IF(F406="","",ROUND(F406*0.1,2))</f>
        <v/>
      </c>
      <c r="K406" s="5">
        <f>IF(G406="","",ROUND(G406*0.04,2))</f>
        <v/>
      </c>
      <c r="L406" s="4" t="n"/>
      <c r="M406" s="4" t="n"/>
      <c r="N406" s="5">
        <f>IF(A406="","",SUM(E406:K406)-N(L406))</f>
        <v/>
      </c>
      <c r="O406">
        <f>IF(OR(A406="",M406=""),"",IF(ABS(M406-N406)&lt;=0.02,"OK","REVISAR"))</f>
        <v/>
      </c>
      <c r="P406">
        <f>IF(D406="","",IF(LEN(TRIM(D406))&lt;&gt;9,"REVISAR",IFERROR(IF(OR(ISNUMBER(VALUE(LEFT(UPPER(TRIM(D406)),1))),LEFT(UPPER(TRIM(D406)),1)="X",LEFT(UPPER(TRIM(D406)),1)="Y",LEFT(UPPER(TRIM(D406)),1)="Z"),IF(MID("TRWAGMYFPDXBNJZSQVHLCKE",MOD(VALUE(SUBSTITUTE(SUBSTITUTE(SUBSTITUTE(LEFT(UPPER(TRIM(D406)),8),"X","0"),"Y","1"),"Z","2")),23)+1,1)=RIGHT(UPPER(TRIM(D406)),1),"OK","REVISAR"),IF(OR(RIGHT(UPPER(TRIM(D406)),1)=TEXT(MOD(10-MOD((VALUE(MID(UPPER(TRIM(D406)),3,1))+VALUE(MID(UPPER(TRIM(D406)),5,1))+VALUE(MID(UPPER(TRIM(D406)),7,1)))+(INT(2*VALUE(MID(UPPER(TRIM(D406)),2,1))/10)+MOD(2*VALUE(MID(UPPER(TRIM(D406)),2,1)),10))+(INT(2*VALUE(MID(UPPER(TRIM(D406)),4,1))/10)+MOD(2*VALUE(MID(UPPER(TRIM(D406)),4,1)),10))+(INT(2*VALUE(MID(UPPER(TRIM(D406)),6,1))/10)+MOD(2*VALUE(MID(UPPER(TRIM(D406)),6,1)),10))+(INT(2*VALUE(MID(UPPER(TRIM(D406)),8,1))/10)+MOD(2*VALUE(MID(UPPER(TRIM(D406)),8,1)),10)),10),10),"0"),RIGHT(UPPER(TRIM(D406)),1)=MID("JABCDEFGHI",MOD(10-MOD((VALUE(MID(UPPER(TRIM(D406)),3,1))+VALUE(MID(UPPER(TRIM(D406)),5,1))+VALUE(MID(UPPER(TRIM(D406)),7,1)))+(INT(2*VALUE(MID(UPPER(TRIM(D406)),2,1))/10)+MOD(2*VALUE(MID(UPPER(TRIM(D406)),2,1)),10))+(INT(2*VALUE(MID(UPPER(TRIM(D406)),4,1))/10)+MOD(2*VALUE(MID(UPPER(TRIM(D406)),4,1)),10))+(INT(2*VALUE(MID(UPPER(TRIM(D406)),6,1))/10)+MOD(2*VALUE(MID(UPPER(TRIM(D406)),6,1)),10))+(INT(2*VALUE(MID(UPPER(TRIM(D406)),8,1))/10)+MOD(2*VALUE(MID(UPPER(TRIM(D406)),8,1)),10)),10),10)+1,1)),"OK","REVISAR")),"REVISAR")))</f>
        <v/>
      </c>
      <c r="Q406">
        <f>IF(B406="","",IF(COUNTIFS($B$2:$B$501,B406,$D$2:$D$501,D406)&gt;1,"DUPLICADA",""))</f>
        <v/>
      </c>
      <c r="R406">
        <f>IF(A406="","",ROUNDUP(MONTH(A406)/3,0))</f>
        <v/>
      </c>
      <c r="S406" s="3" t="n"/>
    </row>
    <row r="407">
      <c r="A407" s="2" t="n"/>
      <c r="B407" s="3" t="n"/>
      <c r="C407" s="3" t="n"/>
      <c r="D407" s="3" t="n"/>
      <c r="E407" s="4" t="n"/>
      <c r="F407" s="4" t="n"/>
      <c r="G407" s="4" t="n"/>
      <c r="H407" s="4" t="n"/>
      <c r="I407" s="5">
        <f>IF(E407="","",ROUND(E407*0.21,2))</f>
        <v/>
      </c>
      <c r="J407" s="5">
        <f>IF(F407="","",ROUND(F407*0.1,2))</f>
        <v/>
      </c>
      <c r="K407" s="5">
        <f>IF(G407="","",ROUND(G407*0.04,2))</f>
        <v/>
      </c>
      <c r="L407" s="4" t="n"/>
      <c r="M407" s="4" t="n"/>
      <c r="N407" s="5">
        <f>IF(A407="","",SUM(E407:K407)-N(L407))</f>
        <v/>
      </c>
      <c r="O407">
        <f>IF(OR(A407="",M407=""),"",IF(ABS(M407-N407)&lt;=0.02,"OK","REVISAR"))</f>
        <v/>
      </c>
      <c r="P407">
        <f>IF(D407="","",IF(LEN(TRIM(D407))&lt;&gt;9,"REVISAR",IFERROR(IF(OR(ISNUMBER(VALUE(LEFT(UPPER(TRIM(D407)),1))),LEFT(UPPER(TRIM(D407)),1)="X",LEFT(UPPER(TRIM(D407)),1)="Y",LEFT(UPPER(TRIM(D407)),1)="Z"),IF(MID("TRWAGMYFPDXBNJZSQVHLCKE",MOD(VALUE(SUBSTITUTE(SUBSTITUTE(SUBSTITUTE(LEFT(UPPER(TRIM(D407)),8),"X","0"),"Y","1"),"Z","2")),23)+1,1)=RIGHT(UPPER(TRIM(D407)),1),"OK","REVISAR"),IF(OR(RIGHT(UPPER(TRIM(D407)),1)=TEXT(MOD(10-MOD((VALUE(MID(UPPER(TRIM(D407)),3,1))+VALUE(MID(UPPER(TRIM(D407)),5,1))+VALUE(MID(UPPER(TRIM(D407)),7,1)))+(INT(2*VALUE(MID(UPPER(TRIM(D407)),2,1))/10)+MOD(2*VALUE(MID(UPPER(TRIM(D407)),2,1)),10))+(INT(2*VALUE(MID(UPPER(TRIM(D407)),4,1))/10)+MOD(2*VALUE(MID(UPPER(TRIM(D407)),4,1)),10))+(INT(2*VALUE(MID(UPPER(TRIM(D407)),6,1))/10)+MOD(2*VALUE(MID(UPPER(TRIM(D407)),6,1)),10))+(INT(2*VALUE(MID(UPPER(TRIM(D407)),8,1))/10)+MOD(2*VALUE(MID(UPPER(TRIM(D407)),8,1)),10)),10),10),"0"),RIGHT(UPPER(TRIM(D407)),1)=MID("JABCDEFGHI",MOD(10-MOD((VALUE(MID(UPPER(TRIM(D407)),3,1))+VALUE(MID(UPPER(TRIM(D407)),5,1))+VALUE(MID(UPPER(TRIM(D407)),7,1)))+(INT(2*VALUE(MID(UPPER(TRIM(D407)),2,1))/10)+MOD(2*VALUE(MID(UPPER(TRIM(D407)),2,1)),10))+(INT(2*VALUE(MID(UPPER(TRIM(D407)),4,1))/10)+MOD(2*VALUE(MID(UPPER(TRIM(D407)),4,1)),10))+(INT(2*VALUE(MID(UPPER(TRIM(D407)),6,1))/10)+MOD(2*VALUE(MID(UPPER(TRIM(D407)),6,1)),10))+(INT(2*VALUE(MID(UPPER(TRIM(D407)),8,1))/10)+MOD(2*VALUE(MID(UPPER(TRIM(D407)),8,1)),10)),10),10)+1,1)),"OK","REVISAR")),"REVISAR")))</f>
        <v/>
      </c>
      <c r="Q407">
        <f>IF(B407="","",IF(COUNTIFS($B$2:$B$501,B407,$D$2:$D$501,D407)&gt;1,"DUPLICADA",""))</f>
        <v/>
      </c>
      <c r="R407">
        <f>IF(A407="","",ROUNDUP(MONTH(A407)/3,0))</f>
        <v/>
      </c>
      <c r="S407" s="3" t="n"/>
    </row>
    <row r="408">
      <c r="A408" s="2" t="n"/>
      <c r="B408" s="3" t="n"/>
      <c r="C408" s="3" t="n"/>
      <c r="D408" s="3" t="n"/>
      <c r="E408" s="4" t="n"/>
      <c r="F408" s="4" t="n"/>
      <c r="G408" s="4" t="n"/>
      <c r="H408" s="4" t="n"/>
      <c r="I408" s="5">
        <f>IF(E408="","",ROUND(E408*0.21,2))</f>
        <v/>
      </c>
      <c r="J408" s="5">
        <f>IF(F408="","",ROUND(F408*0.1,2))</f>
        <v/>
      </c>
      <c r="K408" s="5">
        <f>IF(G408="","",ROUND(G408*0.04,2))</f>
        <v/>
      </c>
      <c r="L408" s="4" t="n"/>
      <c r="M408" s="4" t="n"/>
      <c r="N408" s="5">
        <f>IF(A408="","",SUM(E408:K408)-N(L408))</f>
        <v/>
      </c>
      <c r="O408">
        <f>IF(OR(A408="",M408=""),"",IF(ABS(M408-N408)&lt;=0.02,"OK","REVISAR"))</f>
        <v/>
      </c>
      <c r="P408">
        <f>IF(D408="","",IF(LEN(TRIM(D408))&lt;&gt;9,"REVISAR",IFERROR(IF(OR(ISNUMBER(VALUE(LEFT(UPPER(TRIM(D408)),1))),LEFT(UPPER(TRIM(D408)),1)="X",LEFT(UPPER(TRIM(D408)),1)="Y",LEFT(UPPER(TRIM(D408)),1)="Z"),IF(MID("TRWAGMYFPDXBNJZSQVHLCKE",MOD(VALUE(SUBSTITUTE(SUBSTITUTE(SUBSTITUTE(LEFT(UPPER(TRIM(D408)),8),"X","0"),"Y","1"),"Z","2")),23)+1,1)=RIGHT(UPPER(TRIM(D408)),1),"OK","REVISAR"),IF(OR(RIGHT(UPPER(TRIM(D408)),1)=TEXT(MOD(10-MOD((VALUE(MID(UPPER(TRIM(D408)),3,1))+VALUE(MID(UPPER(TRIM(D408)),5,1))+VALUE(MID(UPPER(TRIM(D408)),7,1)))+(INT(2*VALUE(MID(UPPER(TRIM(D408)),2,1))/10)+MOD(2*VALUE(MID(UPPER(TRIM(D408)),2,1)),10))+(INT(2*VALUE(MID(UPPER(TRIM(D408)),4,1))/10)+MOD(2*VALUE(MID(UPPER(TRIM(D408)),4,1)),10))+(INT(2*VALUE(MID(UPPER(TRIM(D408)),6,1))/10)+MOD(2*VALUE(MID(UPPER(TRIM(D408)),6,1)),10))+(INT(2*VALUE(MID(UPPER(TRIM(D408)),8,1))/10)+MOD(2*VALUE(MID(UPPER(TRIM(D408)),8,1)),10)),10),10),"0"),RIGHT(UPPER(TRIM(D408)),1)=MID("JABCDEFGHI",MOD(10-MOD((VALUE(MID(UPPER(TRIM(D408)),3,1))+VALUE(MID(UPPER(TRIM(D408)),5,1))+VALUE(MID(UPPER(TRIM(D408)),7,1)))+(INT(2*VALUE(MID(UPPER(TRIM(D408)),2,1))/10)+MOD(2*VALUE(MID(UPPER(TRIM(D408)),2,1)),10))+(INT(2*VALUE(MID(UPPER(TRIM(D408)),4,1))/10)+MOD(2*VALUE(MID(UPPER(TRIM(D408)),4,1)),10))+(INT(2*VALUE(MID(UPPER(TRIM(D408)),6,1))/10)+MOD(2*VALUE(MID(UPPER(TRIM(D408)),6,1)),10))+(INT(2*VALUE(MID(UPPER(TRIM(D408)),8,1))/10)+MOD(2*VALUE(MID(UPPER(TRIM(D408)),8,1)),10)),10),10)+1,1)),"OK","REVISAR")),"REVISAR")))</f>
        <v/>
      </c>
      <c r="Q408">
        <f>IF(B408="","",IF(COUNTIFS($B$2:$B$501,B408,$D$2:$D$501,D408)&gt;1,"DUPLICADA",""))</f>
        <v/>
      </c>
      <c r="R408">
        <f>IF(A408="","",ROUNDUP(MONTH(A408)/3,0))</f>
        <v/>
      </c>
      <c r="S408" s="3" t="n"/>
    </row>
    <row r="409">
      <c r="A409" s="2" t="n"/>
      <c r="B409" s="3" t="n"/>
      <c r="C409" s="3" t="n"/>
      <c r="D409" s="3" t="n"/>
      <c r="E409" s="4" t="n"/>
      <c r="F409" s="4" t="n"/>
      <c r="G409" s="4" t="n"/>
      <c r="H409" s="4" t="n"/>
      <c r="I409" s="5">
        <f>IF(E409="","",ROUND(E409*0.21,2))</f>
        <v/>
      </c>
      <c r="J409" s="5">
        <f>IF(F409="","",ROUND(F409*0.1,2))</f>
        <v/>
      </c>
      <c r="K409" s="5">
        <f>IF(G409="","",ROUND(G409*0.04,2))</f>
        <v/>
      </c>
      <c r="L409" s="4" t="n"/>
      <c r="M409" s="4" t="n"/>
      <c r="N409" s="5">
        <f>IF(A409="","",SUM(E409:K409)-N(L409))</f>
        <v/>
      </c>
      <c r="O409">
        <f>IF(OR(A409="",M409=""),"",IF(ABS(M409-N409)&lt;=0.02,"OK","REVISAR"))</f>
        <v/>
      </c>
      <c r="P409">
        <f>IF(D409="","",IF(LEN(TRIM(D409))&lt;&gt;9,"REVISAR",IFERROR(IF(OR(ISNUMBER(VALUE(LEFT(UPPER(TRIM(D409)),1))),LEFT(UPPER(TRIM(D409)),1)="X",LEFT(UPPER(TRIM(D409)),1)="Y",LEFT(UPPER(TRIM(D409)),1)="Z"),IF(MID("TRWAGMYFPDXBNJZSQVHLCKE",MOD(VALUE(SUBSTITUTE(SUBSTITUTE(SUBSTITUTE(LEFT(UPPER(TRIM(D409)),8),"X","0"),"Y","1"),"Z","2")),23)+1,1)=RIGHT(UPPER(TRIM(D409)),1),"OK","REVISAR"),IF(OR(RIGHT(UPPER(TRIM(D409)),1)=TEXT(MOD(10-MOD((VALUE(MID(UPPER(TRIM(D409)),3,1))+VALUE(MID(UPPER(TRIM(D409)),5,1))+VALUE(MID(UPPER(TRIM(D409)),7,1)))+(INT(2*VALUE(MID(UPPER(TRIM(D409)),2,1))/10)+MOD(2*VALUE(MID(UPPER(TRIM(D409)),2,1)),10))+(INT(2*VALUE(MID(UPPER(TRIM(D409)),4,1))/10)+MOD(2*VALUE(MID(UPPER(TRIM(D409)),4,1)),10))+(INT(2*VALUE(MID(UPPER(TRIM(D409)),6,1))/10)+MOD(2*VALUE(MID(UPPER(TRIM(D409)),6,1)),10))+(INT(2*VALUE(MID(UPPER(TRIM(D409)),8,1))/10)+MOD(2*VALUE(MID(UPPER(TRIM(D409)),8,1)),10)),10),10),"0"),RIGHT(UPPER(TRIM(D409)),1)=MID("JABCDEFGHI",MOD(10-MOD((VALUE(MID(UPPER(TRIM(D409)),3,1))+VALUE(MID(UPPER(TRIM(D409)),5,1))+VALUE(MID(UPPER(TRIM(D409)),7,1)))+(INT(2*VALUE(MID(UPPER(TRIM(D409)),2,1))/10)+MOD(2*VALUE(MID(UPPER(TRIM(D409)),2,1)),10))+(INT(2*VALUE(MID(UPPER(TRIM(D409)),4,1))/10)+MOD(2*VALUE(MID(UPPER(TRIM(D409)),4,1)),10))+(INT(2*VALUE(MID(UPPER(TRIM(D409)),6,1))/10)+MOD(2*VALUE(MID(UPPER(TRIM(D409)),6,1)),10))+(INT(2*VALUE(MID(UPPER(TRIM(D409)),8,1))/10)+MOD(2*VALUE(MID(UPPER(TRIM(D409)),8,1)),10)),10),10)+1,1)),"OK","REVISAR")),"REVISAR")))</f>
        <v/>
      </c>
      <c r="Q409">
        <f>IF(B409="","",IF(COUNTIFS($B$2:$B$501,B409,$D$2:$D$501,D409)&gt;1,"DUPLICADA",""))</f>
        <v/>
      </c>
      <c r="R409">
        <f>IF(A409="","",ROUNDUP(MONTH(A409)/3,0))</f>
        <v/>
      </c>
      <c r="S409" s="3" t="n"/>
    </row>
    <row r="410">
      <c r="A410" s="2" t="n"/>
      <c r="B410" s="3" t="n"/>
      <c r="C410" s="3" t="n"/>
      <c r="D410" s="3" t="n"/>
      <c r="E410" s="4" t="n"/>
      <c r="F410" s="4" t="n"/>
      <c r="G410" s="4" t="n"/>
      <c r="H410" s="4" t="n"/>
      <c r="I410" s="5">
        <f>IF(E410="","",ROUND(E410*0.21,2))</f>
        <v/>
      </c>
      <c r="J410" s="5">
        <f>IF(F410="","",ROUND(F410*0.1,2))</f>
        <v/>
      </c>
      <c r="K410" s="5">
        <f>IF(G410="","",ROUND(G410*0.04,2))</f>
        <v/>
      </c>
      <c r="L410" s="4" t="n"/>
      <c r="M410" s="4" t="n"/>
      <c r="N410" s="5">
        <f>IF(A410="","",SUM(E410:K410)-N(L410))</f>
        <v/>
      </c>
      <c r="O410">
        <f>IF(OR(A410="",M410=""),"",IF(ABS(M410-N410)&lt;=0.02,"OK","REVISAR"))</f>
        <v/>
      </c>
      <c r="P410">
        <f>IF(D410="","",IF(LEN(TRIM(D410))&lt;&gt;9,"REVISAR",IFERROR(IF(OR(ISNUMBER(VALUE(LEFT(UPPER(TRIM(D410)),1))),LEFT(UPPER(TRIM(D410)),1)="X",LEFT(UPPER(TRIM(D410)),1)="Y",LEFT(UPPER(TRIM(D410)),1)="Z"),IF(MID("TRWAGMYFPDXBNJZSQVHLCKE",MOD(VALUE(SUBSTITUTE(SUBSTITUTE(SUBSTITUTE(LEFT(UPPER(TRIM(D410)),8),"X","0"),"Y","1"),"Z","2")),23)+1,1)=RIGHT(UPPER(TRIM(D410)),1),"OK","REVISAR"),IF(OR(RIGHT(UPPER(TRIM(D410)),1)=TEXT(MOD(10-MOD((VALUE(MID(UPPER(TRIM(D410)),3,1))+VALUE(MID(UPPER(TRIM(D410)),5,1))+VALUE(MID(UPPER(TRIM(D410)),7,1)))+(INT(2*VALUE(MID(UPPER(TRIM(D410)),2,1))/10)+MOD(2*VALUE(MID(UPPER(TRIM(D410)),2,1)),10))+(INT(2*VALUE(MID(UPPER(TRIM(D410)),4,1))/10)+MOD(2*VALUE(MID(UPPER(TRIM(D410)),4,1)),10))+(INT(2*VALUE(MID(UPPER(TRIM(D410)),6,1))/10)+MOD(2*VALUE(MID(UPPER(TRIM(D410)),6,1)),10))+(INT(2*VALUE(MID(UPPER(TRIM(D410)),8,1))/10)+MOD(2*VALUE(MID(UPPER(TRIM(D410)),8,1)),10)),10),10),"0"),RIGHT(UPPER(TRIM(D410)),1)=MID("JABCDEFGHI",MOD(10-MOD((VALUE(MID(UPPER(TRIM(D410)),3,1))+VALUE(MID(UPPER(TRIM(D410)),5,1))+VALUE(MID(UPPER(TRIM(D410)),7,1)))+(INT(2*VALUE(MID(UPPER(TRIM(D410)),2,1))/10)+MOD(2*VALUE(MID(UPPER(TRIM(D410)),2,1)),10))+(INT(2*VALUE(MID(UPPER(TRIM(D410)),4,1))/10)+MOD(2*VALUE(MID(UPPER(TRIM(D410)),4,1)),10))+(INT(2*VALUE(MID(UPPER(TRIM(D410)),6,1))/10)+MOD(2*VALUE(MID(UPPER(TRIM(D410)),6,1)),10))+(INT(2*VALUE(MID(UPPER(TRIM(D410)),8,1))/10)+MOD(2*VALUE(MID(UPPER(TRIM(D410)),8,1)),10)),10),10)+1,1)),"OK","REVISAR")),"REVISAR")))</f>
        <v/>
      </c>
      <c r="Q410">
        <f>IF(B410="","",IF(COUNTIFS($B$2:$B$501,B410,$D$2:$D$501,D410)&gt;1,"DUPLICADA",""))</f>
        <v/>
      </c>
      <c r="R410">
        <f>IF(A410="","",ROUNDUP(MONTH(A410)/3,0))</f>
        <v/>
      </c>
      <c r="S410" s="3" t="n"/>
    </row>
    <row r="411">
      <c r="A411" s="2" t="n"/>
      <c r="B411" s="3" t="n"/>
      <c r="C411" s="3" t="n"/>
      <c r="D411" s="3" t="n"/>
      <c r="E411" s="4" t="n"/>
      <c r="F411" s="4" t="n"/>
      <c r="G411" s="4" t="n"/>
      <c r="H411" s="4" t="n"/>
      <c r="I411" s="5">
        <f>IF(E411="","",ROUND(E411*0.21,2))</f>
        <v/>
      </c>
      <c r="J411" s="5">
        <f>IF(F411="","",ROUND(F411*0.1,2))</f>
        <v/>
      </c>
      <c r="K411" s="5">
        <f>IF(G411="","",ROUND(G411*0.04,2))</f>
        <v/>
      </c>
      <c r="L411" s="4" t="n"/>
      <c r="M411" s="4" t="n"/>
      <c r="N411" s="5">
        <f>IF(A411="","",SUM(E411:K411)-N(L411))</f>
        <v/>
      </c>
      <c r="O411">
        <f>IF(OR(A411="",M411=""),"",IF(ABS(M411-N411)&lt;=0.02,"OK","REVISAR"))</f>
        <v/>
      </c>
      <c r="P411">
        <f>IF(D411="","",IF(LEN(TRIM(D411))&lt;&gt;9,"REVISAR",IFERROR(IF(OR(ISNUMBER(VALUE(LEFT(UPPER(TRIM(D411)),1))),LEFT(UPPER(TRIM(D411)),1)="X",LEFT(UPPER(TRIM(D411)),1)="Y",LEFT(UPPER(TRIM(D411)),1)="Z"),IF(MID("TRWAGMYFPDXBNJZSQVHLCKE",MOD(VALUE(SUBSTITUTE(SUBSTITUTE(SUBSTITUTE(LEFT(UPPER(TRIM(D411)),8),"X","0"),"Y","1"),"Z","2")),23)+1,1)=RIGHT(UPPER(TRIM(D411)),1),"OK","REVISAR"),IF(OR(RIGHT(UPPER(TRIM(D411)),1)=TEXT(MOD(10-MOD((VALUE(MID(UPPER(TRIM(D411)),3,1))+VALUE(MID(UPPER(TRIM(D411)),5,1))+VALUE(MID(UPPER(TRIM(D411)),7,1)))+(INT(2*VALUE(MID(UPPER(TRIM(D411)),2,1))/10)+MOD(2*VALUE(MID(UPPER(TRIM(D411)),2,1)),10))+(INT(2*VALUE(MID(UPPER(TRIM(D411)),4,1))/10)+MOD(2*VALUE(MID(UPPER(TRIM(D411)),4,1)),10))+(INT(2*VALUE(MID(UPPER(TRIM(D411)),6,1))/10)+MOD(2*VALUE(MID(UPPER(TRIM(D411)),6,1)),10))+(INT(2*VALUE(MID(UPPER(TRIM(D411)),8,1))/10)+MOD(2*VALUE(MID(UPPER(TRIM(D411)),8,1)),10)),10),10),"0"),RIGHT(UPPER(TRIM(D411)),1)=MID("JABCDEFGHI",MOD(10-MOD((VALUE(MID(UPPER(TRIM(D411)),3,1))+VALUE(MID(UPPER(TRIM(D411)),5,1))+VALUE(MID(UPPER(TRIM(D411)),7,1)))+(INT(2*VALUE(MID(UPPER(TRIM(D411)),2,1))/10)+MOD(2*VALUE(MID(UPPER(TRIM(D411)),2,1)),10))+(INT(2*VALUE(MID(UPPER(TRIM(D411)),4,1))/10)+MOD(2*VALUE(MID(UPPER(TRIM(D411)),4,1)),10))+(INT(2*VALUE(MID(UPPER(TRIM(D411)),6,1))/10)+MOD(2*VALUE(MID(UPPER(TRIM(D411)),6,1)),10))+(INT(2*VALUE(MID(UPPER(TRIM(D411)),8,1))/10)+MOD(2*VALUE(MID(UPPER(TRIM(D411)),8,1)),10)),10),10)+1,1)),"OK","REVISAR")),"REVISAR")))</f>
        <v/>
      </c>
      <c r="Q411">
        <f>IF(B411="","",IF(COUNTIFS($B$2:$B$501,B411,$D$2:$D$501,D411)&gt;1,"DUPLICADA",""))</f>
        <v/>
      </c>
      <c r="R411">
        <f>IF(A411="","",ROUNDUP(MONTH(A411)/3,0))</f>
        <v/>
      </c>
      <c r="S411" s="3" t="n"/>
    </row>
    <row r="412">
      <c r="A412" s="2" t="n"/>
      <c r="B412" s="3" t="n"/>
      <c r="C412" s="3" t="n"/>
      <c r="D412" s="3" t="n"/>
      <c r="E412" s="4" t="n"/>
      <c r="F412" s="4" t="n"/>
      <c r="G412" s="4" t="n"/>
      <c r="H412" s="4" t="n"/>
      <c r="I412" s="5">
        <f>IF(E412="","",ROUND(E412*0.21,2))</f>
        <v/>
      </c>
      <c r="J412" s="5">
        <f>IF(F412="","",ROUND(F412*0.1,2))</f>
        <v/>
      </c>
      <c r="K412" s="5">
        <f>IF(G412="","",ROUND(G412*0.04,2))</f>
        <v/>
      </c>
      <c r="L412" s="4" t="n"/>
      <c r="M412" s="4" t="n"/>
      <c r="N412" s="5">
        <f>IF(A412="","",SUM(E412:K412)-N(L412))</f>
        <v/>
      </c>
      <c r="O412">
        <f>IF(OR(A412="",M412=""),"",IF(ABS(M412-N412)&lt;=0.02,"OK","REVISAR"))</f>
        <v/>
      </c>
      <c r="P412">
        <f>IF(D412="","",IF(LEN(TRIM(D412))&lt;&gt;9,"REVISAR",IFERROR(IF(OR(ISNUMBER(VALUE(LEFT(UPPER(TRIM(D412)),1))),LEFT(UPPER(TRIM(D412)),1)="X",LEFT(UPPER(TRIM(D412)),1)="Y",LEFT(UPPER(TRIM(D412)),1)="Z"),IF(MID("TRWAGMYFPDXBNJZSQVHLCKE",MOD(VALUE(SUBSTITUTE(SUBSTITUTE(SUBSTITUTE(LEFT(UPPER(TRIM(D412)),8),"X","0"),"Y","1"),"Z","2")),23)+1,1)=RIGHT(UPPER(TRIM(D412)),1),"OK","REVISAR"),IF(OR(RIGHT(UPPER(TRIM(D412)),1)=TEXT(MOD(10-MOD((VALUE(MID(UPPER(TRIM(D412)),3,1))+VALUE(MID(UPPER(TRIM(D412)),5,1))+VALUE(MID(UPPER(TRIM(D412)),7,1)))+(INT(2*VALUE(MID(UPPER(TRIM(D412)),2,1))/10)+MOD(2*VALUE(MID(UPPER(TRIM(D412)),2,1)),10))+(INT(2*VALUE(MID(UPPER(TRIM(D412)),4,1))/10)+MOD(2*VALUE(MID(UPPER(TRIM(D412)),4,1)),10))+(INT(2*VALUE(MID(UPPER(TRIM(D412)),6,1))/10)+MOD(2*VALUE(MID(UPPER(TRIM(D412)),6,1)),10))+(INT(2*VALUE(MID(UPPER(TRIM(D412)),8,1))/10)+MOD(2*VALUE(MID(UPPER(TRIM(D412)),8,1)),10)),10),10),"0"),RIGHT(UPPER(TRIM(D412)),1)=MID("JABCDEFGHI",MOD(10-MOD((VALUE(MID(UPPER(TRIM(D412)),3,1))+VALUE(MID(UPPER(TRIM(D412)),5,1))+VALUE(MID(UPPER(TRIM(D412)),7,1)))+(INT(2*VALUE(MID(UPPER(TRIM(D412)),2,1))/10)+MOD(2*VALUE(MID(UPPER(TRIM(D412)),2,1)),10))+(INT(2*VALUE(MID(UPPER(TRIM(D412)),4,1))/10)+MOD(2*VALUE(MID(UPPER(TRIM(D412)),4,1)),10))+(INT(2*VALUE(MID(UPPER(TRIM(D412)),6,1))/10)+MOD(2*VALUE(MID(UPPER(TRIM(D412)),6,1)),10))+(INT(2*VALUE(MID(UPPER(TRIM(D412)),8,1))/10)+MOD(2*VALUE(MID(UPPER(TRIM(D412)),8,1)),10)),10),10)+1,1)),"OK","REVISAR")),"REVISAR")))</f>
        <v/>
      </c>
      <c r="Q412">
        <f>IF(B412="","",IF(COUNTIFS($B$2:$B$501,B412,$D$2:$D$501,D412)&gt;1,"DUPLICADA",""))</f>
        <v/>
      </c>
      <c r="R412">
        <f>IF(A412="","",ROUNDUP(MONTH(A412)/3,0))</f>
        <v/>
      </c>
      <c r="S412" s="3" t="n"/>
    </row>
    <row r="413">
      <c r="A413" s="2" t="n"/>
      <c r="B413" s="3" t="n"/>
      <c r="C413" s="3" t="n"/>
      <c r="D413" s="3" t="n"/>
      <c r="E413" s="4" t="n"/>
      <c r="F413" s="4" t="n"/>
      <c r="G413" s="4" t="n"/>
      <c r="H413" s="4" t="n"/>
      <c r="I413" s="5">
        <f>IF(E413="","",ROUND(E413*0.21,2))</f>
        <v/>
      </c>
      <c r="J413" s="5">
        <f>IF(F413="","",ROUND(F413*0.1,2))</f>
        <v/>
      </c>
      <c r="K413" s="5">
        <f>IF(G413="","",ROUND(G413*0.04,2))</f>
        <v/>
      </c>
      <c r="L413" s="4" t="n"/>
      <c r="M413" s="4" t="n"/>
      <c r="N413" s="5">
        <f>IF(A413="","",SUM(E413:K413)-N(L413))</f>
        <v/>
      </c>
      <c r="O413">
        <f>IF(OR(A413="",M413=""),"",IF(ABS(M413-N413)&lt;=0.02,"OK","REVISAR"))</f>
        <v/>
      </c>
      <c r="P413">
        <f>IF(D413="","",IF(LEN(TRIM(D413))&lt;&gt;9,"REVISAR",IFERROR(IF(OR(ISNUMBER(VALUE(LEFT(UPPER(TRIM(D413)),1))),LEFT(UPPER(TRIM(D413)),1)="X",LEFT(UPPER(TRIM(D413)),1)="Y",LEFT(UPPER(TRIM(D413)),1)="Z"),IF(MID("TRWAGMYFPDXBNJZSQVHLCKE",MOD(VALUE(SUBSTITUTE(SUBSTITUTE(SUBSTITUTE(LEFT(UPPER(TRIM(D413)),8),"X","0"),"Y","1"),"Z","2")),23)+1,1)=RIGHT(UPPER(TRIM(D413)),1),"OK","REVISAR"),IF(OR(RIGHT(UPPER(TRIM(D413)),1)=TEXT(MOD(10-MOD((VALUE(MID(UPPER(TRIM(D413)),3,1))+VALUE(MID(UPPER(TRIM(D413)),5,1))+VALUE(MID(UPPER(TRIM(D413)),7,1)))+(INT(2*VALUE(MID(UPPER(TRIM(D413)),2,1))/10)+MOD(2*VALUE(MID(UPPER(TRIM(D413)),2,1)),10))+(INT(2*VALUE(MID(UPPER(TRIM(D413)),4,1))/10)+MOD(2*VALUE(MID(UPPER(TRIM(D413)),4,1)),10))+(INT(2*VALUE(MID(UPPER(TRIM(D413)),6,1))/10)+MOD(2*VALUE(MID(UPPER(TRIM(D413)),6,1)),10))+(INT(2*VALUE(MID(UPPER(TRIM(D413)),8,1))/10)+MOD(2*VALUE(MID(UPPER(TRIM(D413)),8,1)),10)),10),10),"0"),RIGHT(UPPER(TRIM(D413)),1)=MID("JABCDEFGHI",MOD(10-MOD((VALUE(MID(UPPER(TRIM(D413)),3,1))+VALUE(MID(UPPER(TRIM(D413)),5,1))+VALUE(MID(UPPER(TRIM(D413)),7,1)))+(INT(2*VALUE(MID(UPPER(TRIM(D413)),2,1))/10)+MOD(2*VALUE(MID(UPPER(TRIM(D413)),2,1)),10))+(INT(2*VALUE(MID(UPPER(TRIM(D413)),4,1))/10)+MOD(2*VALUE(MID(UPPER(TRIM(D413)),4,1)),10))+(INT(2*VALUE(MID(UPPER(TRIM(D413)),6,1))/10)+MOD(2*VALUE(MID(UPPER(TRIM(D413)),6,1)),10))+(INT(2*VALUE(MID(UPPER(TRIM(D413)),8,1))/10)+MOD(2*VALUE(MID(UPPER(TRIM(D413)),8,1)),10)),10),10)+1,1)),"OK","REVISAR")),"REVISAR")))</f>
        <v/>
      </c>
      <c r="Q413">
        <f>IF(B413="","",IF(COUNTIFS($B$2:$B$501,B413,$D$2:$D$501,D413)&gt;1,"DUPLICADA",""))</f>
        <v/>
      </c>
      <c r="R413">
        <f>IF(A413="","",ROUNDUP(MONTH(A413)/3,0))</f>
        <v/>
      </c>
      <c r="S413" s="3" t="n"/>
    </row>
    <row r="414">
      <c r="A414" s="2" t="n"/>
      <c r="B414" s="3" t="n"/>
      <c r="C414" s="3" t="n"/>
      <c r="D414" s="3" t="n"/>
      <c r="E414" s="4" t="n"/>
      <c r="F414" s="4" t="n"/>
      <c r="G414" s="4" t="n"/>
      <c r="H414" s="4" t="n"/>
      <c r="I414" s="5">
        <f>IF(E414="","",ROUND(E414*0.21,2))</f>
        <v/>
      </c>
      <c r="J414" s="5">
        <f>IF(F414="","",ROUND(F414*0.1,2))</f>
        <v/>
      </c>
      <c r="K414" s="5">
        <f>IF(G414="","",ROUND(G414*0.04,2))</f>
        <v/>
      </c>
      <c r="L414" s="4" t="n"/>
      <c r="M414" s="4" t="n"/>
      <c r="N414" s="5">
        <f>IF(A414="","",SUM(E414:K414)-N(L414))</f>
        <v/>
      </c>
      <c r="O414">
        <f>IF(OR(A414="",M414=""),"",IF(ABS(M414-N414)&lt;=0.02,"OK","REVISAR"))</f>
        <v/>
      </c>
      <c r="P414">
        <f>IF(D414="","",IF(LEN(TRIM(D414))&lt;&gt;9,"REVISAR",IFERROR(IF(OR(ISNUMBER(VALUE(LEFT(UPPER(TRIM(D414)),1))),LEFT(UPPER(TRIM(D414)),1)="X",LEFT(UPPER(TRIM(D414)),1)="Y",LEFT(UPPER(TRIM(D414)),1)="Z"),IF(MID("TRWAGMYFPDXBNJZSQVHLCKE",MOD(VALUE(SUBSTITUTE(SUBSTITUTE(SUBSTITUTE(LEFT(UPPER(TRIM(D414)),8),"X","0"),"Y","1"),"Z","2")),23)+1,1)=RIGHT(UPPER(TRIM(D414)),1),"OK","REVISAR"),IF(OR(RIGHT(UPPER(TRIM(D414)),1)=TEXT(MOD(10-MOD((VALUE(MID(UPPER(TRIM(D414)),3,1))+VALUE(MID(UPPER(TRIM(D414)),5,1))+VALUE(MID(UPPER(TRIM(D414)),7,1)))+(INT(2*VALUE(MID(UPPER(TRIM(D414)),2,1))/10)+MOD(2*VALUE(MID(UPPER(TRIM(D414)),2,1)),10))+(INT(2*VALUE(MID(UPPER(TRIM(D414)),4,1))/10)+MOD(2*VALUE(MID(UPPER(TRIM(D414)),4,1)),10))+(INT(2*VALUE(MID(UPPER(TRIM(D414)),6,1))/10)+MOD(2*VALUE(MID(UPPER(TRIM(D414)),6,1)),10))+(INT(2*VALUE(MID(UPPER(TRIM(D414)),8,1))/10)+MOD(2*VALUE(MID(UPPER(TRIM(D414)),8,1)),10)),10),10),"0"),RIGHT(UPPER(TRIM(D414)),1)=MID("JABCDEFGHI",MOD(10-MOD((VALUE(MID(UPPER(TRIM(D414)),3,1))+VALUE(MID(UPPER(TRIM(D414)),5,1))+VALUE(MID(UPPER(TRIM(D414)),7,1)))+(INT(2*VALUE(MID(UPPER(TRIM(D414)),2,1))/10)+MOD(2*VALUE(MID(UPPER(TRIM(D414)),2,1)),10))+(INT(2*VALUE(MID(UPPER(TRIM(D414)),4,1))/10)+MOD(2*VALUE(MID(UPPER(TRIM(D414)),4,1)),10))+(INT(2*VALUE(MID(UPPER(TRIM(D414)),6,1))/10)+MOD(2*VALUE(MID(UPPER(TRIM(D414)),6,1)),10))+(INT(2*VALUE(MID(UPPER(TRIM(D414)),8,1))/10)+MOD(2*VALUE(MID(UPPER(TRIM(D414)),8,1)),10)),10),10)+1,1)),"OK","REVISAR")),"REVISAR")))</f>
        <v/>
      </c>
      <c r="Q414">
        <f>IF(B414="","",IF(COUNTIFS($B$2:$B$501,B414,$D$2:$D$501,D414)&gt;1,"DUPLICADA",""))</f>
        <v/>
      </c>
      <c r="R414">
        <f>IF(A414="","",ROUNDUP(MONTH(A414)/3,0))</f>
        <v/>
      </c>
      <c r="S414" s="3" t="n"/>
    </row>
    <row r="415">
      <c r="A415" s="2" t="n"/>
      <c r="B415" s="3" t="n"/>
      <c r="C415" s="3" t="n"/>
      <c r="D415" s="3" t="n"/>
      <c r="E415" s="4" t="n"/>
      <c r="F415" s="4" t="n"/>
      <c r="G415" s="4" t="n"/>
      <c r="H415" s="4" t="n"/>
      <c r="I415" s="5">
        <f>IF(E415="","",ROUND(E415*0.21,2))</f>
        <v/>
      </c>
      <c r="J415" s="5">
        <f>IF(F415="","",ROUND(F415*0.1,2))</f>
        <v/>
      </c>
      <c r="K415" s="5">
        <f>IF(G415="","",ROUND(G415*0.04,2))</f>
        <v/>
      </c>
      <c r="L415" s="4" t="n"/>
      <c r="M415" s="4" t="n"/>
      <c r="N415" s="5">
        <f>IF(A415="","",SUM(E415:K415)-N(L415))</f>
        <v/>
      </c>
      <c r="O415">
        <f>IF(OR(A415="",M415=""),"",IF(ABS(M415-N415)&lt;=0.02,"OK","REVISAR"))</f>
        <v/>
      </c>
      <c r="P415">
        <f>IF(D415="","",IF(LEN(TRIM(D415))&lt;&gt;9,"REVISAR",IFERROR(IF(OR(ISNUMBER(VALUE(LEFT(UPPER(TRIM(D415)),1))),LEFT(UPPER(TRIM(D415)),1)="X",LEFT(UPPER(TRIM(D415)),1)="Y",LEFT(UPPER(TRIM(D415)),1)="Z"),IF(MID("TRWAGMYFPDXBNJZSQVHLCKE",MOD(VALUE(SUBSTITUTE(SUBSTITUTE(SUBSTITUTE(LEFT(UPPER(TRIM(D415)),8),"X","0"),"Y","1"),"Z","2")),23)+1,1)=RIGHT(UPPER(TRIM(D415)),1),"OK","REVISAR"),IF(OR(RIGHT(UPPER(TRIM(D415)),1)=TEXT(MOD(10-MOD((VALUE(MID(UPPER(TRIM(D415)),3,1))+VALUE(MID(UPPER(TRIM(D415)),5,1))+VALUE(MID(UPPER(TRIM(D415)),7,1)))+(INT(2*VALUE(MID(UPPER(TRIM(D415)),2,1))/10)+MOD(2*VALUE(MID(UPPER(TRIM(D415)),2,1)),10))+(INT(2*VALUE(MID(UPPER(TRIM(D415)),4,1))/10)+MOD(2*VALUE(MID(UPPER(TRIM(D415)),4,1)),10))+(INT(2*VALUE(MID(UPPER(TRIM(D415)),6,1))/10)+MOD(2*VALUE(MID(UPPER(TRIM(D415)),6,1)),10))+(INT(2*VALUE(MID(UPPER(TRIM(D415)),8,1))/10)+MOD(2*VALUE(MID(UPPER(TRIM(D415)),8,1)),10)),10),10),"0"),RIGHT(UPPER(TRIM(D415)),1)=MID("JABCDEFGHI",MOD(10-MOD((VALUE(MID(UPPER(TRIM(D415)),3,1))+VALUE(MID(UPPER(TRIM(D415)),5,1))+VALUE(MID(UPPER(TRIM(D415)),7,1)))+(INT(2*VALUE(MID(UPPER(TRIM(D415)),2,1))/10)+MOD(2*VALUE(MID(UPPER(TRIM(D415)),2,1)),10))+(INT(2*VALUE(MID(UPPER(TRIM(D415)),4,1))/10)+MOD(2*VALUE(MID(UPPER(TRIM(D415)),4,1)),10))+(INT(2*VALUE(MID(UPPER(TRIM(D415)),6,1))/10)+MOD(2*VALUE(MID(UPPER(TRIM(D415)),6,1)),10))+(INT(2*VALUE(MID(UPPER(TRIM(D415)),8,1))/10)+MOD(2*VALUE(MID(UPPER(TRIM(D415)),8,1)),10)),10),10)+1,1)),"OK","REVISAR")),"REVISAR")))</f>
        <v/>
      </c>
      <c r="Q415">
        <f>IF(B415="","",IF(COUNTIFS($B$2:$B$501,B415,$D$2:$D$501,D415)&gt;1,"DUPLICADA",""))</f>
        <v/>
      </c>
      <c r="R415">
        <f>IF(A415="","",ROUNDUP(MONTH(A415)/3,0))</f>
        <v/>
      </c>
      <c r="S415" s="3" t="n"/>
    </row>
    <row r="416">
      <c r="A416" s="2" t="n"/>
      <c r="B416" s="3" t="n"/>
      <c r="C416" s="3" t="n"/>
      <c r="D416" s="3" t="n"/>
      <c r="E416" s="4" t="n"/>
      <c r="F416" s="4" t="n"/>
      <c r="G416" s="4" t="n"/>
      <c r="H416" s="4" t="n"/>
      <c r="I416" s="5">
        <f>IF(E416="","",ROUND(E416*0.21,2))</f>
        <v/>
      </c>
      <c r="J416" s="5">
        <f>IF(F416="","",ROUND(F416*0.1,2))</f>
        <v/>
      </c>
      <c r="K416" s="5">
        <f>IF(G416="","",ROUND(G416*0.04,2))</f>
        <v/>
      </c>
      <c r="L416" s="4" t="n"/>
      <c r="M416" s="4" t="n"/>
      <c r="N416" s="5">
        <f>IF(A416="","",SUM(E416:K416)-N(L416))</f>
        <v/>
      </c>
      <c r="O416">
        <f>IF(OR(A416="",M416=""),"",IF(ABS(M416-N416)&lt;=0.02,"OK","REVISAR"))</f>
        <v/>
      </c>
      <c r="P416">
        <f>IF(D416="","",IF(LEN(TRIM(D416))&lt;&gt;9,"REVISAR",IFERROR(IF(OR(ISNUMBER(VALUE(LEFT(UPPER(TRIM(D416)),1))),LEFT(UPPER(TRIM(D416)),1)="X",LEFT(UPPER(TRIM(D416)),1)="Y",LEFT(UPPER(TRIM(D416)),1)="Z"),IF(MID("TRWAGMYFPDXBNJZSQVHLCKE",MOD(VALUE(SUBSTITUTE(SUBSTITUTE(SUBSTITUTE(LEFT(UPPER(TRIM(D416)),8),"X","0"),"Y","1"),"Z","2")),23)+1,1)=RIGHT(UPPER(TRIM(D416)),1),"OK","REVISAR"),IF(OR(RIGHT(UPPER(TRIM(D416)),1)=TEXT(MOD(10-MOD((VALUE(MID(UPPER(TRIM(D416)),3,1))+VALUE(MID(UPPER(TRIM(D416)),5,1))+VALUE(MID(UPPER(TRIM(D416)),7,1)))+(INT(2*VALUE(MID(UPPER(TRIM(D416)),2,1))/10)+MOD(2*VALUE(MID(UPPER(TRIM(D416)),2,1)),10))+(INT(2*VALUE(MID(UPPER(TRIM(D416)),4,1))/10)+MOD(2*VALUE(MID(UPPER(TRIM(D416)),4,1)),10))+(INT(2*VALUE(MID(UPPER(TRIM(D416)),6,1))/10)+MOD(2*VALUE(MID(UPPER(TRIM(D416)),6,1)),10))+(INT(2*VALUE(MID(UPPER(TRIM(D416)),8,1))/10)+MOD(2*VALUE(MID(UPPER(TRIM(D416)),8,1)),10)),10),10),"0"),RIGHT(UPPER(TRIM(D416)),1)=MID("JABCDEFGHI",MOD(10-MOD((VALUE(MID(UPPER(TRIM(D416)),3,1))+VALUE(MID(UPPER(TRIM(D416)),5,1))+VALUE(MID(UPPER(TRIM(D416)),7,1)))+(INT(2*VALUE(MID(UPPER(TRIM(D416)),2,1))/10)+MOD(2*VALUE(MID(UPPER(TRIM(D416)),2,1)),10))+(INT(2*VALUE(MID(UPPER(TRIM(D416)),4,1))/10)+MOD(2*VALUE(MID(UPPER(TRIM(D416)),4,1)),10))+(INT(2*VALUE(MID(UPPER(TRIM(D416)),6,1))/10)+MOD(2*VALUE(MID(UPPER(TRIM(D416)),6,1)),10))+(INT(2*VALUE(MID(UPPER(TRIM(D416)),8,1))/10)+MOD(2*VALUE(MID(UPPER(TRIM(D416)),8,1)),10)),10),10)+1,1)),"OK","REVISAR")),"REVISAR")))</f>
        <v/>
      </c>
      <c r="Q416">
        <f>IF(B416="","",IF(COUNTIFS($B$2:$B$501,B416,$D$2:$D$501,D416)&gt;1,"DUPLICADA",""))</f>
        <v/>
      </c>
      <c r="R416">
        <f>IF(A416="","",ROUNDUP(MONTH(A416)/3,0))</f>
        <v/>
      </c>
      <c r="S416" s="3" t="n"/>
    </row>
    <row r="417">
      <c r="A417" s="2" t="n"/>
      <c r="B417" s="3" t="n"/>
      <c r="C417" s="3" t="n"/>
      <c r="D417" s="3" t="n"/>
      <c r="E417" s="4" t="n"/>
      <c r="F417" s="4" t="n"/>
      <c r="G417" s="4" t="n"/>
      <c r="H417" s="4" t="n"/>
      <c r="I417" s="5">
        <f>IF(E417="","",ROUND(E417*0.21,2))</f>
        <v/>
      </c>
      <c r="J417" s="5">
        <f>IF(F417="","",ROUND(F417*0.1,2))</f>
        <v/>
      </c>
      <c r="K417" s="5">
        <f>IF(G417="","",ROUND(G417*0.04,2))</f>
        <v/>
      </c>
      <c r="L417" s="4" t="n"/>
      <c r="M417" s="4" t="n"/>
      <c r="N417" s="5">
        <f>IF(A417="","",SUM(E417:K417)-N(L417))</f>
        <v/>
      </c>
      <c r="O417">
        <f>IF(OR(A417="",M417=""),"",IF(ABS(M417-N417)&lt;=0.02,"OK","REVISAR"))</f>
        <v/>
      </c>
      <c r="P417">
        <f>IF(D417="","",IF(LEN(TRIM(D417))&lt;&gt;9,"REVISAR",IFERROR(IF(OR(ISNUMBER(VALUE(LEFT(UPPER(TRIM(D417)),1))),LEFT(UPPER(TRIM(D417)),1)="X",LEFT(UPPER(TRIM(D417)),1)="Y",LEFT(UPPER(TRIM(D417)),1)="Z"),IF(MID("TRWAGMYFPDXBNJZSQVHLCKE",MOD(VALUE(SUBSTITUTE(SUBSTITUTE(SUBSTITUTE(LEFT(UPPER(TRIM(D417)),8),"X","0"),"Y","1"),"Z","2")),23)+1,1)=RIGHT(UPPER(TRIM(D417)),1),"OK","REVISAR"),IF(OR(RIGHT(UPPER(TRIM(D417)),1)=TEXT(MOD(10-MOD((VALUE(MID(UPPER(TRIM(D417)),3,1))+VALUE(MID(UPPER(TRIM(D417)),5,1))+VALUE(MID(UPPER(TRIM(D417)),7,1)))+(INT(2*VALUE(MID(UPPER(TRIM(D417)),2,1))/10)+MOD(2*VALUE(MID(UPPER(TRIM(D417)),2,1)),10))+(INT(2*VALUE(MID(UPPER(TRIM(D417)),4,1))/10)+MOD(2*VALUE(MID(UPPER(TRIM(D417)),4,1)),10))+(INT(2*VALUE(MID(UPPER(TRIM(D417)),6,1))/10)+MOD(2*VALUE(MID(UPPER(TRIM(D417)),6,1)),10))+(INT(2*VALUE(MID(UPPER(TRIM(D417)),8,1))/10)+MOD(2*VALUE(MID(UPPER(TRIM(D417)),8,1)),10)),10),10),"0"),RIGHT(UPPER(TRIM(D417)),1)=MID("JABCDEFGHI",MOD(10-MOD((VALUE(MID(UPPER(TRIM(D417)),3,1))+VALUE(MID(UPPER(TRIM(D417)),5,1))+VALUE(MID(UPPER(TRIM(D417)),7,1)))+(INT(2*VALUE(MID(UPPER(TRIM(D417)),2,1))/10)+MOD(2*VALUE(MID(UPPER(TRIM(D417)),2,1)),10))+(INT(2*VALUE(MID(UPPER(TRIM(D417)),4,1))/10)+MOD(2*VALUE(MID(UPPER(TRIM(D417)),4,1)),10))+(INT(2*VALUE(MID(UPPER(TRIM(D417)),6,1))/10)+MOD(2*VALUE(MID(UPPER(TRIM(D417)),6,1)),10))+(INT(2*VALUE(MID(UPPER(TRIM(D417)),8,1))/10)+MOD(2*VALUE(MID(UPPER(TRIM(D417)),8,1)),10)),10),10)+1,1)),"OK","REVISAR")),"REVISAR")))</f>
        <v/>
      </c>
      <c r="Q417">
        <f>IF(B417="","",IF(COUNTIFS($B$2:$B$501,B417,$D$2:$D$501,D417)&gt;1,"DUPLICADA",""))</f>
        <v/>
      </c>
      <c r="R417">
        <f>IF(A417="","",ROUNDUP(MONTH(A417)/3,0))</f>
        <v/>
      </c>
      <c r="S417" s="3" t="n"/>
    </row>
    <row r="418">
      <c r="A418" s="2" t="n"/>
      <c r="B418" s="3" t="n"/>
      <c r="C418" s="3" t="n"/>
      <c r="D418" s="3" t="n"/>
      <c r="E418" s="4" t="n"/>
      <c r="F418" s="4" t="n"/>
      <c r="G418" s="4" t="n"/>
      <c r="H418" s="4" t="n"/>
      <c r="I418" s="5">
        <f>IF(E418="","",ROUND(E418*0.21,2))</f>
        <v/>
      </c>
      <c r="J418" s="5">
        <f>IF(F418="","",ROUND(F418*0.1,2))</f>
        <v/>
      </c>
      <c r="K418" s="5">
        <f>IF(G418="","",ROUND(G418*0.04,2))</f>
        <v/>
      </c>
      <c r="L418" s="4" t="n"/>
      <c r="M418" s="4" t="n"/>
      <c r="N418" s="5">
        <f>IF(A418="","",SUM(E418:K418)-N(L418))</f>
        <v/>
      </c>
      <c r="O418">
        <f>IF(OR(A418="",M418=""),"",IF(ABS(M418-N418)&lt;=0.02,"OK","REVISAR"))</f>
        <v/>
      </c>
      <c r="P418">
        <f>IF(D418="","",IF(LEN(TRIM(D418))&lt;&gt;9,"REVISAR",IFERROR(IF(OR(ISNUMBER(VALUE(LEFT(UPPER(TRIM(D418)),1))),LEFT(UPPER(TRIM(D418)),1)="X",LEFT(UPPER(TRIM(D418)),1)="Y",LEFT(UPPER(TRIM(D418)),1)="Z"),IF(MID("TRWAGMYFPDXBNJZSQVHLCKE",MOD(VALUE(SUBSTITUTE(SUBSTITUTE(SUBSTITUTE(LEFT(UPPER(TRIM(D418)),8),"X","0"),"Y","1"),"Z","2")),23)+1,1)=RIGHT(UPPER(TRIM(D418)),1),"OK","REVISAR"),IF(OR(RIGHT(UPPER(TRIM(D418)),1)=TEXT(MOD(10-MOD((VALUE(MID(UPPER(TRIM(D418)),3,1))+VALUE(MID(UPPER(TRIM(D418)),5,1))+VALUE(MID(UPPER(TRIM(D418)),7,1)))+(INT(2*VALUE(MID(UPPER(TRIM(D418)),2,1))/10)+MOD(2*VALUE(MID(UPPER(TRIM(D418)),2,1)),10))+(INT(2*VALUE(MID(UPPER(TRIM(D418)),4,1))/10)+MOD(2*VALUE(MID(UPPER(TRIM(D418)),4,1)),10))+(INT(2*VALUE(MID(UPPER(TRIM(D418)),6,1))/10)+MOD(2*VALUE(MID(UPPER(TRIM(D418)),6,1)),10))+(INT(2*VALUE(MID(UPPER(TRIM(D418)),8,1))/10)+MOD(2*VALUE(MID(UPPER(TRIM(D418)),8,1)),10)),10),10),"0"),RIGHT(UPPER(TRIM(D418)),1)=MID("JABCDEFGHI",MOD(10-MOD((VALUE(MID(UPPER(TRIM(D418)),3,1))+VALUE(MID(UPPER(TRIM(D418)),5,1))+VALUE(MID(UPPER(TRIM(D418)),7,1)))+(INT(2*VALUE(MID(UPPER(TRIM(D418)),2,1))/10)+MOD(2*VALUE(MID(UPPER(TRIM(D418)),2,1)),10))+(INT(2*VALUE(MID(UPPER(TRIM(D418)),4,1))/10)+MOD(2*VALUE(MID(UPPER(TRIM(D418)),4,1)),10))+(INT(2*VALUE(MID(UPPER(TRIM(D418)),6,1))/10)+MOD(2*VALUE(MID(UPPER(TRIM(D418)),6,1)),10))+(INT(2*VALUE(MID(UPPER(TRIM(D418)),8,1))/10)+MOD(2*VALUE(MID(UPPER(TRIM(D418)),8,1)),10)),10),10)+1,1)),"OK","REVISAR")),"REVISAR")))</f>
        <v/>
      </c>
      <c r="Q418">
        <f>IF(B418="","",IF(COUNTIFS($B$2:$B$501,B418,$D$2:$D$501,D418)&gt;1,"DUPLICADA",""))</f>
        <v/>
      </c>
      <c r="R418">
        <f>IF(A418="","",ROUNDUP(MONTH(A418)/3,0))</f>
        <v/>
      </c>
      <c r="S418" s="3" t="n"/>
    </row>
    <row r="419">
      <c r="A419" s="2" t="n"/>
      <c r="B419" s="3" t="n"/>
      <c r="C419" s="3" t="n"/>
      <c r="D419" s="3" t="n"/>
      <c r="E419" s="4" t="n"/>
      <c r="F419" s="4" t="n"/>
      <c r="G419" s="4" t="n"/>
      <c r="H419" s="4" t="n"/>
      <c r="I419" s="5">
        <f>IF(E419="","",ROUND(E419*0.21,2))</f>
        <v/>
      </c>
      <c r="J419" s="5">
        <f>IF(F419="","",ROUND(F419*0.1,2))</f>
        <v/>
      </c>
      <c r="K419" s="5">
        <f>IF(G419="","",ROUND(G419*0.04,2))</f>
        <v/>
      </c>
      <c r="L419" s="4" t="n"/>
      <c r="M419" s="4" t="n"/>
      <c r="N419" s="5">
        <f>IF(A419="","",SUM(E419:K419)-N(L419))</f>
        <v/>
      </c>
      <c r="O419">
        <f>IF(OR(A419="",M419=""),"",IF(ABS(M419-N419)&lt;=0.02,"OK","REVISAR"))</f>
        <v/>
      </c>
      <c r="P419">
        <f>IF(D419="","",IF(LEN(TRIM(D419))&lt;&gt;9,"REVISAR",IFERROR(IF(OR(ISNUMBER(VALUE(LEFT(UPPER(TRIM(D419)),1))),LEFT(UPPER(TRIM(D419)),1)="X",LEFT(UPPER(TRIM(D419)),1)="Y",LEFT(UPPER(TRIM(D419)),1)="Z"),IF(MID("TRWAGMYFPDXBNJZSQVHLCKE",MOD(VALUE(SUBSTITUTE(SUBSTITUTE(SUBSTITUTE(LEFT(UPPER(TRIM(D419)),8),"X","0"),"Y","1"),"Z","2")),23)+1,1)=RIGHT(UPPER(TRIM(D419)),1),"OK","REVISAR"),IF(OR(RIGHT(UPPER(TRIM(D419)),1)=TEXT(MOD(10-MOD((VALUE(MID(UPPER(TRIM(D419)),3,1))+VALUE(MID(UPPER(TRIM(D419)),5,1))+VALUE(MID(UPPER(TRIM(D419)),7,1)))+(INT(2*VALUE(MID(UPPER(TRIM(D419)),2,1))/10)+MOD(2*VALUE(MID(UPPER(TRIM(D419)),2,1)),10))+(INT(2*VALUE(MID(UPPER(TRIM(D419)),4,1))/10)+MOD(2*VALUE(MID(UPPER(TRIM(D419)),4,1)),10))+(INT(2*VALUE(MID(UPPER(TRIM(D419)),6,1))/10)+MOD(2*VALUE(MID(UPPER(TRIM(D419)),6,1)),10))+(INT(2*VALUE(MID(UPPER(TRIM(D419)),8,1))/10)+MOD(2*VALUE(MID(UPPER(TRIM(D419)),8,1)),10)),10),10),"0"),RIGHT(UPPER(TRIM(D419)),1)=MID("JABCDEFGHI",MOD(10-MOD((VALUE(MID(UPPER(TRIM(D419)),3,1))+VALUE(MID(UPPER(TRIM(D419)),5,1))+VALUE(MID(UPPER(TRIM(D419)),7,1)))+(INT(2*VALUE(MID(UPPER(TRIM(D419)),2,1))/10)+MOD(2*VALUE(MID(UPPER(TRIM(D419)),2,1)),10))+(INT(2*VALUE(MID(UPPER(TRIM(D419)),4,1))/10)+MOD(2*VALUE(MID(UPPER(TRIM(D419)),4,1)),10))+(INT(2*VALUE(MID(UPPER(TRIM(D419)),6,1))/10)+MOD(2*VALUE(MID(UPPER(TRIM(D419)),6,1)),10))+(INT(2*VALUE(MID(UPPER(TRIM(D419)),8,1))/10)+MOD(2*VALUE(MID(UPPER(TRIM(D419)),8,1)),10)),10),10)+1,1)),"OK","REVISAR")),"REVISAR")))</f>
        <v/>
      </c>
      <c r="Q419">
        <f>IF(B419="","",IF(COUNTIFS($B$2:$B$501,B419,$D$2:$D$501,D419)&gt;1,"DUPLICADA",""))</f>
        <v/>
      </c>
      <c r="R419">
        <f>IF(A419="","",ROUNDUP(MONTH(A419)/3,0))</f>
        <v/>
      </c>
      <c r="S419" s="3" t="n"/>
    </row>
    <row r="420">
      <c r="A420" s="2" t="n"/>
      <c r="B420" s="3" t="n"/>
      <c r="C420" s="3" t="n"/>
      <c r="D420" s="3" t="n"/>
      <c r="E420" s="4" t="n"/>
      <c r="F420" s="4" t="n"/>
      <c r="G420" s="4" t="n"/>
      <c r="H420" s="4" t="n"/>
      <c r="I420" s="5">
        <f>IF(E420="","",ROUND(E420*0.21,2))</f>
        <v/>
      </c>
      <c r="J420" s="5">
        <f>IF(F420="","",ROUND(F420*0.1,2))</f>
        <v/>
      </c>
      <c r="K420" s="5">
        <f>IF(G420="","",ROUND(G420*0.04,2))</f>
        <v/>
      </c>
      <c r="L420" s="4" t="n"/>
      <c r="M420" s="4" t="n"/>
      <c r="N420" s="5">
        <f>IF(A420="","",SUM(E420:K420)-N(L420))</f>
        <v/>
      </c>
      <c r="O420">
        <f>IF(OR(A420="",M420=""),"",IF(ABS(M420-N420)&lt;=0.02,"OK","REVISAR"))</f>
        <v/>
      </c>
      <c r="P420">
        <f>IF(D420="","",IF(LEN(TRIM(D420))&lt;&gt;9,"REVISAR",IFERROR(IF(OR(ISNUMBER(VALUE(LEFT(UPPER(TRIM(D420)),1))),LEFT(UPPER(TRIM(D420)),1)="X",LEFT(UPPER(TRIM(D420)),1)="Y",LEFT(UPPER(TRIM(D420)),1)="Z"),IF(MID("TRWAGMYFPDXBNJZSQVHLCKE",MOD(VALUE(SUBSTITUTE(SUBSTITUTE(SUBSTITUTE(LEFT(UPPER(TRIM(D420)),8),"X","0"),"Y","1"),"Z","2")),23)+1,1)=RIGHT(UPPER(TRIM(D420)),1),"OK","REVISAR"),IF(OR(RIGHT(UPPER(TRIM(D420)),1)=TEXT(MOD(10-MOD((VALUE(MID(UPPER(TRIM(D420)),3,1))+VALUE(MID(UPPER(TRIM(D420)),5,1))+VALUE(MID(UPPER(TRIM(D420)),7,1)))+(INT(2*VALUE(MID(UPPER(TRIM(D420)),2,1))/10)+MOD(2*VALUE(MID(UPPER(TRIM(D420)),2,1)),10))+(INT(2*VALUE(MID(UPPER(TRIM(D420)),4,1))/10)+MOD(2*VALUE(MID(UPPER(TRIM(D420)),4,1)),10))+(INT(2*VALUE(MID(UPPER(TRIM(D420)),6,1))/10)+MOD(2*VALUE(MID(UPPER(TRIM(D420)),6,1)),10))+(INT(2*VALUE(MID(UPPER(TRIM(D420)),8,1))/10)+MOD(2*VALUE(MID(UPPER(TRIM(D420)),8,1)),10)),10),10),"0"),RIGHT(UPPER(TRIM(D420)),1)=MID("JABCDEFGHI",MOD(10-MOD((VALUE(MID(UPPER(TRIM(D420)),3,1))+VALUE(MID(UPPER(TRIM(D420)),5,1))+VALUE(MID(UPPER(TRIM(D420)),7,1)))+(INT(2*VALUE(MID(UPPER(TRIM(D420)),2,1))/10)+MOD(2*VALUE(MID(UPPER(TRIM(D420)),2,1)),10))+(INT(2*VALUE(MID(UPPER(TRIM(D420)),4,1))/10)+MOD(2*VALUE(MID(UPPER(TRIM(D420)),4,1)),10))+(INT(2*VALUE(MID(UPPER(TRIM(D420)),6,1))/10)+MOD(2*VALUE(MID(UPPER(TRIM(D420)),6,1)),10))+(INT(2*VALUE(MID(UPPER(TRIM(D420)),8,1))/10)+MOD(2*VALUE(MID(UPPER(TRIM(D420)),8,1)),10)),10),10)+1,1)),"OK","REVISAR")),"REVISAR")))</f>
        <v/>
      </c>
      <c r="Q420">
        <f>IF(B420="","",IF(COUNTIFS($B$2:$B$501,B420,$D$2:$D$501,D420)&gt;1,"DUPLICADA",""))</f>
        <v/>
      </c>
      <c r="R420">
        <f>IF(A420="","",ROUNDUP(MONTH(A420)/3,0))</f>
        <v/>
      </c>
      <c r="S420" s="3" t="n"/>
    </row>
    <row r="421">
      <c r="A421" s="2" t="n"/>
      <c r="B421" s="3" t="n"/>
      <c r="C421" s="3" t="n"/>
      <c r="D421" s="3" t="n"/>
      <c r="E421" s="4" t="n"/>
      <c r="F421" s="4" t="n"/>
      <c r="G421" s="4" t="n"/>
      <c r="H421" s="4" t="n"/>
      <c r="I421" s="5">
        <f>IF(E421="","",ROUND(E421*0.21,2))</f>
        <v/>
      </c>
      <c r="J421" s="5">
        <f>IF(F421="","",ROUND(F421*0.1,2))</f>
        <v/>
      </c>
      <c r="K421" s="5">
        <f>IF(G421="","",ROUND(G421*0.04,2))</f>
        <v/>
      </c>
      <c r="L421" s="4" t="n"/>
      <c r="M421" s="4" t="n"/>
      <c r="N421" s="5">
        <f>IF(A421="","",SUM(E421:K421)-N(L421))</f>
        <v/>
      </c>
      <c r="O421">
        <f>IF(OR(A421="",M421=""),"",IF(ABS(M421-N421)&lt;=0.02,"OK","REVISAR"))</f>
        <v/>
      </c>
      <c r="P421">
        <f>IF(D421="","",IF(LEN(TRIM(D421))&lt;&gt;9,"REVISAR",IFERROR(IF(OR(ISNUMBER(VALUE(LEFT(UPPER(TRIM(D421)),1))),LEFT(UPPER(TRIM(D421)),1)="X",LEFT(UPPER(TRIM(D421)),1)="Y",LEFT(UPPER(TRIM(D421)),1)="Z"),IF(MID("TRWAGMYFPDXBNJZSQVHLCKE",MOD(VALUE(SUBSTITUTE(SUBSTITUTE(SUBSTITUTE(LEFT(UPPER(TRIM(D421)),8),"X","0"),"Y","1"),"Z","2")),23)+1,1)=RIGHT(UPPER(TRIM(D421)),1),"OK","REVISAR"),IF(OR(RIGHT(UPPER(TRIM(D421)),1)=TEXT(MOD(10-MOD((VALUE(MID(UPPER(TRIM(D421)),3,1))+VALUE(MID(UPPER(TRIM(D421)),5,1))+VALUE(MID(UPPER(TRIM(D421)),7,1)))+(INT(2*VALUE(MID(UPPER(TRIM(D421)),2,1))/10)+MOD(2*VALUE(MID(UPPER(TRIM(D421)),2,1)),10))+(INT(2*VALUE(MID(UPPER(TRIM(D421)),4,1))/10)+MOD(2*VALUE(MID(UPPER(TRIM(D421)),4,1)),10))+(INT(2*VALUE(MID(UPPER(TRIM(D421)),6,1))/10)+MOD(2*VALUE(MID(UPPER(TRIM(D421)),6,1)),10))+(INT(2*VALUE(MID(UPPER(TRIM(D421)),8,1))/10)+MOD(2*VALUE(MID(UPPER(TRIM(D421)),8,1)),10)),10),10),"0"),RIGHT(UPPER(TRIM(D421)),1)=MID("JABCDEFGHI",MOD(10-MOD((VALUE(MID(UPPER(TRIM(D421)),3,1))+VALUE(MID(UPPER(TRIM(D421)),5,1))+VALUE(MID(UPPER(TRIM(D421)),7,1)))+(INT(2*VALUE(MID(UPPER(TRIM(D421)),2,1))/10)+MOD(2*VALUE(MID(UPPER(TRIM(D421)),2,1)),10))+(INT(2*VALUE(MID(UPPER(TRIM(D421)),4,1))/10)+MOD(2*VALUE(MID(UPPER(TRIM(D421)),4,1)),10))+(INT(2*VALUE(MID(UPPER(TRIM(D421)),6,1))/10)+MOD(2*VALUE(MID(UPPER(TRIM(D421)),6,1)),10))+(INT(2*VALUE(MID(UPPER(TRIM(D421)),8,1))/10)+MOD(2*VALUE(MID(UPPER(TRIM(D421)),8,1)),10)),10),10)+1,1)),"OK","REVISAR")),"REVISAR")))</f>
        <v/>
      </c>
      <c r="Q421">
        <f>IF(B421="","",IF(COUNTIFS($B$2:$B$501,B421,$D$2:$D$501,D421)&gt;1,"DUPLICADA",""))</f>
        <v/>
      </c>
      <c r="R421">
        <f>IF(A421="","",ROUNDUP(MONTH(A421)/3,0))</f>
        <v/>
      </c>
      <c r="S421" s="3" t="n"/>
    </row>
    <row r="422">
      <c r="A422" s="2" t="n"/>
      <c r="B422" s="3" t="n"/>
      <c r="C422" s="3" t="n"/>
      <c r="D422" s="3" t="n"/>
      <c r="E422" s="4" t="n"/>
      <c r="F422" s="4" t="n"/>
      <c r="G422" s="4" t="n"/>
      <c r="H422" s="4" t="n"/>
      <c r="I422" s="5">
        <f>IF(E422="","",ROUND(E422*0.21,2))</f>
        <v/>
      </c>
      <c r="J422" s="5">
        <f>IF(F422="","",ROUND(F422*0.1,2))</f>
        <v/>
      </c>
      <c r="K422" s="5">
        <f>IF(G422="","",ROUND(G422*0.04,2))</f>
        <v/>
      </c>
      <c r="L422" s="4" t="n"/>
      <c r="M422" s="4" t="n"/>
      <c r="N422" s="5">
        <f>IF(A422="","",SUM(E422:K422)-N(L422))</f>
        <v/>
      </c>
      <c r="O422">
        <f>IF(OR(A422="",M422=""),"",IF(ABS(M422-N422)&lt;=0.02,"OK","REVISAR"))</f>
        <v/>
      </c>
      <c r="P422">
        <f>IF(D422="","",IF(LEN(TRIM(D422))&lt;&gt;9,"REVISAR",IFERROR(IF(OR(ISNUMBER(VALUE(LEFT(UPPER(TRIM(D422)),1))),LEFT(UPPER(TRIM(D422)),1)="X",LEFT(UPPER(TRIM(D422)),1)="Y",LEFT(UPPER(TRIM(D422)),1)="Z"),IF(MID("TRWAGMYFPDXBNJZSQVHLCKE",MOD(VALUE(SUBSTITUTE(SUBSTITUTE(SUBSTITUTE(LEFT(UPPER(TRIM(D422)),8),"X","0"),"Y","1"),"Z","2")),23)+1,1)=RIGHT(UPPER(TRIM(D422)),1),"OK","REVISAR"),IF(OR(RIGHT(UPPER(TRIM(D422)),1)=TEXT(MOD(10-MOD((VALUE(MID(UPPER(TRIM(D422)),3,1))+VALUE(MID(UPPER(TRIM(D422)),5,1))+VALUE(MID(UPPER(TRIM(D422)),7,1)))+(INT(2*VALUE(MID(UPPER(TRIM(D422)),2,1))/10)+MOD(2*VALUE(MID(UPPER(TRIM(D422)),2,1)),10))+(INT(2*VALUE(MID(UPPER(TRIM(D422)),4,1))/10)+MOD(2*VALUE(MID(UPPER(TRIM(D422)),4,1)),10))+(INT(2*VALUE(MID(UPPER(TRIM(D422)),6,1))/10)+MOD(2*VALUE(MID(UPPER(TRIM(D422)),6,1)),10))+(INT(2*VALUE(MID(UPPER(TRIM(D422)),8,1))/10)+MOD(2*VALUE(MID(UPPER(TRIM(D422)),8,1)),10)),10),10),"0"),RIGHT(UPPER(TRIM(D422)),1)=MID("JABCDEFGHI",MOD(10-MOD((VALUE(MID(UPPER(TRIM(D422)),3,1))+VALUE(MID(UPPER(TRIM(D422)),5,1))+VALUE(MID(UPPER(TRIM(D422)),7,1)))+(INT(2*VALUE(MID(UPPER(TRIM(D422)),2,1))/10)+MOD(2*VALUE(MID(UPPER(TRIM(D422)),2,1)),10))+(INT(2*VALUE(MID(UPPER(TRIM(D422)),4,1))/10)+MOD(2*VALUE(MID(UPPER(TRIM(D422)),4,1)),10))+(INT(2*VALUE(MID(UPPER(TRIM(D422)),6,1))/10)+MOD(2*VALUE(MID(UPPER(TRIM(D422)),6,1)),10))+(INT(2*VALUE(MID(UPPER(TRIM(D422)),8,1))/10)+MOD(2*VALUE(MID(UPPER(TRIM(D422)),8,1)),10)),10),10)+1,1)),"OK","REVISAR")),"REVISAR")))</f>
        <v/>
      </c>
      <c r="Q422">
        <f>IF(B422="","",IF(COUNTIFS($B$2:$B$501,B422,$D$2:$D$501,D422)&gt;1,"DUPLICADA",""))</f>
        <v/>
      </c>
      <c r="R422">
        <f>IF(A422="","",ROUNDUP(MONTH(A422)/3,0))</f>
        <v/>
      </c>
      <c r="S422" s="3" t="n"/>
    </row>
    <row r="423">
      <c r="A423" s="2" t="n"/>
      <c r="B423" s="3" t="n"/>
      <c r="C423" s="3" t="n"/>
      <c r="D423" s="3" t="n"/>
      <c r="E423" s="4" t="n"/>
      <c r="F423" s="4" t="n"/>
      <c r="G423" s="4" t="n"/>
      <c r="H423" s="4" t="n"/>
      <c r="I423" s="5">
        <f>IF(E423="","",ROUND(E423*0.21,2))</f>
        <v/>
      </c>
      <c r="J423" s="5">
        <f>IF(F423="","",ROUND(F423*0.1,2))</f>
        <v/>
      </c>
      <c r="K423" s="5">
        <f>IF(G423="","",ROUND(G423*0.04,2))</f>
        <v/>
      </c>
      <c r="L423" s="4" t="n"/>
      <c r="M423" s="4" t="n"/>
      <c r="N423" s="5">
        <f>IF(A423="","",SUM(E423:K423)-N(L423))</f>
        <v/>
      </c>
      <c r="O423">
        <f>IF(OR(A423="",M423=""),"",IF(ABS(M423-N423)&lt;=0.02,"OK","REVISAR"))</f>
        <v/>
      </c>
      <c r="P423">
        <f>IF(D423="","",IF(LEN(TRIM(D423))&lt;&gt;9,"REVISAR",IFERROR(IF(OR(ISNUMBER(VALUE(LEFT(UPPER(TRIM(D423)),1))),LEFT(UPPER(TRIM(D423)),1)="X",LEFT(UPPER(TRIM(D423)),1)="Y",LEFT(UPPER(TRIM(D423)),1)="Z"),IF(MID("TRWAGMYFPDXBNJZSQVHLCKE",MOD(VALUE(SUBSTITUTE(SUBSTITUTE(SUBSTITUTE(LEFT(UPPER(TRIM(D423)),8),"X","0"),"Y","1"),"Z","2")),23)+1,1)=RIGHT(UPPER(TRIM(D423)),1),"OK","REVISAR"),IF(OR(RIGHT(UPPER(TRIM(D423)),1)=TEXT(MOD(10-MOD((VALUE(MID(UPPER(TRIM(D423)),3,1))+VALUE(MID(UPPER(TRIM(D423)),5,1))+VALUE(MID(UPPER(TRIM(D423)),7,1)))+(INT(2*VALUE(MID(UPPER(TRIM(D423)),2,1))/10)+MOD(2*VALUE(MID(UPPER(TRIM(D423)),2,1)),10))+(INT(2*VALUE(MID(UPPER(TRIM(D423)),4,1))/10)+MOD(2*VALUE(MID(UPPER(TRIM(D423)),4,1)),10))+(INT(2*VALUE(MID(UPPER(TRIM(D423)),6,1))/10)+MOD(2*VALUE(MID(UPPER(TRIM(D423)),6,1)),10))+(INT(2*VALUE(MID(UPPER(TRIM(D423)),8,1))/10)+MOD(2*VALUE(MID(UPPER(TRIM(D423)),8,1)),10)),10),10),"0"),RIGHT(UPPER(TRIM(D423)),1)=MID("JABCDEFGHI",MOD(10-MOD((VALUE(MID(UPPER(TRIM(D423)),3,1))+VALUE(MID(UPPER(TRIM(D423)),5,1))+VALUE(MID(UPPER(TRIM(D423)),7,1)))+(INT(2*VALUE(MID(UPPER(TRIM(D423)),2,1))/10)+MOD(2*VALUE(MID(UPPER(TRIM(D423)),2,1)),10))+(INT(2*VALUE(MID(UPPER(TRIM(D423)),4,1))/10)+MOD(2*VALUE(MID(UPPER(TRIM(D423)),4,1)),10))+(INT(2*VALUE(MID(UPPER(TRIM(D423)),6,1))/10)+MOD(2*VALUE(MID(UPPER(TRIM(D423)),6,1)),10))+(INT(2*VALUE(MID(UPPER(TRIM(D423)),8,1))/10)+MOD(2*VALUE(MID(UPPER(TRIM(D423)),8,1)),10)),10),10)+1,1)),"OK","REVISAR")),"REVISAR")))</f>
        <v/>
      </c>
      <c r="Q423">
        <f>IF(B423="","",IF(COUNTIFS($B$2:$B$501,B423,$D$2:$D$501,D423)&gt;1,"DUPLICADA",""))</f>
        <v/>
      </c>
      <c r="R423">
        <f>IF(A423="","",ROUNDUP(MONTH(A423)/3,0))</f>
        <v/>
      </c>
      <c r="S423" s="3" t="n"/>
    </row>
    <row r="424">
      <c r="A424" s="2" t="n"/>
      <c r="B424" s="3" t="n"/>
      <c r="C424" s="3" t="n"/>
      <c r="D424" s="3" t="n"/>
      <c r="E424" s="4" t="n"/>
      <c r="F424" s="4" t="n"/>
      <c r="G424" s="4" t="n"/>
      <c r="H424" s="4" t="n"/>
      <c r="I424" s="5">
        <f>IF(E424="","",ROUND(E424*0.21,2))</f>
        <v/>
      </c>
      <c r="J424" s="5">
        <f>IF(F424="","",ROUND(F424*0.1,2))</f>
        <v/>
      </c>
      <c r="K424" s="5">
        <f>IF(G424="","",ROUND(G424*0.04,2))</f>
        <v/>
      </c>
      <c r="L424" s="4" t="n"/>
      <c r="M424" s="4" t="n"/>
      <c r="N424" s="5">
        <f>IF(A424="","",SUM(E424:K424)-N(L424))</f>
        <v/>
      </c>
      <c r="O424">
        <f>IF(OR(A424="",M424=""),"",IF(ABS(M424-N424)&lt;=0.02,"OK","REVISAR"))</f>
        <v/>
      </c>
      <c r="P424">
        <f>IF(D424="","",IF(LEN(TRIM(D424))&lt;&gt;9,"REVISAR",IFERROR(IF(OR(ISNUMBER(VALUE(LEFT(UPPER(TRIM(D424)),1))),LEFT(UPPER(TRIM(D424)),1)="X",LEFT(UPPER(TRIM(D424)),1)="Y",LEFT(UPPER(TRIM(D424)),1)="Z"),IF(MID("TRWAGMYFPDXBNJZSQVHLCKE",MOD(VALUE(SUBSTITUTE(SUBSTITUTE(SUBSTITUTE(LEFT(UPPER(TRIM(D424)),8),"X","0"),"Y","1"),"Z","2")),23)+1,1)=RIGHT(UPPER(TRIM(D424)),1),"OK","REVISAR"),IF(OR(RIGHT(UPPER(TRIM(D424)),1)=TEXT(MOD(10-MOD((VALUE(MID(UPPER(TRIM(D424)),3,1))+VALUE(MID(UPPER(TRIM(D424)),5,1))+VALUE(MID(UPPER(TRIM(D424)),7,1)))+(INT(2*VALUE(MID(UPPER(TRIM(D424)),2,1))/10)+MOD(2*VALUE(MID(UPPER(TRIM(D424)),2,1)),10))+(INT(2*VALUE(MID(UPPER(TRIM(D424)),4,1))/10)+MOD(2*VALUE(MID(UPPER(TRIM(D424)),4,1)),10))+(INT(2*VALUE(MID(UPPER(TRIM(D424)),6,1))/10)+MOD(2*VALUE(MID(UPPER(TRIM(D424)),6,1)),10))+(INT(2*VALUE(MID(UPPER(TRIM(D424)),8,1))/10)+MOD(2*VALUE(MID(UPPER(TRIM(D424)),8,1)),10)),10),10),"0"),RIGHT(UPPER(TRIM(D424)),1)=MID("JABCDEFGHI",MOD(10-MOD((VALUE(MID(UPPER(TRIM(D424)),3,1))+VALUE(MID(UPPER(TRIM(D424)),5,1))+VALUE(MID(UPPER(TRIM(D424)),7,1)))+(INT(2*VALUE(MID(UPPER(TRIM(D424)),2,1))/10)+MOD(2*VALUE(MID(UPPER(TRIM(D424)),2,1)),10))+(INT(2*VALUE(MID(UPPER(TRIM(D424)),4,1))/10)+MOD(2*VALUE(MID(UPPER(TRIM(D424)),4,1)),10))+(INT(2*VALUE(MID(UPPER(TRIM(D424)),6,1))/10)+MOD(2*VALUE(MID(UPPER(TRIM(D424)),6,1)),10))+(INT(2*VALUE(MID(UPPER(TRIM(D424)),8,1))/10)+MOD(2*VALUE(MID(UPPER(TRIM(D424)),8,1)),10)),10),10)+1,1)),"OK","REVISAR")),"REVISAR")))</f>
        <v/>
      </c>
      <c r="Q424">
        <f>IF(B424="","",IF(COUNTIFS($B$2:$B$501,B424,$D$2:$D$501,D424)&gt;1,"DUPLICADA",""))</f>
        <v/>
      </c>
      <c r="R424">
        <f>IF(A424="","",ROUNDUP(MONTH(A424)/3,0))</f>
        <v/>
      </c>
      <c r="S424" s="3" t="n"/>
    </row>
    <row r="425">
      <c r="A425" s="2" t="n"/>
      <c r="B425" s="3" t="n"/>
      <c r="C425" s="3" t="n"/>
      <c r="D425" s="3" t="n"/>
      <c r="E425" s="4" t="n"/>
      <c r="F425" s="4" t="n"/>
      <c r="G425" s="4" t="n"/>
      <c r="H425" s="4" t="n"/>
      <c r="I425" s="5">
        <f>IF(E425="","",ROUND(E425*0.21,2))</f>
        <v/>
      </c>
      <c r="J425" s="5">
        <f>IF(F425="","",ROUND(F425*0.1,2))</f>
        <v/>
      </c>
      <c r="K425" s="5">
        <f>IF(G425="","",ROUND(G425*0.04,2))</f>
        <v/>
      </c>
      <c r="L425" s="4" t="n"/>
      <c r="M425" s="4" t="n"/>
      <c r="N425" s="5">
        <f>IF(A425="","",SUM(E425:K425)-N(L425))</f>
        <v/>
      </c>
      <c r="O425">
        <f>IF(OR(A425="",M425=""),"",IF(ABS(M425-N425)&lt;=0.02,"OK","REVISAR"))</f>
        <v/>
      </c>
      <c r="P425">
        <f>IF(D425="","",IF(LEN(TRIM(D425))&lt;&gt;9,"REVISAR",IFERROR(IF(OR(ISNUMBER(VALUE(LEFT(UPPER(TRIM(D425)),1))),LEFT(UPPER(TRIM(D425)),1)="X",LEFT(UPPER(TRIM(D425)),1)="Y",LEFT(UPPER(TRIM(D425)),1)="Z"),IF(MID("TRWAGMYFPDXBNJZSQVHLCKE",MOD(VALUE(SUBSTITUTE(SUBSTITUTE(SUBSTITUTE(LEFT(UPPER(TRIM(D425)),8),"X","0"),"Y","1"),"Z","2")),23)+1,1)=RIGHT(UPPER(TRIM(D425)),1),"OK","REVISAR"),IF(OR(RIGHT(UPPER(TRIM(D425)),1)=TEXT(MOD(10-MOD((VALUE(MID(UPPER(TRIM(D425)),3,1))+VALUE(MID(UPPER(TRIM(D425)),5,1))+VALUE(MID(UPPER(TRIM(D425)),7,1)))+(INT(2*VALUE(MID(UPPER(TRIM(D425)),2,1))/10)+MOD(2*VALUE(MID(UPPER(TRIM(D425)),2,1)),10))+(INT(2*VALUE(MID(UPPER(TRIM(D425)),4,1))/10)+MOD(2*VALUE(MID(UPPER(TRIM(D425)),4,1)),10))+(INT(2*VALUE(MID(UPPER(TRIM(D425)),6,1))/10)+MOD(2*VALUE(MID(UPPER(TRIM(D425)),6,1)),10))+(INT(2*VALUE(MID(UPPER(TRIM(D425)),8,1))/10)+MOD(2*VALUE(MID(UPPER(TRIM(D425)),8,1)),10)),10),10),"0"),RIGHT(UPPER(TRIM(D425)),1)=MID("JABCDEFGHI",MOD(10-MOD((VALUE(MID(UPPER(TRIM(D425)),3,1))+VALUE(MID(UPPER(TRIM(D425)),5,1))+VALUE(MID(UPPER(TRIM(D425)),7,1)))+(INT(2*VALUE(MID(UPPER(TRIM(D425)),2,1))/10)+MOD(2*VALUE(MID(UPPER(TRIM(D425)),2,1)),10))+(INT(2*VALUE(MID(UPPER(TRIM(D425)),4,1))/10)+MOD(2*VALUE(MID(UPPER(TRIM(D425)),4,1)),10))+(INT(2*VALUE(MID(UPPER(TRIM(D425)),6,1))/10)+MOD(2*VALUE(MID(UPPER(TRIM(D425)),6,1)),10))+(INT(2*VALUE(MID(UPPER(TRIM(D425)),8,1))/10)+MOD(2*VALUE(MID(UPPER(TRIM(D425)),8,1)),10)),10),10)+1,1)),"OK","REVISAR")),"REVISAR")))</f>
        <v/>
      </c>
      <c r="Q425">
        <f>IF(B425="","",IF(COUNTIFS($B$2:$B$501,B425,$D$2:$D$501,D425)&gt;1,"DUPLICADA",""))</f>
        <v/>
      </c>
      <c r="R425">
        <f>IF(A425="","",ROUNDUP(MONTH(A425)/3,0))</f>
        <v/>
      </c>
      <c r="S425" s="3" t="n"/>
    </row>
    <row r="426">
      <c r="A426" s="2" t="n"/>
      <c r="B426" s="3" t="n"/>
      <c r="C426" s="3" t="n"/>
      <c r="D426" s="3" t="n"/>
      <c r="E426" s="4" t="n"/>
      <c r="F426" s="4" t="n"/>
      <c r="G426" s="4" t="n"/>
      <c r="H426" s="4" t="n"/>
      <c r="I426" s="5">
        <f>IF(E426="","",ROUND(E426*0.21,2))</f>
        <v/>
      </c>
      <c r="J426" s="5">
        <f>IF(F426="","",ROUND(F426*0.1,2))</f>
        <v/>
      </c>
      <c r="K426" s="5">
        <f>IF(G426="","",ROUND(G426*0.04,2))</f>
        <v/>
      </c>
      <c r="L426" s="4" t="n"/>
      <c r="M426" s="4" t="n"/>
      <c r="N426" s="5">
        <f>IF(A426="","",SUM(E426:K426)-N(L426))</f>
        <v/>
      </c>
      <c r="O426">
        <f>IF(OR(A426="",M426=""),"",IF(ABS(M426-N426)&lt;=0.02,"OK","REVISAR"))</f>
        <v/>
      </c>
      <c r="P426">
        <f>IF(D426="","",IF(LEN(TRIM(D426))&lt;&gt;9,"REVISAR",IFERROR(IF(OR(ISNUMBER(VALUE(LEFT(UPPER(TRIM(D426)),1))),LEFT(UPPER(TRIM(D426)),1)="X",LEFT(UPPER(TRIM(D426)),1)="Y",LEFT(UPPER(TRIM(D426)),1)="Z"),IF(MID("TRWAGMYFPDXBNJZSQVHLCKE",MOD(VALUE(SUBSTITUTE(SUBSTITUTE(SUBSTITUTE(LEFT(UPPER(TRIM(D426)),8),"X","0"),"Y","1"),"Z","2")),23)+1,1)=RIGHT(UPPER(TRIM(D426)),1),"OK","REVISAR"),IF(OR(RIGHT(UPPER(TRIM(D426)),1)=TEXT(MOD(10-MOD((VALUE(MID(UPPER(TRIM(D426)),3,1))+VALUE(MID(UPPER(TRIM(D426)),5,1))+VALUE(MID(UPPER(TRIM(D426)),7,1)))+(INT(2*VALUE(MID(UPPER(TRIM(D426)),2,1))/10)+MOD(2*VALUE(MID(UPPER(TRIM(D426)),2,1)),10))+(INT(2*VALUE(MID(UPPER(TRIM(D426)),4,1))/10)+MOD(2*VALUE(MID(UPPER(TRIM(D426)),4,1)),10))+(INT(2*VALUE(MID(UPPER(TRIM(D426)),6,1))/10)+MOD(2*VALUE(MID(UPPER(TRIM(D426)),6,1)),10))+(INT(2*VALUE(MID(UPPER(TRIM(D426)),8,1))/10)+MOD(2*VALUE(MID(UPPER(TRIM(D426)),8,1)),10)),10),10),"0"),RIGHT(UPPER(TRIM(D426)),1)=MID("JABCDEFGHI",MOD(10-MOD((VALUE(MID(UPPER(TRIM(D426)),3,1))+VALUE(MID(UPPER(TRIM(D426)),5,1))+VALUE(MID(UPPER(TRIM(D426)),7,1)))+(INT(2*VALUE(MID(UPPER(TRIM(D426)),2,1))/10)+MOD(2*VALUE(MID(UPPER(TRIM(D426)),2,1)),10))+(INT(2*VALUE(MID(UPPER(TRIM(D426)),4,1))/10)+MOD(2*VALUE(MID(UPPER(TRIM(D426)),4,1)),10))+(INT(2*VALUE(MID(UPPER(TRIM(D426)),6,1))/10)+MOD(2*VALUE(MID(UPPER(TRIM(D426)),6,1)),10))+(INT(2*VALUE(MID(UPPER(TRIM(D426)),8,1))/10)+MOD(2*VALUE(MID(UPPER(TRIM(D426)),8,1)),10)),10),10)+1,1)),"OK","REVISAR")),"REVISAR")))</f>
        <v/>
      </c>
      <c r="Q426">
        <f>IF(B426="","",IF(COUNTIFS($B$2:$B$501,B426,$D$2:$D$501,D426)&gt;1,"DUPLICADA",""))</f>
        <v/>
      </c>
      <c r="R426">
        <f>IF(A426="","",ROUNDUP(MONTH(A426)/3,0))</f>
        <v/>
      </c>
      <c r="S426" s="3" t="n"/>
    </row>
    <row r="427">
      <c r="A427" s="2" t="n"/>
      <c r="B427" s="3" t="n"/>
      <c r="C427" s="3" t="n"/>
      <c r="D427" s="3" t="n"/>
      <c r="E427" s="4" t="n"/>
      <c r="F427" s="4" t="n"/>
      <c r="G427" s="4" t="n"/>
      <c r="H427" s="4" t="n"/>
      <c r="I427" s="5">
        <f>IF(E427="","",ROUND(E427*0.21,2))</f>
        <v/>
      </c>
      <c r="J427" s="5">
        <f>IF(F427="","",ROUND(F427*0.1,2))</f>
        <v/>
      </c>
      <c r="K427" s="5">
        <f>IF(G427="","",ROUND(G427*0.04,2))</f>
        <v/>
      </c>
      <c r="L427" s="4" t="n"/>
      <c r="M427" s="4" t="n"/>
      <c r="N427" s="5">
        <f>IF(A427="","",SUM(E427:K427)-N(L427))</f>
        <v/>
      </c>
      <c r="O427">
        <f>IF(OR(A427="",M427=""),"",IF(ABS(M427-N427)&lt;=0.02,"OK","REVISAR"))</f>
        <v/>
      </c>
      <c r="P427">
        <f>IF(D427="","",IF(LEN(TRIM(D427))&lt;&gt;9,"REVISAR",IFERROR(IF(OR(ISNUMBER(VALUE(LEFT(UPPER(TRIM(D427)),1))),LEFT(UPPER(TRIM(D427)),1)="X",LEFT(UPPER(TRIM(D427)),1)="Y",LEFT(UPPER(TRIM(D427)),1)="Z"),IF(MID("TRWAGMYFPDXBNJZSQVHLCKE",MOD(VALUE(SUBSTITUTE(SUBSTITUTE(SUBSTITUTE(LEFT(UPPER(TRIM(D427)),8),"X","0"),"Y","1"),"Z","2")),23)+1,1)=RIGHT(UPPER(TRIM(D427)),1),"OK","REVISAR"),IF(OR(RIGHT(UPPER(TRIM(D427)),1)=TEXT(MOD(10-MOD((VALUE(MID(UPPER(TRIM(D427)),3,1))+VALUE(MID(UPPER(TRIM(D427)),5,1))+VALUE(MID(UPPER(TRIM(D427)),7,1)))+(INT(2*VALUE(MID(UPPER(TRIM(D427)),2,1))/10)+MOD(2*VALUE(MID(UPPER(TRIM(D427)),2,1)),10))+(INT(2*VALUE(MID(UPPER(TRIM(D427)),4,1))/10)+MOD(2*VALUE(MID(UPPER(TRIM(D427)),4,1)),10))+(INT(2*VALUE(MID(UPPER(TRIM(D427)),6,1))/10)+MOD(2*VALUE(MID(UPPER(TRIM(D427)),6,1)),10))+(INT(2*VALUE(MID(UPPER(TRIM(D427)),8,1))/10)+MOD(2*VALUE(MID(UPPER(TRIM(D427)),8,1)),10)),10),10),"0"),RIGHT(UPPER(TRIM(D427)),1)=MID("JABCDEFGHI",MOD(10-MOD((VALUE(MID(UPPER(TRIM(D427)),3,1))+VALUE(MID(UPPER(TRIM(D427)),5,1))+VALUE(MID(UPPER(TRIM(D427)),7,1)))+(INT(2*VALUE(MID(UPPER(TRIM(D427)),2,1))/10)+MOD(2*VALUE(MID(UPPER(TRIM(D427)),2,1)),10))+(INT(2*VALUE(MID(UPPER(TRIM(D427)),4,1))/10)+MOD(2*VALUE(MID(UPPER(TRIM(D427)),4,1)),10))+(INT(2*VALUE(MID(UPPER(TRIM(D427)),6,1))/10)+MOD(2*VALUE(MID(UPPER(TRIM(D427)),6,1)),10))+(INT(2*VALUE(MID(UPPER(TRIM(D427)),8,1))/10)+MOD(2*VALUE(MID(UPPER(TRIM(D427)),8,1)),10)),10),10)+1,1)),"OK","REVISAR")),"REVISAR")))</f>
        <v/>
      </c>
      <c r="Q427">
        <f>IF(B427="","",IF(COUNTIFS($B$2:$B$501,B427,$D$2:$D$501,D427)&gt;1,"DUPLICADA",""))</f>
        <v/>
      </c>
      <c r="R427">
        <f>IF(A427="","",ROUNDUP(MONTH(A427)/3,0))</f>
        <v/>
      </c>
      <c r="S427" s="3" t="n"/>
    </row>
    <row r="428">
      <c r="A428" s="2" t="n"/>
      <c r="B428" s="3" t="n"/>
      <c r="C428" s="3" t="n"/>
      <c r="D428" s="3" t="n"/>
      <c r="E428" s="4" t="n"/>
      <c r="F428" s="4" t="n"/>
      <c r="G428" s="4" t="n"/>
      <c r="H428" s="4" t="n"/>
      <c r="I428" s="5">
        <f>IF(E428="","",ROUND(E428*0.21,2))</f>
        <v/>
      </c>
      <c r="J428" s="5">
        <f>IF(F428="","",ROUND(F428*0.1,2))</f>
        <v/>
      </c>
      <c r="K428" s="5">
        <f>IF(G428="","",ROUND(G428*0.04,2))</f>
        <v/>
      </c>
      <c r="L428" s="4" t="n"/>
      <c r="M428" s="4" t="n"/>
      <c r="N428" s="5">
        <f>IF(A428="","",SUM(E428:K428)-N(L428))</f>
        <v/>
      </c>
      <c r="O428">
        <f>IF(OR(A428="",M428=""),"",IF(ABS(M428-N428)&lt;=0.02,"OK","REVISAR"))</f>
        <v/>
      </c>
      <c r="P428">
        <f>IF(D428="","",IF(LEN(TRIM(D428))&lt;&gt;9,"REVISAR",IFERROR(IF(OR(ISNUMBER(VALUE(LEFT(UPPER(TRIM(D428)),1))),LEFT(UPPER(TRIM(D428)),1)="X",LEFT(UPPER(TRIM(D428)),1)="Y",LEFT(UPPER(TRIM(D428)),1)="Z"),IF(MID("TRWAGMYFPDXBNJZSQVHLCKE",MOD(VALUE(SUBSTITUTE(SUBSTITUTE(SUBSTITUTE(LEFT(UPPER(TRIM(D428)),8),"X","0"),"Y","1"),"Z","2")),23)+1,1)=RIGHT(UPPER(TRIM(D428)),1),"OK","REVISAR"),IF(OR(RIGHT(UPPER(TRIM(D428)),1)=TEXT(MOD(10-MOD((VALUE(MID(UPPER(TRIM(D428)),3,1))+VALUE(MID(UPPER(TRIM(D428)),5,1))+VALUE(MID(UPPER(TRIM(D428)),7,1)))+(INT(2*VALUE(MID(UPPER(TRIM(D428)),2,1))/10)+MOD(2*VALUE(MID(UPPER(TRIM(D428)),2,1)),10))+(INT(2*VALUE(MID(UPPER(TRIM(D428)),4,1))/10)+MOD(2*VALUE(MID(UPPER(TRIM(D428)),4,1)),10))+(INT(2*VALUE(MID(UPPER(TRIM(D428)),6,1))/10)+MOD(2*VALUE(MID(UPPER(TRIM(D428)),6,1)),10))+(INT(2*VALUE(MID(UPPER(TRIM(D428)),8,1))/10)+MOD(2*VALUE(MID(UPPER(TRIM(D428)),8,1)),10)),10),10),"0"),RIGHT(UPPER(TRIM(D428)),1)=MID("JABCDEFGHI",MOD(10-MOD((VALUE(MID(UPPER(TRIM(D428)),3,1))+VALUE(MID(UPPER(TRIM(D428)),5,1))+VALUE(MID(UPPER(TRIM(D428)),7,1)))+(INT(2*VALUE(MID(UPPER(TRIM(D428)),2,1))/10)+MOD(2*VALUE(MID(UPPER(TRIM(D428)),2,1)),10))+(INT(2*VALUE(MID(UPPER(TRIM(D428)),4,1))/10)+MOD(2*VALUE(MID(UPPER(TRIM(D428)),4,1)),10))+(INT(2*VALUE(MID(UPPER(TRIM(D428)),6,1))/10)+MOD(2*VALUE(MID(UPPER(TRIM(D428)),6,1)),10))+(INT(2*VALUE(MID(UPPER(TRIM(D428)),8,1))/10)+MOD(2*VALUE(MID(UPPER(TRIM(D428)),8,1)),10)),10),10)+1,1)),"OK","REVISAR")),"REVISAR")))</f>
        <v/>
      </c>
      <c r="Q428">
        <f>IF(B428="","",IF(COUNTIFS($B$2:$B$501,B428,$D$2:$D$501,D428)&gt;1,"DUPLICADA",""))</f>
        <v/>
      </c>
      <c r="R428">
        <f>IF(A428="","",ROUNDUP(MONTH(A428)/3,0))</f>
        <v/>
      </c>
      <c r="S428" s="3" t="n"/>
    </row>
    <row r="429">
      <c r="A429" s="2" t="n"/>
      <c r="B429" s="3" t="n"/>
      <c r="C429" s="3" t="n"/>
      <c r="D429" s="3" t="n"/>
      <c r="E429" s="4" t="n"/>
      <c r="F429" s="4" t="n"/>
      <c r="G429" s="4" t="n"/>
      <c r="H429" s="4" t="n"/>
      <c r="I429" s="5">
        <f>IF(E429="","",ROUND(E429*0.21,2))</f>
        <v/>
      </c>
      <c r="J429" s="5">
        <f>IF(F429="","",ROUND(F429*0.1,2))</f>
        <v/>
      </c>
      <c r="K429" s="5">
        <f>IF(G429="","",ROUND(G429*0.04,2))</f>
        <v/>
      </c>
      <c r="L429" s="4" t="n"/>
      <c r="M429" s="4" t="n"/>
      <c r="N429" s="5">
        <f>IF(A429="","",SUM(E429:K429)-N(L429))</f>
        <v/>
      </c>
      <c r="O429">
        <f>IF(OR(A429="",M429=""),"",IF(ABS(M429-N429)&lt;=0.02,"OK","REVISAR"))</f>
        <v/>
      </c>
      <c r="P429">
        <f>IF(D429="","",IF(LEN(TRIM(D429))&lt;&gt;9,"REVISAR",IFERROR(IF(OR(ISNUMBER(VALUE(LEFT(UPPER(TRIM(D429)),1))),LEFT(UPPER(TRIM(D429)),1)="X",LEFT(UPPER(TRIM(D429)),1)="Y",LEFT(UPPER(TRIM(D429)),1)="Z"),IF(MID("TRWAGMYFPDXBNJZSQVHLCKE",MOD(VALUE(SUBSTITUTE(SUBSTITUTE(SUBSTITUTE(LEFT(UPPER(TRIM(D429)),8),"X","0"),"Y","1"),"Z","2")),23)+1,1)=RIGHT(UPPER(TRIM(D429)),1),"OK","REVISAR"),IF(OR(RIGHT(UPPER(TRIM(D429)),1)=TEXT(MOD(10-MOD((VALUE(MID(UPPER(TRIM(D429)),3,1))+VALUE(MID(UPPER(TRIM(D429)),5,1))+VALUE(MID(UPPER(TRIM(D429)),7,1)))+(INT(2*VALUE(MID(UPPER(TRIM(D429)),2,1))/10)+MOD(2*VALUE(MID(UPPER(TRIM(D429)),2,1)),10))+(INT(2*VALUE(MID(UPPER(TRIM(D429)),4,1))/10)+MOD(2*VALUE(MID(UPPER(TRIM(D429)),4,1)),10))+(INT(2*VALUE(MID(UPPER(TRIM(D429)),6,1))/10)+MOD(2*VALUE(MID(UPPER(TRIM(D429)),6,1)),10))+(INT(2*VALUE(MID(UPPER(TRIM(D429)),8,1))/10)+MOD(2*VALUE(MID(UPPER(TRIM(D429)),8,1)),10)),10),10),"0"),RIGHT(UPPER(TRIM(D429)),1)=MID("JABCDEFGHI",MOD(10-MOD((VALUE(MID(UPPER(TRIM(D429)),3,1))+VALUE(MID(UPPER(TRIM(D429)),5,1))+VALUE(MID(UPPER(TRIM(D429)),7,1)))+(INT(2*VALUE(MID(UPPER(TRIM(D429)),2,1))/10)+MOD(2*VALUE(MID(UPPER(TRIM(D429)),2,1)),10))+(INT(2*VALUE(MID(UPPER(TRIM(D429)),4,1))/10)+MOD(2*VALUE(MID(UPPER(TRIM(D429)),4,1)),10))+(INT(2*VALUE(MID(UPPER(TRIM(D429)),6,1))/10)+MOD(2*VALUE(MID(UPPER(TRIM(D429)),6,1)),10))+(INT(2*VALUE(MID(UPPER(TRIM(D429)),8,1))/10)+MOD(2*VALUE(MID(UPPER(TRIM(D429)),8,1)),10)),10),10)+1,1)),"OK","REVISAR")),"REVISAR")))</f>
        <v/>
      </c>
      <c r="Q429">
        <f>IF(B429="","",IF(COUNTIFS($B$2:$B$501,B429,$D$2:$D$501,D429)&gt;1,"DUPLICADA",""))</f>
        <v/>
      </c>
      <c r="R429">
        <f>IF(A429="","",ROUNDUP(MONTH(A429)/3,0))</f>
        <v/>
      </c>
      <c r="S429" s="3" t="n"/>
    </row>
    <row r="430">
      <c r="A430" s="2" t="n"/>
      <c r="B430" s="3" t="n"/>
      <c r="C430" s="3" t="n"/>
      <c r="D430" s="3" t="n"/>
      <c r="E430" s="4" t="n"/>
      <c r="F430" s="4" t="n"/>
      <c r="G430" s="4" t="n"/>
      <c r="H430" s="4" t="n"/>
      <c r="I430" s="5">
        <f>IF(E430="","",ROUND(E430*0.21,2))</f>
        <v/>
      </c>
      <c r="J430" s="5">
        <f>IF(F430="","",ROUND(F430*0.1,2))</f>
        <v/>
      </c>
      <c r="K430" s="5">
        <f>IF(G430="","",ROUND(G430*0.04,2))</f>
        <v/>
      </c>
      <c r="L430" s="4" t="n"/>
      <c r="M430" s="4" t="n"/>
      <c r="N430" s="5">
        <f>IF(A430="","",SUM(E430:K430)-N(L430))</f>
        <v/>
      </c>
      <c r="O430">
        <f>IF(OR(A430="",M430=""),"",IF(ABS(M430-N430)&lt;=0.02,"OK","REVISAR"))</f>
        <v/>
      </c>
      <c r="P430">
        <f>IF(D430="","",IF(LEN(TRIM(D430))&lt;&gt;9,"REVISAR",IFERROR(IF(OR(ISNUMBER(VALUE(LEFT(UPPER(TRIM(D430)),1))),LEFT(UPPER(TRIM(D430)),1)="X",LEFT(UPPER(TRIM(D430)),1)="Y",LEFT(UPPER(TRIM(D430)),1)="Z"),IF(MID("TRWAGMYFPDXBNJZSQVHLCKE",MOD(VALUE(SUBSTITUTE(SUBSTITUTE(SUBSTITUTE(LEFT(UPPER(TRIM(D430)),8),"X","0"),"Y","1"),"Z","2")),23)+1,1)=RIGHT(UPPER(TRIM(D430)),1),"OK","REVISAR"),IF(OR(RIGHT(UPPER(TRIM(D430)),1)=TEXT(MOD(10-MOD((VALUE(MID(UPPER(TRIM(D430)),3,1))+VALUE(MID(UPPER(TRIM(D430)),5,1))+VALUE(MID(UPPER(TRIM(D430)),7,1)))+(INT(2*VALUE(MID(UPPER(TRIM(D430)),2,1))/10)+MOD(2*VALUE(MID(UPPER(TRIM(D430)),2,1)),10))+(INT(2*VALUE(MID(UPPER(TRIM(D430)),4,1))/10)+MOD(2*VALUE(MID(UPPER(TRIM(D430)),4,1)),10))+(INT(2*VALUE(MID(UPPER(TRIM(D430)),6,1))/10)+MOD(2*VALUE(MID(UPPER(TRIM(D430)),6,1)),10))+(INT(2*VALUE(MID(UPPER(TRIM(D430)),8,1))/10)+MOD(2*VALUE(MID(UPPER(TRIM(D430)),8,1)),10)),10),10),"0"),RIGHT(UPPER(TRIM(D430)),1)=MID("JABCDEFGHI",MOD(10-MOD((VALUE(MID(UPPER(TRIM(D430)),3,1))+VALUE(MID(UPPER(TRIM(D430)),5,1))+VALUE(MID(UPPER(TRIM(D430)),7,1)))+(INT(2*VALUE(MID(UPPER(TRIM(D430)),2,1))/10)+MOD(2*VALUE(MID(UPPER(TRIM(D430)),2,1)),10))+(INT(2*VALUE(MID(UPPER(TRIM(D430)),4,1))/10)+MOD(2*VALUE(MID(UPPER(TRIM(D430)),4,1)),10))+(INT(2*VALUE(MID(UPPER(TRIM(D430)),6,1))/10)+MOD(2*VALUE(MID(UPPER(TRIM(D430)),6,1)),10))+(INT(2*VALUE(MID(UPPER(TRIM(D430)),8,1))/10)+MOD(2*VALUE(MID(UPPER(TRIM(D430)),8,1)),10)),10),10)+1,1)),"OK","REVISAR")),"REVISAR")))</f>
        <v/>
      </c>
      <c r="Q430">
        <f>IF(B430="","",IF(COUNTIFS($B$2:$B$501,B430,$D$2:$D$501,D430)&gt;1,"DUPLICADA",""))</f>
        <v/>
      </c>
      <c r="R430">
        <f>IF(A430="","",ROUNDUP(MONTH(A430)/3,0))</f>
        <v/>
      </c>
      <c r="S430" s="3" t="n"/>
    </row>
    <row r="431">
      <c r="A431" s="2" t="n"/>
      <c r="B431" s="3" t="n"/>
      <c r="C431" s="3" t="n"/>
      <c r="D431" s="3" t="n"/>
      <c r="E431" s="4" t="n"/>
      <c r="F431" s="4" t="n"/>
      <c r="G431" s="4" t="n"/>
      <c r="H431" s="4" t="n"/>
      <c r="I431" s="5">
        <f>IF(E431="","",ROUND(E431*0.21,2))</f>
        <v/>
      </c>
      <c r="J431" s="5">
        <f>IF(F431="","",ROUND(F431*0.1,2))</f>
        <v/>
      </c>
      <c r="K431" s="5">
        <f>IF(G431="","",ROUND(G431*0.04,2))</f>
        <v/>
      </c>
      <c r="L431" s="4" t="n"/>
      <c r="M431" s="4" t="n"/>
      <c r="N431" s="5">
        <f>IF(A431="","",SUM(E431:K431)-N(L431))</f>
        <v/>
      </c>
      <c r="O431">
        <f>IF(OR(A431="",M431=""),"",IF(ABS(M431-N431)&lt;=0.02,"OK","REVISAR"))</f>
        <v/>
      </c>
      <c r="P431">
        <f>IF(D431="","",IF(LEN(TRIM(D431))&lt;&gt;9,"REVISAR",IFERROR(IF(OR(ISNUMBER(VALUE(LEFT(UPPER(TRIM(D431)),1))),LEFT(UPPER(TRIM(D431)),1)="X",LEFT(UPPER(TRIM(D431)),1)="Y",LEFT(UPPER(TRIM(D431)),1)="Z"),IF(MID("TRWAGMYFPDXBNJZSQVHLCKE",MOD(VALUE(SUBSTITUTE(SUBSTITUTE(SUBSTITUTE(LEFT(UPPER(TRIM(D431)),8),"X","0"),"Y","1"),"Z","2")),23)+1,1)=RIGHT(UPPER(TRIM(D431)),1),"OK","REVISAR"),IF(OR(RIGHT(UPPER(TRIM(D431)),1)=TEXT(MOD(10-MOD((VALUE(MID(UPPER(TRIM(D431)),3,1))+VALUE(MID(UPPER(TRIM(D431)),5,1))+VALUE(MID(UPPER(TRIM(D431)),7,1)))+(INT(2*VALUE(MID(UPPER(TRIM(D431)),2,1))/10)+MOD(2*VALUE(MID(UPPER(TRIM(D431)),2,1)),10))+(INT(2*VALUE(MID(UPPER(TRIM(D431)),4,1))/10)+MOD(2*VALUE(MID(UPPER(TRIM(D431)),4,1)),10))+(INT(2*VALUE(MID(UPPER(TRIM(D431)),6,1))/10)+MOD(2*VALUE(MID(UPPER(TRIM(D431)),6,1)),10))+(INT(2*VALUE(MID(UPPER(TRIM(D431)),8,1))/10)+MOD(2*VALUE(MID(UPPER(TRIM(D431)),8,1)),10)),10),10),"0"),RIGHT(UPPER(TRIM(D431)),1)=MID("JABCDEFGHI",MOD(10-MOD((VALUE(MID(UPPER(TRIM(D431)),3,1))+VALUE(MID(UPPER(TRIM(D431)),5,1))+VALUE(MID(UPPER(TRIM(D431)),7,1)))+(INT(2*VALUE(MID(UPPER(TRIM(D431)),2,1))/10)+MOD(2*VALUE(MID(UPPER(TRIM(D431)),2,1)),10))+(INT(2*VALUE(MID(UPPER(TRIM(D431)),4,1))/10)+MOD(2*VALUE(MID(UPPER(TRIM(D431)),4,1)),10))+(INT(2*VALUE(MID(UPPER(TRIM(D431)),6,1))/10)+MOD(2*VALUE(MID(UPPER(TRIM(D431)),6,1)),10))+(INT(2*VALUE(MID(UPPER(TRIM(D431)),8,1))/10)+MOD(2*VALUE(MID(UPPER(TRIM(D431)),8,1)),10)),10),10)+1,1)),"OK","REVISAR")),"REVISAR")))</f>
        <v/>
      </c>
      <c r="Q431">
        <f>IF(B431="","",IF(COUNTIFS($B$2:$B$501,B431,$D$2:$D$501,D431)&gt;1,"DUPLICADA",""))</f>
        <v/>
      </c>
      <c r="R431">
        <f>IF(A431="","",ROUNDUP(MONTH(A431)/3,0))</f>
        <v/>
      </c>
      <c r="S431" s="3" t="n"/>
    </row>
    <row r="432">
      <c r="A432" s="2" t="n"/>
      <c r="B432" s="3" t="n"/>
      <c r="C432" s="3" t="n"/>
      <c r="D432" s="3" t="n"/>
      <c r="E432" s="4" t="n"/>
      <c r="F432" s="4" t="n"/>
      <c r="G432" s="4" t="n"/>
      <c r="H432" s="4" t="n"/>
      <c r="I432" s="5">
        <f>IF(E432="","",ROUND(E432*0.21,2))</f>
        <v/>
      </c>
      <c r="J432" s="5">
        <f>IF(F432="","",ROUND(F432*0.1,2))</f>
        <v/>
      </c>
      <c r="K432" s="5">
        <f>IF(G432="","",ROUND(G432*0.04,2))</f>
        <v/>
      </c>
      <c r="L432" s="4" t="n"/>
      <c r="M432" s="4" t="n"/>
      <c r="N432" s="5">
        <f>IF(A432="","",SUM(E432:K432)-N(L432))</f>
        <v/>
      </c>
      <c r="O432">
        <f>IF(OR(A432="",M432=""),"",IF(ABS(M432-N432)&lt;=0.02,"OK","REVISAR"))</f>
        <v/>
      </c>
      <c r="P432">
        <f>IF(D432="","",IF(LEN(TRIM(D432))&lt;&gt;9,"REVISAR",IFERROR(IF(OR(ISNUMBER(VALUE(LEFT(UPPER(TRIM(D432)),1))),LEFT(UPPER(TRIM(D432)),1)="X",LEFT(UPPER(TRIM(D432)),1)="Y",LEFT(UPPER(TRIM(D432)),1)="Z"),IF(MID("TRWAGMYFPDXBNJZSQVHLCKE",MOD(VALUE(SUBSTITUTE(SUBSTITUTE(SUBSTITUTE(LEFT(UPPER(TRIM(D432)),8),"X","0"),"Y","1"),"Z","2")),23)+1,1)=RIGHT(UPPER(TRIM(D432)),1),"OK","REVISAR"),IF(OR(RIGHT(UPPER(TRIM(D432)),1)=TEXT(MOD(10-MOD((VALUE(MID(UPPER(TRIM(D432)),3,1))+VALUE(MID(UPPER(TRIM(D432)),5,1))+VALUE(MID(UPPER(TRIM(D432)),7,1)))+(INT(2*VALUE(MID(UPPER(TRIM(D432)),2,1))/10)+MOD(2*VALUE(MID(UPPER(TRIM(D432)),2,1)),10))+(INT(2*VALUE(MID(UPPER(TRIM(D432)),4,1))/10)+MOD(2*VALUE(MID(UPPER(TRIM(D432)),4,1)),10))+(INT(2*VALUE(MID(UPPER(TRIM(D432)),6,1))/10)+MOD(2*VALUE(MID(UPPER(TRIM(D432)),6,1)),10))+(INT(2*VALUE(MID(UPPER(TRIM(D432)),8,1))/10)+MOD(2*VALUE(MID(UPPER(TRIM(D432)),8,1)),10)),10),10),"0"),RIGHT(UPPER(TRIM(D432)),1)=MID("JABCDEFGHI",MOD(10-MOD((VALUE(MID(UPPER(TRIM(D432)),3,1))+VALUE(MID(UPPER(TRIM(D432)),5,1))+VALUE(MID(UPPER(TRIM(D432)),7,1)))+(INT(2*VALUE(MID(UPPER(TRIM(D432)),2,1))/10)+MOD(2*VALUE(MID(UPPER(TRIM(D432)),2,1)),10))+(INT(2*VALUE(MID(UPPER(TRIM(D432)),4,1))/10)+MOD(2*VALUE(MID(UPPER(TRIM(D432)),4,1)),10))+(INT(2*VALUE(MID(UPPER(TRIM(D432)),6,1))/10)+MOD(2*VALUE(MID(UPPER(TRIM(D432)),6,1)),10))+(INT(2*VALUE(MID(UPPER(TRIM(D432)),8,1))/10)+MOD(2*VALUE(MID(UPPER(TRIM(D432)),8,1)),10)),10),10)+1,1)),"OK","REVISAR")),"REVISAR")))</f>
        <v/>
      </c>
      <c r="Q432">
        <f>IF(B432="","",IF(COUNTIFS($B$2:$B$501,B432,$D$2:$D$501,D432)&gt;1,"DUPLICADA",""))</f>
        <v/>
      </c>
      <c r="R432">
        <f>IF(A432="","",ROUNDUP(MONTH(A432)/3,0))</f>
        <v/>
      </c>
      <c r="S432" s="3" t="n"/>
    </row>
    <row r="433">
      <c r="A433" s="2" t="n"/>
      <c r="B433" s="3" t="n"/>
      <c r="C433" s="3" t="n"/>
      <c r="D433" s="3" t="n"/>
      <c r="E433" s="4" t="n"/>
      <c r="F433" s="4" t="n"/>
      <c r="G433" s="4" t="n"/>
      <c r="H433" s="4" t="n"/>
      <c r="I433" s="5">
        <f>IF(E433="","",ROUND(E433*0.21,2))</f>
        <v/>
      </c>
      <c r="J433" s="5">
        <f>IF(F433="","",ROUND(F433*0.1,2))</f>
        <v/>
      </c>
      <c r="K433" s="5">
        <f>IF(G433="","",ROUND(G433*0.04,2))</f>
        <v/>
      </c>
      <c r="L433" s="4" t="n"/>
      <c r="M433" s="4" t="n"/>
      <c r="N433" s="5">
        <f>IF(A433="","",SUM(E433:K433)-N(L433))</f>
        <v/>
      </c>
      <c r="O433">
        <f>IF(OR(A433="",M433=""),"",IF(ABS(M433-N433)&lt;=0.02,"OK","REVISAR"))</f>
        <v/>
      </c>
      <c r="P433">
        <f>IF(D433="","",IF(LEN(TRIM(D433))&lt;&gt;9,"REVISAR",IFERROR(IF(OR(ISNUMBER(VALUE(LEFT(UPPER(TRIM(D433)),1))),LEFT(UPPER(TRIM(D433)),1)="X",LEFT(UPPER(TRIM(D433)),1)="Y",LEFT(UPPER(TRIM(D433)),1)="Z"),IF(MID("TRWAGMYFPDXBNJZSQVHLCKE",MOD(VALUE(SUBSTITUTE(SUBSTITUTE(SUBSTITUTE(LEFT(UPPER(TRIM(D433)),8),"X","0"),"Y","1"),"Z","2")),23)+1,1)=RIGHT(UPPER(TRIM(D433)),1),"OK","REVISAR"),IF(OR(RIGHT(UPPER(TRIM(D433)),1)=TEXT(MOD(10-MOD((VALUE(MID(UPPER(TRIM(D433)),3,1))+VALUE(MID(UPPER(TRIM(D433)),5,1))+VALUE(MID(UPPER(TRIM(D433)),7,1)))+(INT(2*VALUE(MID(UPPER(TRIM(D433)),2,1))/10)+MOD(2*VALUE(MID(UPPER(TRIM(D433)),2,1)),10))+(INT(2*VALUE(MID(UPPER(TRIM(D433)),4,1))/10)+MOD(2*VALUE(MID(UPPER(TRIM(D433)),4,1)),10))+(INT(2*VALUE(MID(UPPER(TRIM(D433)),6,1))/10)+MOD(2*VALUE(MID(UPPER(TRIM(D433)),6,1)),10))+(INT(2*VALUE(MID(UPPER(TRIM(D433)),8,1))/10)+MOD(2*VALUE(MID(UPPER(TRIM(D433)),8,1)),10)),10),10),"0"),RIGHT(UPPER(TRIM(D433)),1)=MID("JABCDEFGHI",MOD(10-MOD((VALUE(MID(UPPER(TRIM(D433)),3,1))+VALUE(MID(UPPER(TRIM(D433)),5,1))+VALUE(MID(UPPER(TRIM(D433)),7,1)))+(INT(2*VALUE(MID(UPPER(TRIM(D433)),2,1))/10)+MOD(2*VALUE(MID(UPPER(TRIM(D433)),2,1)),10))+(INT(2*VALUE(MID(UPPER(TRIM(D433)),4,1))/10)+MOD(2*VALUE(MID(UPPER(TRIM(D433)),4,1)),10))+(INT(2*VALUE(MID(UPPER(TRIM(D433)),6,1))/10)+MOD(2*VALUE(MID(UPPER(TRIM(D433)),6,1)),10))+(INT(2*VALUE(MID(UPPER(TRIM(D433)),8,1))/10)+MOD(2*VALUE(MID(UPPER(TRIM(D433)),8,1)),10)),10),10)+1,1)),"OK","REVISAR")),"REVISAR")))</f>
        <v/>
      </c>
      <c r="Q433">
        <f>IF(B433="","",IF(COUNTIFS($B$2:$B$501,B433,$D$2:$D$501,D433)&gt;1,"DUPLICADA",""))</f>
        <v/>
      </c>
      <c r="R433">
        <f>IF(A433="","",ROUNDUP(MONTH(A433)/3,0))</f>
        <v/>
      </c>
      <c r="S433" s="3" t="n"/>
    </row>
    <row r="434">
      <c r="A434" s="2" t="n"/>
      <c r="B434" s="3" t="n"/>
      <c r="C434" s="3" t="n"/>
      <c r="D434" s="3" t="n"/>
      <c r="E434" s="4" t="n"/>
      <c r="F434" s="4" t="n"/>
      <c r="G434" s="4" t="n"/>
      <c r="H434" s="4" t="n"/>
      <c r="I434" s="5">
        <f>IF(E434="","",ROUND(E434*0.21,2))</f>
        <v/>
      </c>
      <c r="J434" s="5">
        <f>IF(F434="","",ROUND(F434*0.1,2))</f>
        <v/>
      </c>
      <c r="K434" s="5">
        <f>IF(G434="","",ROUND(G434*0.04,2))</f>
        <v/>
      </c>
      <c r="L434" s="4" t="n"/>
      <c r="M434" s="4" t="n"/>
      <c r="N434" s="5">
        <f>IF(A434="","",SUM(E434:K434)-N(L434))</f>
        <v/>
      </c>
      <c r="O434">
        <f>IF(OR(A434="",M434=""),"",IF(ABS(M434-N434)&lt;=0.02,"OK","REVISAR"))</f>
        <v/>
      </c>
      <c r="P434">
        <f>IF(D434="","",IF(LEN(TRIM(D434))&lt;&gt;9,"REVISAR",IFERROR(IF(OR(ISNUMBER(VALUE(LEFT(UPPER(TRIM(D434)),1))),LEFT(UPPER(TRIM(D434)),1)="X",LEFT(UPPER(TRIM(D434)),1)="Y",LEFT(UPPER(TRIM(D434)),1)="Z"),IF(MID("TRWAGMYFPDXBNJZSQVHLCKE",MOD(VALUE(SUBSTITUTE(SUBSTITUTE(SUBSTITUTE(LEFT(UPPER(TRIM(D434)),8),"X","0"),"Y","1"),"Z","2")),23)+1,1)=RIGHT(UPPER(TRIM(D434)),1),"OK","REVISAR"),IF(OR(RIGHT(UPPER(TRIM(D434)),1)=TEXT(MOD(10-MOD((VALUE(MID(UPPER(TRIM(D434)),3,1))+VALUE(MID(UPPER(TRIM(D434)),5,1))+VALUE(MID(UPPER(TRIM(D434)),7,1)))+(INT(2*VALUE(MID(UPPER(TRIM(D434)),2,1))/10)+MOD(2*VALUE(MID(UPPER(TRIM(D434)),2,1)),10))+(INT(2*VALUE(MID(UPPER(TRIM(D434)),4,1))/10)+MOD(2*VALUE(MID(UPPER(TRIM(D434)),4,1)),10))+(INT(2*VALUE(MID(UPPER(TRIM(D434)),6,1))/10)+MOD(2*VALUE(MID(UPPER(TRIM(D434)),6,1)),10))+(INT(2*VALUE(MID(UPPER(TRIM(D434)),8,1))/10)+MOD(2*VALUE(MID(UPPER(TRIM(D434)),8,1)),10)),10),10),"0"),RIGHT(UPPER(TRIM(D434)),1)=MID("JABCDEFGHI",MOD(10-MOD((VALUE(MID(UPPER(TRIM(D434)),3,1))+VALUE(MID(UPPER(TRIM(D434)),5,1))+VALUE(MID(UPPER(TRIM(D434)),7,1)))+(INT(2*VALUE(MID(UPPER(TRIM(D434)),2,1))/10)+MOD(2*VALUE(MID(UPPER(TRIM(D434)),2,1)),10))+(INT(2*VALUE(MID(UPPER(TRIM(D434)),4,1))/10)+MOD(2*VALUE(MID(UPPER(TRIM(D434)),4,1)),10))+(INT(2*VALUE(MID(UPPER(TRIM(D434)),6,1))/10)+MOD(2*VALUE(MID(UPPER(TRIM(D434)),6,1)),10))+(INT(2*VALUE(MID(UPPER(TRIM(D434)),8,1))/10)+MOD(2*VALUE(MID(UPPER(TRIM(D434)),8,1)),10)),10),10)+1,1)),"OK","REVISAR")),"REVISAR")))</f>
        <v/>
      </c>
      <c r="Q434">
        <f>IF(B434="","",IF(COUNTIFS($B$2:$B$501,B434,$D$2:$D$501,D434)&gt;1,"DUPLICADA",""))</f>
        <v/>
      </c>
      <c r="R434">
        <f>IF(A434="","",ROUNDUP(MONTH(A434)/3,0))</f>
        <v/>
      </c>
      <c r="S434" s="3" t="n"/>
    </row>
    <row r="435">
      <c r="A435" s="2" t="n"/>
      <c r="B435" s="3" t="n"/>
      <c r="C435" s="3" t="n"/>
      <c r="D435" s="3" t="n"/>
      <c r="E435" s="4" t="n"/>
      <c r="F435" s="4" t="n"/>
      <c r="G435" s="4" t="n"/>
      <c r="H435" s="4" t="n"/>
      <c r="I435" s="5">
        <f>IF(E435="","",ROUND(E435*0.21,2))</f>
        <v/>
      </c>
      <c r="J435" s="5">
        <f>IF(F435="","",ROUND(F435*0.1,2))</f>
        <v/>
      </c>
      <c r="K435" s="5">
        <f>IF(G435="","",ROUND(G435*0.04,2))</f>
        <v/>
      </c>
      <c r="L435" s="4" t="n"/>
      <c r="M435" s="4" t="n"/>
      <c r="N435" s="5">
        <f>IF(A435="","",SUM(E435:K435)-N(L435))</f>
        <v/>
      </c>
      <c r="O435">
        <f>IF(OR(A435="",M435=""),"",IF(ABS(M435-N435)&lt;=0.02,"OK","REVISAR"))</f>
        <v/>
      </c>
      <c r="P435">
        <f>IF(D435="","",IF(LEN(TRIM(D435))&lt;&gt;9,"REVISAR",IFERROR(IF(OR(ISNUMBER(VALUE(LEFT(UPPER(TRIM(D435)),1))),LEFT(UPPER(TRIM(D435)),1)="X",LEFT(UPPER(TRIM(D435)),1)="Y",LEFT(UPPER(TRIM(D435)),1)="Z"),IF(MID("TRWAGMYFPDXBNJZSQVHLCKE",MOD(VALUE(SUBSTITUTE(SUBSTITUTE(SUBSTITUTE(LEFT(UPPER(TRIM(D435)),8),"X","0"),"Y","1"),"Z","2")),23)+1,1)=RIGHT(UPPER(TRIM(D435)),1),"OK","REVISAR"),IF(OR(RIGHT(UPPER(TRIM(D435)),1)=TEXT(MOD(10-MOD((VALUE(MID(UPPER(TRIM(D435)),3,1))+VALUE(MID(UPPER(TRIM(D435)),5,1))+VALUE(MID(UPPER(TRIM(D435)),7,1)))+(INT(2*VALUE(MID(UPPER(TRIM(D435)),2,1))/10)+MOD(2*VALUE(MID(UPPER(TRIM(D435)),2,1)),10))+(INT(2*VALUE(MID(UPPER(TRIM(D435)),4,1))/10)+MOD(2*VALUE(MID(UPPER(TRIM(D435)),4,1)),10))+(INT(2*VALUE(MID(UPPER(TRIM(D435)),6,1))/10)+MOD(2*VALUE(MID(UPPER(TRIM(D435)),6,1)),10))+(INT(2*VALUE(MID(UPPER(TRIM(D435)),8,1))/10)+MOD(2*VALUE(MID(UPPER(TRIM(D435)),8,1)),10)),10),10),"0"),RIGHT(UPPER(TRIM(D435)),1)=MID("JABCDEFGHI",MOD(10-MOD((VALUE(MID(UPPER(TRIM(D435)),3,1))+VALUE(MID(UPPER(TRIM(D435)),5,1))+VALUE(MID(UPPER(TRIM(D435)),7,1)))+(INT(2*VALUE(MID(UPPER(TRIM(D435)),2,1))/10)+MOD(2*VALUE(MID(UPPER(TRIM(D435)),2,1)),10))+(INT(2*VALUE(MID(UPPER(TRIM(D435)),4,1))/10)+MOD(2*VALUE(MID(UPPER(TRIM(D435)),4,1)),10))+(INT(2*VALUE(MID(UPPER(TRIM(D435)),6,1))/10)+MOD(2*VALUE(MID(UPPER(TRIM(D435)),6,1)),10))+(INT(2*VALUE(MID(UPPER(TRIM(D435)),8,1))/10)+MOD(2*VALUE(MID(UPPER(TRIM(D435)),8,1)),10)),10),10)+1,1)),"OK","REVISAR")),"REVISAR")))</f>
        <v/>
      </c>
      <c r="Q435">
        <f>IF(B435="","",IF(COUNTIFS($B$2:$B$501,B435,$D$2:$D$501,D435)&gt;1,"DUPLICADA",""))</f>
        <v/>
      </c>
      <c r="R435">
        <f>IF(A435="","",ROUNDUP(MONTH(A435)/3,0))</f>
        <v/>
      </c>
      <c r="S435" s="3" t="n"/>
    </row>
    <row r="436">
      <c r="A436" s="2" t="n"/>
      <c r="B436" s="3" t="n"/>
      <c r="C436" s="3" t="n"/>
      <c r="D436" s="3" t="n"/>
      <c r="E436" s="4" t="n"/>
      <c r="F436" s="4" t="n"/>
      <c r="G436" s="4" t="n"/>
      <c r="H436" s="4" t="n"/>
      <c r="I436" s="5">
        <f>IF(E436="","",ROUND(E436*0.21,2))</f>
        <v/>
      </c>
      <c r="J436" s="5">
        <f>IF(F436="","",ROUND(F436*0.1,2))</f>
        <v/>
      </c>
      <c r="K436" s="5">
        <f>IF(G436="","",ROUND(G436*0.04,2))</f>
        <v/>
      </c>
      <c r="L436" s="4" t="n"/>
      <c r="M436" s="4" t="n"/>
      <c r="N436" s="5">
        <f>IF(A436="","",SUM(E436:K436)-N(L436))</f>
        <v/>
      </c>
      <c r="O436">
        <f>IF(OR(A436="",M436=""),"",IF(ABS(M436-N436)&lt;=0.02,"OK","REVISAR"))</f>
        <v/>
      </c>
      <c r="P436">
        <f>IF(D436="","",IF(LEN(TRIM(D436))&lt;&gt;9,"REVISAR",IFERROR(IF(OR(ISNUMBER(VALUE(LEFT(UPPER(TRIM(D436)),1))),LEFT(UPPER(TRIM(D436)),1)="X",LEFT(UPPER(TRIM(D436)),1)="Y",LEFT(UPPER(TRIM(D436)),1)="Z"),IF(MID("TRWAGMYFPDXBNJZSQVHLCKE",MOD(VALUE(SUBSTITUTE(SUBSTITUTE(SUBSTITUTE(LEFT(UPPER(TRIM(D436)),8),"X","0"),"Y","1"),"Z","2")),23)+1,1)=RIGHT(UPPER(TRIM(D436)),1),"OK","REVISAR"),IF(OR(RIGHT(UPPER(TRIM(D436)),1)=TEXT(MOD(10-MOD((VALUE(MID(UPPER(TRIM(D436)),3,1))+VALUE(MID(UPPER(TRIM(D436)),5,1))+VALUE(MID(UPPER(TRIM(D436)),7,1)))+(INT(2*VALUE(MID(UPPER(TRIM(D436)),2,1))/10)+MOD(2*VALUE(MID(UPPER(TRIM(D436)),2,1)),10))+(INT(2*VALUE(MID(UPPER(TRIM(D436)),4,1))/10)+MOD(2*VALUE(MID(UPPER(TRIM(D436)),4,1)),10))+(INT(2*VALUE(MID(UPPER(TRIM(D436)),6,1))/10)+MOD(2*VALUE(MID(UPPER(TRIM(D436)),6,1)),10))+(INT(2*VALUE(MID(UPPER(TRIM(D436)),8,1))/10)+MOD(2*VALUE(MID(UPPER(TRIM(D436)),8,1)),10)),10),10),"0"),RIGHT(UPPER(TRIM(D436)),1)=MID("JABCDEFGHI",MOD(10-MOD((VALUE(MID(UPPER(TRIM(D436)),3,1))+VALUE(MID(UPPER(TRIM(D436)),5,1))+VALUE(MID(UPPER(TRIM(D436)),7,1)))+(INT(2*VALUE(MID(UPPER(TRIM(D436)),2,1))/10)+MOD(2*VALUE(MID(UPPER(TRIM(D436)),2,1)),10))+(INT(2*VALUE(MID(UPPER(TRIM(D436)),4,1))/10)+MOD(2*VALUE(MID(UPPER(TRIM(D436)),4,1)),10))+(INT(2*VALUE(MID(UPPER(TRIM(D436)),6,1))/10)+MOD(2*VALUE(MID(UPPER(TRIM(D436)),6,1)),10))+(INT(2*VALUE(MID(UPPER(TRIM(D436)),8,1))/10)+MOD(2*VALUE(MID(UPPER(TRIM(D436)),8,1)),10)),10),10)+1,1)),"OK","REVISAR")),"REVISAR")))</f>
        <v/>
      </c>
      <c r="Q436">
        <f>IF(B436="","",IF(COUNTIFS($B$2:$B$501,B436,$D$2:$D$501,D436)&gt;1,"DUPLICADA",""))</f>
        <v/>
      </c>
      <c r="R436">
        <f>IF(A436="","",ROUNDUP(MONTH(A436)/3,0))</f>
        <v/>
      </c>
      <c r="S436" s="3" t="n"/>
    </row>
    <row r="437">
      <c r="A437" s="2" t="n"/>
      <c r="B437" s="3" t="n"/>
      <c r="C437" s="3" t="n"/>
      <c r="D437" s="3" t="n"/>
      <c r="E437" s="4" t="n"/>
      <c r="F437" s="4" t="n"/>
      <c r="G437" s="4" t="n"/>
      <c r="H437" s="4" t="n"/>
      <c r="I437" s="5">
        <f>IF(E437="","",ROUND(E437*0.21,2))</f>
        <v/>
      </c>
      <c r="J437" s="5">
        <f>IF(F437="","",ROUND(F437*0.1,2))</f>
        <v/>
      </c>
      <c r="K437" s="5">
        <f>IF(G437="","",ROUND(G437*0.04,2))</f>
        <v/>
      </c>
      <c r="L437" s="4" t="n"/>
      <c r="M437" s="4" t="n"/>
      <c r="N437" s="5">
        <f>IF(A437="","",SUM(E437:K437)-N(L437))</f>
        <v/>
      </c>
      <c r="O437">
        <f>IF(OR(A437="",M437=""),"",IF(ABS(M437-N437)&lt;=0.02,"OK","REVISAR"))</f>
        <v/>
      </c>
      <c r="P437">
        <f>IF(D437="","",IF(LEN(TRIM(D437))&lt;&gt;9,"REVISAR",IFERROR(IF(OR(ISNUMBER(VALUE(LEFT(UPPER(TRIM(D437)),1))),LEFT(UPPER(TRIM(D437)),1)="X",LEFT(UPPER(TRIM(D437)),1)="Y",LEFT(UPPER(TRIM(D437)),1)="Z"),IF(MID("TRWAGMYFPDXBNJZSQVHLCKE",MOD(VALUE(SUBSTITUTE(SUBSTITUTE(SUBSTITUTE(LEFT(UPPER(TRIM(D437)),8),"X","0"),"Y","1"),"Z","2")),23)+1,1)=RIGHT(UPPER(TRIM(D437)),1),"OK","REVISAR"),IF(OR(RIGHT(UPPER(TRIM(D437)),1)=TEXT(MOD(10-MOD((VALUE(MID(UPPER(TRIM(D437)),3,1))+VALUE(MID(UPPER(TRIM(D437)),5,1))+VALUE(MID(UPPER(TRIM(D437)),7,1)))+(INT(2*VALUE(MID(UPPER(TRIM(D437)),2,1))/10)+MOD(2*VALUE(MID(UPPER(TRIM(D437)),2,1)),10))+(INT(2*VALUE(MID(UPPER(TRIM(D437)),4,1))/10)+MOD(2*VALUE(MID(UPPER(TRIM(D437)),4,1)),10))+(INT(2*VALUE(MID(UPPER(TRIM(D437)),6,1))/10)+MOD(2*VALUE(MID(UPPER(TRIM(D437)),6,1)),10))+(INT(2*VALUE(MID(UPPER(TRIM(D437)),8,1))/10)+MOD(2*VALUE(MID(UPPER(TRIM(D437)),8,1)),10)),10),10),"0"),RIGHT(UPPER(TRIM(D437)),1)=MID("JABCDEFGHI",MOD(10-MOD((VALUE(MID(UPPER(TRIM(D437)),3,1))+VALUE(MID(UPPER(TRIM(D437)),5,1))+VALUE(MID(UPPER(TRIM(D437)),7,1)))+(INT(2*VALUE(MID(UPPER(TRIM(D437)),2,1))/10)+MOD(2*VALUE(MID(UPPER(TRIM(D437)),2,1)),10))+(INT(2*VALUE(MID(UPPER(TRIM(D437)),4,1))/10)+MOD(2*VALUE(MID(UPPER(TRIM(D437)),4,1)),10))+(INT(2*VALUE(MID(UPPER(TRIM(D437)),6,1))/10)+MOD(2*VALUE(MID(UPPER(TRIM(D437)),6,1)),10))+(INT(2*VALUE(MID(UPPER(TRIM(D437)),8,1))/10)+MOD(2*VALUE(MID(UPPER(TRIM(D437)),8,1)),10)),10),10)+1,1)),"OK","REVISAR")),"REVISAR")))</f>
        <v/>
      </c>
      <c r="Q437">
        <f>IF(B437="","",IF(COUNTIFS($B$2:$B$501,B437,$D$2:$D$501,D437)&gt;1,"DUPLICADA",""))</f>
        <v/>
      </c>
      <c r="R437">
        <f>IF(A437="","",ROUNDUP(MONTH(A437)/3,0))</f>
        <v/>
      </c>
      <c r="S437" s="3" t="n"/>
    </row>
    <row r="438">
      <c r="A438" s="2" t="n"/>
      <c r="B438" s="3" t="n"/>
      <c r="C438" s="3" t="n"/>
      <c r="D438" s="3" t="n"/>
      <c r="E438" s="4" t="n"/>
      <c r="F438" s="4" t="n"/>
      <c r="G438" s="4" t="n"/>
      <c r="H438" s="4" t="n"/>
      <c r="I438" s="5">
        <f>IF(E438="","",ROUND(E438*0.21,2))</f>
        <v/>
      </c>
      <c r="J438" s="5">
        <f>IF(F438="","",ROUND(F438*0.1,2))</f>
        <v/>
      </c>
      <c r="K438" s="5">
        <f>IF(G438="","",ROUND(G438*0.04,2))</f>
        <v/>
      </c>
      <c r="L438" s="4" t="n"/>
      <c r="M438" s="4" t="n"/>
      <c r="N438" s="5">
        <f>IF(A438="","",SUM(E438:K438)-N(L438))</f>
        <v/>
      </c>
      <c r="O438">
        <f>IF(OR(A438="",M438=""),"",IF(ABS(M438-N438)&lt;=0.02,"OK","REVISAR"))</f>
        <v/>
      </c>
      <c r="P438">
        <f>IF(D438="","",IF(LEN(TRIM(D438))&lt;&gt;9,"REVISAR",IFERROR(IF(OR(ISNUMBER(VALUE(LEFT(UPPER(TRIM(D438)),1))),LEFT(UPPER(TRIM(D438)),1)="X",LEFT(UPPER(TRIM(D438)),1)="Y",LEFT(UPPER(TRIM(D438)),1)="Z"),IF(MID("TRWAGMYFPDXBNJZSQVHLCKE",MOD(VALUE(SUBSTITUTE(SUBSTITUTE(SUBSTITUTE(LEFT(UPPER(TRIM(D438)),8),"X","0"),"Y","1"),"Z","2")),23)+1,1)=RIGHT(UPPER(TRIM(D438)),1),"OK","REVISAR"),IF(OR(RIGHT(UPPER(TRIM(D438)),1)=TEXT(MOD(10-MOD((VALUE(MID(UPPER(TRIM(D438)),3,1))+VALUE(MID(UPPER(TRIM(D438)),5,1))+VALUE(MID(UPPER(TRIM(D438)),7,1)))+(INT(2*VALUE(MID(UPPER(TRIM(D438)),2,1))/10)+MOD(2*VALUE(MID(UPPER(TRIM(D438)),2,1)),10))+(INT(2*VALUE(MID(UPPER(TRIM(D438)),4,1))/10)+MOD(2*VALUE(MID(UPPER(TRIM(D438)),4,1)),10))+(INT(2*VALUE(MID(UPPER(TRIM(D438)),6,1))/10)+MOD(2*VALUE(MID(UPPER(TRIM(D438)),6,1)),10))+(INT(2*VALUE(MID(UPPER(TRIM(D438)),8,1))/10)+MOD(2*VALUE(MID(UPPER(TRIM(D438)),8,1)),10)),10),10),"0"),RIGHT(UPPER(TRIM(D438)),1)=MID("JABCDEFGHI",MOD(10-MOD((VALUE(MID(UPPER(TRIM(D438)),3,1))+VALUE(MID(UPPER(TRIM(D438)),5,1))+VALUE(MID(UPPER(TRIM(D438)),7,1)))+(INT(2*VALUE(MID(UPPER(TRIM(D438)),2,1))/10)+MOD(2*VALUE(MID(UPPER(TRIM(D438)),2,1)),10))+(INT(2*VALUE(MID(UPPER(TRIM(D438)),4,1))/10)+MOD(2*VALUE(MID(UPPER(TRIM(D438)),4,1)),10))+(INT(2*VALUE(MID(UPPER(TRIM(D438)),6,1))/10)+MOD(2*VALUE(MID(UPPER(TRIM(D438)),6,1)),10))+(INT(2*VALUE(MID(UPPER(TRIM(D438)),8,1))/10)+MOD(2*VALUE(MID(UPPER(TRIM(D438)),8,1)),10)),10),10)+1,1)),"OK","REVISAR")),"REVISAR")))</f>
        <v/>
      </c>
      <c r="Q438">
        <f>IF(B438="","",IF(COUNTIFS($B$2:$B$501,B438,$D$2:$D$501,D438)&gt;1,"DUPLICADA",""))</f>
        <v/>
      </c>
      <c r="R438">
        <f>IF(A438="","",ROUNDUP(MONTH(A438)/3,0))</f>
        <v/>
      </c>
      <c r="S438" s="3" t="n"/>
    </row>
    <row r="439">
      <c r="A439" s="2" t="n"/>
      <c r="B439" s="3" t="n"/>
      <c r="C439" s="3" t="n"/>
      <c r="D439" s="3" t="n"/>
      <c r="E439" s="4" t="n"/>
      <c r="F439" s="4" t="n"/>
      <c r="G439" s="4" t="n"/>
      <c r="H439" s="4" t="n"/>
      <c r="I439" s="5">
        <f>IF(E439="","",ROUND(E439*0.21,2))</f>
        <v/>
      </c>
      <c r="J439" s="5">
        <f>IF(F439="","",ROUND(F439*0.1,2))</f>
        <v/>
      </c>
      <c r="K439" s="5">
        <f>IF(G439="","",ROUND(G439*0.04,2))</f>
        <v/>
      </c>
      <c r="L439" s="4" t="n"/>
      <c r="M439" s="4" t="n"/>
      <c r="N439" s="5">
        <f>IF(A439="","",SUM(E439:K439)-N(L439))</f>
        <v/>
      </c>
      <c r="O439">
        <f>IF(OR(A439="",M439=""),"",IF(ABS(M439-N439)&lt;=0.02,"OK","REVISAR"))</f>
        <v/>
      </c>
      <c r="P439">
        <f>IF(D439="","",IF(LEN(TRIM(D439))&lt;&gt;9,"REVISAR",IFERROR(IF(OR(ISNUMBER(VALUE(LEFT(UPPER(TRIM(D439)),1))),LEFT(UPPER(TRIM(D439)),1)="X",LEFT(UPPER(TRIM(D439)),1)="Y",LEFT(UPPER(TRIM(D439)),1)="Z"),IF(MID("TRWAGMYFPDXBNJZSQVHLCKE",MOD(VALUE(SUBSTITUTE(SUBSTITUTE(SUBSTITUTE(LEFT(UPPER(TRIM(D439)),8),"X","0"),"Y","1"),"Z","2")),23)+1,1)=RIGHT(UPPER(TRIM(D439)),1),"OK","REVISAR"),IF(OR(RIGHT(UPPER(TRIM(D439)),1)=TEXT(MOD(10-MOD((VALUE(MID(UPPER(TRIM(D439)),3,1))+VALUE(MID(UPPER(TRIM(D439)),5,1))+VALUE(MID(UPPER(TRIM(D439)),7,1)))+(INT(2*VALUE(MID(UPPER(TRIM(D439)),2,1))/10)+MOD(2*VALUE(MID(UPPER(TRIM(D439)),2,1)),10))+(INT(2*VALUE(MID(UPPER(TRIM(D439)),4,1))/10)+MOD(2*VALUE(MID(UPPER(TRIM(D439)),4,1)),10))+(INT(2*VALUE(MID(UPPER(TRIM(D439)),6,1))/10)+MOD(2*VALUE(MID(UPPER(TRIM(D439)),6,1)),10))+(INT(2*VALUE(MID(UPPER(TRIM(D439)),8,1))/10)+MOD(2*VALUE(MID(UPPER(TRIM(D439)),8,1)),10)),10),10),"0"),RIGHT(UPPER(TRIM(D439)),1)=MID("JABCDEFGHI",MOD(10-MOD((VALUE(MID(UPPER(TRIM(D439)),3,1))+VALUE(MID(UPPER(TRIM(D439)),5,1))+VALUE(MID(UPPER(TRIM(D439)),7,1)))+(INT(2*VALUE(MID(UPPER(TRIM(D439)),2,1))/10)+MOD(2*VALUE(MID(UPPER(TRIM(D439)),2,1)),10))+(INT(2*VALUE(MID(UPPER(TRIM(D439)),4,1))/10)+MOD(2*VALUE(MID(UPPER(TRIM(D439)),4,1)),10))+(INT(2*VALUE(MID(UPPER(TRIM(D439)),6,1))/10)+MOD(2*VALUE(MID(UPPER(TRIM(D439)),6,1)),10))+(INT(2*VALUE(MID(UPPER(TRIM(D439)),8,1))/10)+MOD(2*VALUE(MID(UPPER(TRIM(D439)),8,1)),10)),10),10)+1,1)),"OK","REVISAR")),"REVISAR")))</f>
        <v/>
      </c>
      <c r="Q439">
        <f>IF(B439="","",IF(COUNTIFS($B$2:$B$501,B439,$D$2:$D$501,D439)&gt;1,"DUPLICADA",""))</f>
        <v/>
      </c>
      <c r="R439">
        <f>IF(A439="","",ROUNDUP(MONTH(A439)/3,0))</f>
        <v/>
      </c>
      <c r="S439" s="3" t="n"/>
    </row>
    <row r="440">
      <c r="A440" s="2" t="n"/>
      <c r="B440" s="3" t="n"/>
      <c r="C440" s="3" t="n"/>
      <c r="D440" s="3" t="n"/>
      <c r="E440" s="4" t="n"/>
      <c r="F440" s="4" t="n"/>
      <c r="G440" s="4" t="n"/>
      <c r="H440" s="4" t="n"/>
      <c r="I440" s="5">
        <f>IF(E440="","",ROUND(E440*0.21,2))</f>
        <v/>
      </c>
      <c r="J440" s="5">
        <f>IF(F440="","",ROUND(F440*0.1,2))</f>
        <v/>
      </c>
      <c r="K440" s="5">
        <f>IF(G440="","",ROUND(G440*0.04,2))</f>
        <v/>
      </c>
      <c r="L440" s="4" t="n"/>
      <c r="M440" s="4" t="n"/>
      <c r="N440" s="5">
        <f>IF(A440="","",SUM(E440:K440)-N(L440))</f>
        <v/>
      </c>
      <c r="O440">
        <f>IF(OR(A440="",M440=""),"",IF(ABS(M440-N440)&lt;=0.02,"OK","REVISAR"))</f>
        <v/>
      </c>
      <c r="P440">
        <f>IF(D440="","",IF(LEN(TRIM(D440))&lt;&gt;9,"REVISAR",IFERROR(IF(OR(ISNUMBER(VALUE(LEFT(UPPER(TRIM(D440)),1))),LEFT(UPPER(TRIM(D440)),1)="X",LEFT(UPPER(TRIM(D440)),1)="Y",LEFT(UPPER(TRIM(D440)),1)="Z"),IF(MID("TRWAGMYFPDXBNJZSQVHLCKE",MOD(VALUE(SUBSTITUTE(SUBSTITUTE(SUBSTITUTE(LEFT(UPPER(TRIM(D440)),8),"X","0"),"Y","1"),"Z","2")),23)+1,1)=RIGHT(UPPER(TRIM(D440)),1),"OK","REVISAR"),IF(OR(RIGHT(UPPER(TRIM(D440)),1)=TEXT(MOD(10-MOD((VALUE(MID(UPPER(TRIM(D440)),3,1))+VALUE(MID(UPPER(TRIM(D440)),5,1))+VALUE(MID(UPPER(TRIM(D440)),7,1)))+(INT(2*VALUE(MID(UPPER(TRIM(D440)),2,1))/10)+MOD(2*VALUE(MID(UPPER(TRIM(D440)),2,1)),10))+(INT(2*VALUE(MID(UPPER(TRIM(D440)),4,1))/10)+MOD(2*VALUE(MID(UPPER(TRIM(D440)),4,1)),10))+(INT(2*VALUE(MID(UPPER(TRIM(D440)),6,1))/10)+MOD(2*VALUE(MID(UPPER(TRIM(D440)),6,1)),10))+(INT(2*VALUE(MID(UPPER(TRIM(D440)),8,1))/10)+MOD(2*VALUE(MID(UPPER(TRIM(D440)),8,1)),10)),10),10),"0"),RIGHT(UPPER(TRIM(D440)),1)=MID("JABCDEFGHI",MOD(10-MOD((VALUE(MID(UPPER(TRIM(D440)),3,1))+VALUE(MID(UPPER(TRIM(D440)),5,1))+VALUE(MID(UPPER(TRIM(D440)),7,1)))+(INT(2*VALUE(MID(UPPER(TRIM(D440)),2,1))/10)+MOD(2*VALUE(MID(UPPER(TRIM(D440)),2,1)),10))+(INT(2*VALUE(MID(UPPER(TRIM(D440)),4,1))/10)+MOD(2*VALUE(MID(UPPER(TRIM(D440)),4,1)),10))+(INT(2*VALUE(MID(UPPER(TRIM(D440)),6,1))/10)+MOD(2*VALUE(MID(UPPER(TRIM(D440)),6,1)),10))+(INT(2*VALUE(MID(UPPER(TRIM(D440)),8,1))/10)+MOD(2*VALUE(MID(UPPER(TRIM(D440)),8,1)),10)),10),10)+1,1)),"OK","REVISAR")),"REVISAR")))</f>
        <v/>
      </c>
      <c r="Q440">
        <f>IF(B440="","",IF(COUNTIFS($B$2:$B$501,B440,$D$2:$D$501,D440)&gt;1,"DUPLICADA",""))</f>
        <v/>
      </c>
      <c r="R440">
        <f>IF(A440="","",ROUNDUP(MONTH(A440)/3,0))</f>
        <v/>
      </c>
      <c r="S440" s="3" t="n"/>
    </row>
    <row r="441">
      <c r="A441" s="2" t="n"/>
      <c r="B441" s="3" t="n"/>
      <c r="C441" s="3" t="n"/>
      <c r="D441" s="3" t="n"/>
      <c r="E441" s="4" t="n"/>
      <c r="F441" s="4" t="n"/>
      <c r="G441" s="4" t="n"/>
      <c r="H441" s="4" t="n"/>
      <c r="I441" s="5">
        <f>IF(E441="","",ROUND(E441*0.21,2))</f>
        <v/>
      </c>
      <c r="J441" s="5">
        <f>IF(F441="","",ROUND(F441*0.1,2))</f>
        <v/>
      </c>
      <c r="K441" s="5">
        <f>IF(G441="","",ROUND(G441*0.04,2))</f>
        <v/>
      </c>
      <c r="L441" s="4" t="n"/>
      <c r="M441" s="4" t="n"/>
      <c r="N441" s="5">
        <f>IF(A441="","",SUM(E441:K441)-N(L441))</f>
        <v/>
      </c>
      <c r="O441">
        <f>IF(OR(A441="",M441=""),"",IF(ABS(M441-N441)&lt;=0.02,"OK","REVISAR"))</f>
        <v/>
      </c>
      <c r="P441">
        <f>IF(D441="","",IF(LEN(TRIM(D441))&lt;&gt;9,"REVISAR",IFERROR(IF(OR(ISNUMBER(VALUE(LEFT(UPPER(TRIM(D441)),1))),LEFT(UPPER(TRIM(D441)),1)="X",LEFT(UPPER(TRIM(D441)),1)="Y",LEFT(UPPER(TRIM(D441)),1)="Z"),IF(MID("TRWAGMYFPDXBNJZSQVHLCKE",MOD(VALUE(SUBSTITUTE(SUBSTITUTE(SUBSTITUTE(LEFT(UPPER(TRIM(D441)),8),"X","0"),"Y","1"),"Z","2")),23)+1,1)=RIGHT(UPPER(TRIM(D441)),1),"OK","REVISAR"),IF(OR(RIGHT(UPPER(TRIM(D441)),1)=TEXT(MOD(10-MOD((VALUE(MID(UPPER(TRIM(D441)),3,1))+VALUE(MID(UPPER(TRIM(D441)),5,1))+VALUE(MID(UPPER(TRIM(D441)),7,1)))+(INT(2*VALUE(MID(UPPER(TRIM(D441)),2,1))/10)+MOD(2*VALUE(MID(UPPER(TRIM(D441)),2,1)),10))+(INT(2*VALUE(MID(UPPER(TRIM(D441)),4,1))/10)+MOD(2*VALUE(MID(UPPER(TRIM(D441)),4,1)),10))+(INT(2*VALUE(MID(UPPER(TRIM(D441)),6,1))/10)+MOD(2*VALUE(MID(UPPER(TRIM(D441)),6,1)),10))+(INT(2*VALUE(MID(UPPER(TRIM(D441)),8,1))/10)+MOD(2*VALUE(MID(UPPER(TRIM(D441)),8,1)),10)),10),10),"0"),RIGHT(UPPER(TRIM(D441)),1)=MID("JABCDEFGHI",MOD(10-MOD((VALUE(MID(UPPER(TRIM(D441)),3,1))+VALUE(MID(UPPER(TRIM(D441)),5,1))+VALUE(MID(UPPER(TRIM(D441)),7,1)))+(INT(2*VALUE(MID(UPPER(TRIM(D441)),2,1))/10)+MOD(2*VALUE(MID(UPPER(TRIM(D441)),2,1)),10))+(INT(2*VALUE(MID(UPPER(TRIM(D441)),4,1))/10)+MOD(2*VALUE(MID(UPPER(TRIM(D441)),4,1)),10))+(INT(2*VALUE(MID(UPPER(TRIM(D441)),6,1))/10)+MOD(2*VALUE(MID(UPPER(TRIM(D441)),6,1)),10))+(INT(2*VALUE(MID(UPPER(TRIM(D441)),8,1))/10)+MOD(2*VALUE(MID(UPPER(TRIM(D441)),8,1)),10)),10),10)+1,1)),"OK","REVISAR")),"REVISAR")))</f>
        <v/>
      </c>
      <c r="Q441">
        <f>IF(B441="","",IF(COUNTIFS($B$2:$B$501,B441,$D$2:$D$501,D441)&gt;1,"DUPLICADA",""))</f>
        <v/>
      </c>
      <c r="R441">
        <f>IF(A441="","",ROUNDUP(MONTH(A441)/3,0))</f>
        <v/>
      </c>
      <c r="S441" s="3" t="n"/>
    </row>
    <row r="442">
      <c r="A442" s="2" t="n"/>
      <c r="B442" s="3" t="n"/>
      <c r="C442" s="3" t="n"/>
      <c r="D442" s="3" t="n"/>
      <c r="E442" s="4" t="n"/>
      <c r="F442" s="4" t="n"/>
      <c r="G442" s="4" t="n"/>
      <c r="H442" s="4" t="n"/>
      <c r="I442" s="5">
        <f>IF(E442="","",ROUND(E442*0.21,2))</f>
        <v/>
      </c>
      <c r="J442" s="5">
        <f>IF(F442="","",ROUND(F442*0.1,2))</f>
        <v/>
      </c>
      <c r="K442" s="5">
        <f>IF(G442="","",ROUND(G442*0.04,2))</f>
        <v/>
      </c>
      <c r="L442" s="4" t="n"/>
      <c r="M442" s="4" t="n"/>
      <c r="N442" s="5">
        <f>IF(A442="","",SUM(E442:K442)-N(L442))</f>
        <v/>
      </c>
      <c r="O442">
        <f>IF(OR(A442="",M442=""),"",IF(ABS(M442-N442)&lt;=0.02,"OK","REVISAR"))</f>
        <v/>
      </c>
      <c r="P442">
        <f>IF(D442="","",IF(LEN(TRIM(D442))&lt;&gt;9,"REVISAR",IFERROR(IF(OR(ISNUMBER(VALUE(LEFT(UPPER(TRIM(D442)),1))),LEFT(UPPER(TRIM(D442)),1)="X",LEFT(UPPER(TRIM(D442)),1)="Y",LEFT(UPPER(TRIM(D442)),1)="Z"),IF(MID("TRWAGMYFPDXBNJZSQVHLCKE",MOD(VALUE(SUBSTITUTE(SUBSTITUTE(SUBSTITUTE(LEFT(UPPER(TRIM(D442)),8),"X","0"),"Y","1"),"Z","2")),23)+1,1)=RIGHT(UPPER(TRIM(D442)),1),"OK","REVISAR"),IF(OR(RIGHT(UPPER(TRIM(D442)),1)=TEXT(MOD(10-MOD((VALUE(MID(UPPER(TRIM(D442)),3,1))+VALUE(MID(UPPER(TRIM(D442)),5,1))+VALUE(MID(UPPER(TRIM(D442)),7,1)))+(INT(2*VALUE(MID(UPPER(TRIM(D442)),2,1))/10)+MOD(2*VALUE(MID(UPPER(TRIM(D442)),2,1)),10))+(INT(2*VALUE(MID(UPPER(TRIM(D442)),4,1))/10)+MOD(2*VALUE(MID(UPPER(TRIM(D442)),4,1)),10))+(INT(2*VALUE(MID(UPPER(TRIM(D442)),6,1))/10)+MOD(2*VALUE(MID(UPPER(TRIM(D442)),6,1)),10))+(INT(2*VALUE(MID(UPPER(TRIM(D442)),8,1))/10)+MOD(2*VALUE(MID(UPPER(TRIM(D442)),8,1)),10)),10),10),"0"),RIGHT(UPPER(TRIM(D442)),1)=MID("JABCDEFGHI",MOD(10-MOD((VALUE(MID(UPPER(TRIM(D442)),3,1))+VALUE(MID(UPPER(TRIM(D442)),5,1))+VALUE(MID(UPPER(TRIM(D442)),7,1)))+(INT(2*VALUE(MID(UPPER(TRIM(D442)),2,1))/10)+MOD(2*VALUE(MID(UPPER(TRIM(D442)),2,1)),10))+(INT(2*VALUE(MID(UPPER(TRIM(D442)),4,1))/10)+MOD(2*VALUE(MID(UPPER(TRIM(D442)),4,1)),10))+(INT(2*VALUE(MID(UPPER(TRIM(D442)),6,1))/10)+MOD(2*VALUE(MID(UPPER(TRIM(D442)),6,1)),10))+(INT(2*VALUE(MID(UPPER(TRIM(D442)),8,1))/10)+MOD(2*VALUE(MID(UPPER(TRIM(D442)),8,1)),10)),10),10)+1,1)),"OK","REVISAR")),"REVISAR")))</f>
        <v/>
      </c>
      <c r="Q442">
        <f>IF(B442="","",IF(COUNTIFS($B$2:$B$501,B442,$D$2:$D$501,D442)&gt;1,"DUPLICADA",""))</f>
        <v/>
      </c>
      <c r="R442">
        <f>IF(A442="","",ROUNDUP(MONTH(A442)/3,0))</f>
        <v/>
      </c>
      <c r="S442" s="3" t="n"/>
    </row>
    <row r="443">
      <c r="A443" s="2" t="n"/>
      <c r="B443" s="3" t="n"/>
      <c r="C443" s="3" t="n"/>
      <c r="D443" s="3" t="n"/>
      <c r="E443" s="4" t="n"/>
      <c r="F443" s="4" t="n"/>
      <c r="G443" s="4" t="n"/>
      <c r="H443" s="4" t="n"/>
      <c r="I443" s="5">
        <f>IF(E443="","",ROUND(E443*0.21,2))</f>
        <v/>
      </c>
      <c r="J443" s="5">
        <f>IF(F443="","",ROUND(F443*0.1,2))</f>
        <v/>
      </c>
      <c r="K443" s="5">
        <f>IF(G443="","",ROUND(G443*0.04,2))</f>
        <v/>
      </c>
      <c r="L443" s="4" t="n"/>
      <c r="M443" s="4" t="n"/>
      <c r="N443" s="5">
        <f>IF(A443="","",SUM(E443:K443)-N(L443))</f>
        <v/>
      </c>
      <c r="O443">
        <f>IF(OR(A443="",M443=""),"",IF(ABS(M443-N443)&lt;=0.02,"OK","REVISAR"))</f>
        <v/>
      </c>
      <c r="P443">
        <f>IF(D443="","",IF(LEN(TRIM(D443))&lt;&gt;9,"REVISAR",IFERROR(IF(OR(ISNUMBER(VALUE(LEFT(UPPER(TRIM(D443)),1))),LEFT(UPPER(TRIM(D443)),1)="X",LEFT(UPPER(TRIM(D443)),1)="Y",LEFT(UPPER(TRIM(D443)),1)="Z"),IF(MID("TRWAGMYFPDXBNJZSQVHLCKE",MOD(VALUE(SUBSTITUTE(SUBSTITUTE(SUBSTITUTE(LEFT(UPPER(TRIM(D443)),8),"X","0"),"Y","1"),"Z","2")),23)+1,1)=RIGHT(UPPER(TRIM(D443)),1),"OK","REVISAR"),IF(OR(RIGHT(UPPER(TRIM(D443)),1)=TEXT(MOD(10-MOD((VALUE(MID(UPPER(TRIM(D443)),3,1))+VALUE(MID(UPPER(TRIM(D443)),5,1))+VALUE(MID(UPPER(TRIM(D443)),7,1)))+(INT(2*VALUE(MID(UPPER(TRIM(D443)),2,1))/10)+MOD(2*VALUE(MID(UPPER(TRIM(D443)),2,1)),10))+(INT(2*VALUE(MID(UPPER(TRIM(D443)),4,1))/10)+MOD(2*VALUE(MID(UPPER(TRIM(D443)),4,1)),10))+(INT(2*VALUE(MID(UPPER(TRIM(D443)),6,1))/10)+MOD(2*VALUE(MID(UPPER(TRIM(D443)),6,1)),10))+(INT(2*VALUE(MID(UPPER(TRIM(D443)),8,1))/10)+MOD(2*VALUE(MID(UPPER(TRIM(D443)),8,1)),10)),10),10),"0"),RIGHT(UPPER(TRIM(D443)),1)=MID("JABCDEFGHI",MOD(10-MOD((VALUE(MID(UPPER(TRIM(D443)),3,1))+VALUE(MID(UPPER(TRIM(D443)),5,1))+VALUE(MID(UPPER(TRIM(D443)),7,1)))+(INT(2*VALUE(MID(UPPER(TRIM(D443)),2,1))/10)+MOD(2*VALUE(MID(UPPER(TRIM(D443)),2,1)),10))+(INT(2*VALUE(MID(UPPER(TRIM(D443)),4,1))/10)+MOD(2*VALUE(MID(UPPER(TRIM(D443)),4,1)),10))+(INT(2*VALUE(MID(UPPER(TRIM(D443)),6,1))/10)+MOD(2*VALUE(MID(UPPER(TRIM(D443)),6,1)),10))+(INT(2*VALUE(MID(UPPER(TRIM(D443)),8,1))/10)+MOD(2*VALUE(MID(UPPER(TRIM(D443)),8,1)),10)),10),10)+1,1)),"OK","REVISAR")),"REVISAR")))</f>
        <v/>
      </c>
      <c r="Q443">
        <f>IF(B443="","",IF(COUNTIFS($B$2:$B$501,B443,$D$2:$D$501,D443)&gt;1,"DUPLICADA",""))</f>
        <v/>
      </c>
      <c r="R443">
        <f>IF(A443="","",ROUNDUP(MONTH(A443)/3,0))</f>
        <v/>
      </c>
      <c r="S443" s="3" t="n"/>
    </row>
    <row r="444">
      <c r="A444" s="2" t="n"/>
      <c r="B444" s="3" t="n"/>
      <c r="C444" s="3" t="n"/>
      <c r="D444" s="3" t="n"/>
      <c r="E444" s="4" t="n"/>
      <c r="F444" s="4" t="n"/>
      <c r="G444" s="4" t="n"/>
      <c r="H444" s="4" t="n"/>
      <c r="I444" s="5">
        <f>IF(E444="","",ROUND(E444*0.21,2))</f>
        <v/>
      </c>
      <c r="J444" s="5">
        <f>IF(F444="","",ROUND(F444*0.1,2))</f>
        <v/>
      </c>
      <c r="K444" s="5">
        <f>IF(G444="","",ROUND(G444*0.04,2))</f>
        <v/>
      </c>
      <c r="L444" s="4" t="n"/>
      <c r="M444" s="4" t="n"/>
      <c r="N444" s="5">
        <f>IF(A444="","",SUM(E444:K444)-N(L444))</f>
        <v/>
      </c>
      <c r="O444">
        <f>IF(OR(A444="",M444=""),"",IF(ABS(M444-N444)&lt;=0.02,"OK","REVISAR"))</f>
        <v/>
      </c>
      <c r="P444">
        <f>IF(D444="","",IF(LEN(TRIM(D444))&lt;&gt;9,"REVISAR",IFERROR(IF(OR(ISNUMBER(VALUE(LEFT(UPPER(TRIM(D444)),1))),LEFT(UPPER(TRIM(D444)),1)="X",LEFT(UPPER(TRIM(D444)),1)="Y",LEFT(UPPER(TRIM(D444)),1)="Z"),IF(MID("TRWAGMYFPDXBNJZSQVHLCKE",MOD(VALUE(SUBSTITUTE(SUBSTITUTE(SUBSTITUTE(LEFT(UPPER(TRIM(D444)),8),"X","0"),"Y","1"),"Z","2")),23)+1,1)=RIGHT(UPPER(TRIM(D444)),1),"OK","REVISAR"),IF(OR(RIGHT(UPPER(TRIM(D444)),1)=TEXT(MOD(10-MOD((VALUE(MID(UPPER(TRIM(D444)),3,1))+VALUE(MID(UPPER(TRIM(D444)),5,1))+VALUE(MID(UPPER(TRIM(D444)),7,1)))+(INT(2*VALUE(MID(UPPER(TRIM(D444)),2,1))/10)+MOD(2*VALUE(MID(UPPER(TRIM(D444)),2,1)),10))+(INT(2*VALUE(MID(UPPER(TRIM(D444)),4,1))/10)+MOD(2*VALUE(MID(UPPER(TRIM(D444)),4,1)),10))+(INT(2*VALUE(MID(UPPER(TRIM(D444)),6,1))/10)+MOD(2*VALUE(MID(UPPER(TRIM(D444)),6,1)),10))+(INT(2*VALUE(MID(UPPER(TRIM(D444)),8,1))/10)+MOD(2*VALUE(MID(UPPER(TRIM(D444)),8,1)),10)),10),10),"0"),RIGHT(UPPER(TRIM(D444)),1)=MID("JABCDEFGHI",MOD(10-MOD((VALUE(MID(UPPER(TRIM(D444)),3,1))+VALUE(MID(UPPER(TRIM(D444)),5,1))+VALUE(MID(UPPER(TRIM(D444)),7,1)))+(INT(2*VALUE(MID(UPPER(TRIM(D444)),2,1))/10)+MOD(2*VALUE(MID(UPPER(TRIM(D444)),2,1)),10))+(INT(2*VALUE(MID(UPPER(TRIM(D444)),4,1))/10)+MOD(2*VALUE(MID(UPPER(TRIM(D444)),4,1)),10))+(INT(2*VALUE(MID(UPPER(TRIM(D444)),6,1))/10)+MOD(2*VALUE(MID(UPPER(TRIM(D444)),6,1)),10))+(INT(2*VALUE(MID(UPPER(TRIM(D444)),8,1))/10)+MOD(2*VALUE(MID(UPPER(TRIM(D444)),8,1)),10)),10),10)+1,1)),"OK","REVISAR")),"REVISAR")))</f>
        <v/>
      </c>
      <c r="Q444">
        <f>IF(B444="","",IF(COUNTIFS($B$2:$B$501,B444,$D$2:$D$501,D444)&gt;1,"DUPLICADA",""))</f>
        <v/>
      </c>
      <c r="R444">
        <f>IF(A444="","",ROUNDUP(MONTH(A444)/3,0))</f>
        <v/>
      </c>
      <c r="S444" s="3" t="n"/>
    </row>
    <row r="445">
      <c r="A445" s="2" t="n"/>
      <c r="B445" s="3" t="n"/>
      <c r="C445" s="3" t="n"/>
      <c r="D445" s="3" t="n"/>
      <c r="E445" s="4" t="n"/>
      <c r="F445" s="4" t="n"/>
      <c r="G445" s="4" t="n"/>
      <c r="H445" s="4" t="n"/>
      <c r="I445" s="5">
        <f>IF(E445="","",ROUND(E445*0.21,2))</f>
        <v/>
      </c>
      <c r="J445" s="5">
        <f>IF(F445="","",ROUND(F445*0.1,2))</f>
        <v/>
      </c>
      <c r="K445" s="5">
        <f>IF(G445="","",ROUND(G445*0.04,2))</f>
        <v/>
      </c>
      <c r="L445" s="4" t="n"/>
      <c r="M445" s="4" t="n"/>
      <c r="N445" s="5">
        <f>IF(A445="","",SUM(E445:K445)-N(L445))</f>
        <v/>
      </c>
      <c r="O445">
        <f>IF(OR(A445="",M445=""),"",IF(ABS(M445-N445)&lt;=0.02,"OK","REVISAR"))</f>
        <v/>
      </c>
      <c r="P445">
        <f>IF(D445="","",IF(LEN(TRIM(D445))&lt;&gt;9,"REVISAR",IFERROR(IF(OR(ISNUMBER(VALUE(LEFT(UPPER(TRIM(D445)),1))),LEFT(UPPER(TRIM(D445)),1)="X",LEFT(UPPER(TRIM(D445)),1)="Y",LEFT(UPPER(TRIM(D445)),1)="Z"),IF(MID("TRWAGMYFPDXBNJZSQVHLCKE",MOD(VALUE(SUBSTITUTE(SUBSTITUTE(SUBSTITUTE(LEFT(UPPER(TRIM(D445)),8),"X","0"),"Y","1"),"Z","2")),23)+1,1)=RIGHT(UPPER(TRIM(D445)),1),"OK","REVISAR"),IF(OR(RIGHT(UPPER(TRIM(D445)),1)=TEXT(MOD(10-MOD((VALUE(MID(UPPER(TRIM(D445)),3,1))+VALUE(MID(UPPER(TRIM(D445)),5,1))+VALUE(MID(UPPER(TRIM(D445)),7,1)))+(INT(2*VALUE(MID(UPPER(TRIM(D445)),2,1))/10)+MOD(2*VALUE(MID(UPPER(TRIM(D445)),2,1)),10))+(INT(2*VALUE(MID(UPPER(TRIM(D445)),4,1))/10)+MOD(2*VALUE(MID(UPPER(TRIM(D445)),4,1)),10))+(INT(2*VALUE(MID(UPPER(TRIM(D445)),6,1))/10)+MOD(2*VALUE(MID(UPPER(TRIM(D445)),6,1)),10))+(INT(2*VALUE(MID(UPPER(TRIM(D445)),8,1))/10)+MOD(2*VALUE(MID(UPPER(TRIM(D445)),8,1)),10)),10),10),"0"),RIGHT(UPPER(TRIM(D445)),1)=MID("JABCDEFGHI",MOD(10-MOD((VALUE(MID(UPPER(TRIM(D445)),3,1))+VALUE(MID(UPPER(TRIM(D445)),5,1))+VALUE(MID(UPPER(TRIM(D445)),7,1)))+(INT(2*VALUE(MID(UPPER(TRIM(D445)),2,1))/10)+MOD(2*VALUE(MID(UPPER(TRIM(D445)),2,1)),10))+(INT(2*VALUE(MID(UPPER(TRIM(D445)),4,1))/10)+MOD(2*VALUE(MID(UPPER(TRIM(D445)),4,1)),10))+(INT(2*VALUE(MID(UPPER(TRIM(D445)),6,1))/10)+MOD(2*VALUE(MID(UPPER(TRIM(D445)),6,1)),10))+(INT(2*VALUE(MID(UPPER(TRIM(D445)),8,1))/10)+MOD(2*VALUE(MID(UPPER(TRIM(D445)),8,1)),10)),10),10)+1,1)),"OK","REVISAR")),"REVISAR")))</f>
        <v/>
      </c>
      <c r="Q445">
        <f>IF(B445="","",IF(COUNTIFS($B$2:$B$501,B445,$D$2:$D$501,D445)&gt;1,"DUPLICADA",""))</f>
        <v/>
      </c>
      <c r="R445">
        <f>IF(A445="","",ROUNDUP(MONTH(A445)/3,0))</f>
        <v/>
      </c>
      <c r="S445" s="3" t="n"/>
    </row>
    <row r="446">
      <c r="A446" s="2" t="n"/>
      <c r="B446" s="3" t="n"/>
      <c r="C446" s="3" t="n"/>
      <c r="D446" s="3" t="n"/>
      <c r="E446" s="4" t="n"/>
      <c r="F446" s="4" t="n"/>
      <c r="G446" s="4" t="n"/>
      <c r="H446" s="4" t="n"/>
      <c r="I446" s="5">
        <f>IF(E446="","",ROUND(E446*0.21,2))</f>
        <v/>
      </c>
      <c r="J446" s="5">
        <f>IF(F446="","",ROUND(F446*0.1,2))</f>
        <v/>
      </c>
      <c r="K446" s="5">
        <f>IF(G446="","",ROUND(G446*0.04,2))</f>
        <v/>
      </c>
      <c r="L446" s="4" t="n"/>
      <c r="M446" s="4" t="n"/>
      <c r="N446" s="5">
        <f>IF(A446="","",SUM(E446:K446)-N(L446))</f>
        <v/>
      </c>
      <c r="O446">
        <f>IF(OR(A446="",M446=""),"",IF(ABS(M446-N446)&lt;=0.02,"OK","REVISAR"))</f>
        <v/>
      </c>
      <c r="P446">
        <f>IF(D446="","",IF(LEN(TRIM(D446))&lt;&gt;9,"REVISAR",IFERROR(IF(OR(ISNUMBER(VALUE(LEFT(UPPER(TRIM(D446)),1))),LEFT(UPPER(TRIM(D446)),1)="X",LEFT(UPPER(TRIM(D446)),1)="Y",LEFT(UPPER(TRIM(D446)),1)="Z"),IF(MID("TRWAGMYFPDXBNJZSQVHLCKE",MOD(VALUE(SUBSTITUTE(SUBSTITUTE(SUBSTITUTE(LEFT(UPPER(TRIM(D446)),8),"X","0"),"Y","1"),"Z","2")),23)+1,1)=RIGHT(UPPER(TRIM(D446)),1),"OK","REVISAR"),IF(OR(RIGHT(UPPER(TRIM(D446)),1)=TEXT(MOD(10-MOD((VALUE(MID(UPPER(TRIM(D446)),3,1))+VALUE(MID(UPPER(TRIM(D446)),5,1))+VALUE(MID(UPPER(TRIM(D446)),7,1)))+(INT(2*VALUE(MID(UPPER(TRIM(D446)),2,1))/10)+MOD(2*VALUE(MID(UPPER(TRIM(D446)),2,1)),10))+(INT(2*VALUE(MID(UPPER(TRIM(D446)),4,1))/10)+MOD(2*VALUE(MID(UPPER(TRIM(D446)),4,1)),10))+(INT(2*VALUE(MID(UPPER(TRIM(D446)),6,1))/10)+MOD(2*VALUE(MID(UPPER(TRIM(D446)),6,1)),10))+(INT(2*VALUE(MID(UPPER(TRIM(D446)),8,1))/10)+MOD(2*VALUE(MID(UPPER(TRIM(D446)),8,1)),10)),10),10),"0"),RIGHT(UPPER(TRIM(D446)),1)=MID("JABCDEFGHI",MOD(10-MOD((VALUE(MID(UPPER(TRIM(D446)),3,1))+VALUE(MID(UPPER(TRIM(D446)),5,1))+VALUE(MID(UPPER(TRIM(D446)),7,1)))+(INT(2*VALUE(MID(UPPER(TRIM(D446)),2,1))/10)+MOD(2*VALUE(MID(UPPER(TRIM(D446)),2,1)),10))+(INT(2*VALUE(MID(UPPER(TRIM(D446)),4,1))/10)+MOD(2*VALUE(MID(UPPER(TRIM(D446)),4,1)),10))+(INT(2*VALUE(MID(UPPER(TRIM(D446)),6,1))/10)+MOD(2*VALUE(MID(UPPER(TRIM(D446)),6,1)),10))+(INT(2*VALUE(MID(UPPER(TRIM(D446)),8,1))/10)+MOD(2*VALUE(MID(UPPER(TRIM(D446)),8,1)),10)),10),10)+1,1)),"OK","REVISAR")),"REVISAR")))</f>
        <v/>
      </c>
      <c r="Q446">
        <f>IF(B446="","",IF(COUNTIFS($B$2:$B$501,B446,$D$2:$D$501,D446)&gt;1,"DUPLICADA",""))</f>
        <v/>
      </c>
      <c r="R446">
        <f>IF(A446="","",ROUNDUP(MONTH(A446)/3,0))</f>
        <v/>
      </c>
      <c r="S446" s="3" t="n"/>
    </row>
    <row r="447">
      <c r="A447" s="2" t="n"/>
      <c r="B447" s="3" t="n"/>
      <c r="C447" s="3" t="n"/>
      <c r="D447" s="3" t="n"/>
      <c r="E447" s="4" t="n"/>
      <c r="F447" s="4" t="n"/>
      <c r="G447" s="4" t="n"/>
      <c r="H447" s="4" t="n"/>
      <c r="I447" s="5">
        <f>IF(E447="","",ROUND(E447*0.21,2))</f>
        <v/>
      </c>
      <c r="J447" s="5">
        <f>IF(F447="","",ROUND(F447*0.1,2))</f>
        <v/>
      </c>
      <c r="K447" s="5">
        <f>IF(G447="","",ROUND(G447*0.04,2))</f>
        <v/>
      </c>
      <c r="L447" s="4" t="n"/>
      <c r="M447" s="4" t="n"/>
      <c r="N447" s="5">
        <f>IF(A447="","",SUM(E447:K447)-N(L447))</f>
        <v/>
      </c>
      <c r="O447">
        <f>IF(OR(A447="",M447=""),"",IF(ABS(M447-N447)&lt;=0.02,"OK","REVISAR"))</f>
        <v/>
      </c>
      <c r="P447">
        <f>IF(D447="","",IF(LEN(TRIM(D447))&lt;&gt;9,"REVISAR",IFERROR(IF(OR(ISNUMBER(VALUE(LEFT(UPPER(TRIM(D447)),1))),LEFT(UPPER(TRIM(D447)),1)="X",LEFT(UPPER(TRIM(D447)),1)="Y",LEFT(UPPER(TRIM(D447)),1)="Z"),IF(MID("TRWAGMYFPDXBNJZSQVHLCKE",MOD(VALUE(SUBSTITUTE(SUBSTITUTE(SUBSTITUTE(LEFT(UPPER(TRIM(D447)),8),"X","0"),"Y","1"),"Z","2")),23)+1,1)=RIGHT(UPPER(TRIM(D447)),1),"OK","REVISAR"),IF(OR(RIGHT(UPPER(TRIM(D447)),1)=TEXT(MOD(10-MOD((VALUE(MID(UPPER(TRIM(D447)),3,1))+VALUE(MID(UPPER(TRIM(D447)),5,1))+VALUE(MID(UPPER(TRIM(D447)),7,1)))+(INT(2*VALUE(MID(UPPER(TRIM(D447)),2,1))/10)+MOD(2*VALUE(MID(UPPER(TRIM(D447)),2,1)),10))+(INT(2*VALUE(MID(UPPER(TRIM(D447)),4,1))/10)+MOD(2*VALUE(MID(UPPER(TRIM(D447)),4,1)),10))+(INT(2*VALUE(MID(UPPER(TRIM(D447)),6,1))/10)+MOD(2*VALUE(MID(UPPER(TRIM(D447)),6,1)),10))+(INT(2*VALUE(MID(UPPER(TRIM(D447)),8,1))/10)+MOD(2*VALUE(MID(UPPER(TRIM(D447)),8,1)),10)),10),10),"0"),RIGHT(UPPER(TRIM(D447)),1)=MID("JABCDEFGHI",MOD(10-MOD((VALUE(MID(UPPER(TRIM(D447)),3,1))+VALUE(MID(UPPER(TRIM(D447)),5,1))+VALUE(MID(UPPER(TRIM(D447)),7,1)))+(INT(2*VALUE(MID(UPPER(TRIM(D447)),2,1))/10)+MOD(2*VALUE(MID(UPPER(TRIM(D447)),2,1)),10))+(INT(2*VALUE(MID(UPPER(TRIM(D447)),4,1))/10)+MOD(2*VALUE(MID(UPPER(TRIM(D447)),4,1)),10))+(INT(2*VALUE(MID(UPPER(TRIM(D447)),6,1))/10)+MOD(2*VALUE(MID(UPPER(TRIM(D447)),6,1)),10))+(INT(2*VALUE(MID(UPPER(TRIM(D447)),8,1))/10)+MOD(2*VALUE(MID(UPPER(TRIM(D447)),8,1)),10)),10),10)+1,1)),"OK","REVISAR")),"REVISAR")))</f>
        <v/>
      </c>
      <c r="Q447">
        <f>IF(B447="","",IF(COUNTIFS($B$2:$B$501,B447,$D$2:$D$501,D447)&gt;1,"DUPLICADA",""))</f>
        <v/>
      </c>
      <c r="R447">
        <f>IF(A447="","",ROUNDUP(MONTH(A447)/3,0))</f>
        <v/>
      </c>
      <c r="S447" s="3" t="n"/>
    </row>
    <row r="448">
      <c r="A448" s="2" t="n"/>
      <c r="B448" s="3" t="n"/>
      <c r="C448" s="3" t="n"/>
      <c r="D448" s="3" t="n"/>
      <c r="E448" s="4" t="n"/>
      <c r="F448" s="4" t="n"/>
      <c r="G448" s="4" t="n"/>
      <c r="H448" s="4" t="n"/>
      <c r="I448" s="5">
        <f>IF(E448="","",ROUND(E448*0.21,2))</f>
        <v/>
      </c>
      <c r="J448" s="5">
        <f>IF(F448="","",ROUND(F448*0.1,2))</f>
        <v/>
      </c>
      <c r="K448" s="5">
        <f>IF(G448="","",ROUND(G448*0.04,2))</f>
        <v/>
      </c>
      <c r="L448" s="4" t="n"/>
      <c r="M448" s="4" t="n"/>
      <c r="N448" s="5">
        <f>IF(A448="","",SUM(E448:K448)-N(L448))</f>
        <v/>
      </c>
      <c r="O448">
        <f>IF(OR(A448="",M448=""),"",IF(ABS(M448-N448)&lt;=0.02,"OK","REVISAR"))</f>
        <v/>
      </c>
      <c r="P448">
        <f>IF(D448="","",IF(LEN(TRIM(D448))&lt;&gt;9,"REVISAR",IFERROR(IF(OR(ISNUMBER(VALUE(LEFT(UPPER(TRIM(D448)),1))),LEFT(UPPER(TRIM(D448)),1)="X",LEFT(UPPER(TRIM(D448)),1)="Y",LEFT(UPPER(TRIM(D448)),1)="Z"),IF(MID("TRWAGMYFPDXBNJZSQVHLCKE",MOD(VALUE(SUBSTITUTE(SUBSTITUTE(SUBSTITUTE(LEFT(UPPER(TRIM(D448)),8),"X","0"),"Y","1"),"Z","2")),23)+1,1)=RIGHT(UPPER(TRIM(D448)),1),"OK","REVISAR"),IF(OR(RIGHT(UPPER(TRIM(D448)),1)=TEXT(MOD(10-MOD((VALUE(MID(UPPER(TRIM(D448)),3,1))+VALUE(MID(UPPER(TRIM(D448)),5,1))+VALUE(MID(UPPER(TRIM(D448)),7,1)))+(INT(2*VALUE(MID(UPPER(TRIM(D448)),2,1))/10)+MOD(2*VALUE(MID(UPPER(TRIM(D448)),2,1)),10))+(INT(2*VALUE(MID(UPPER(TRIM(D448)),4,1))/10)+MOD(2*VALUE(MID(UPPER(TRIM(D448)),4,1)),10))+(INT(2*VALUE(MID(UPPER(TRIM(D448)),6,1))/10)+MOD(2*VALUE(MID(UPPER(TRIM(D448)),6,1)),10))+(INT(2*VALUE(MID(UPPER(TRIM(D448)),8,1))/10)+MOD(2*VALUE(MID(UPPER(TRIM(D448)),8,1)),10)),10),10),"0"),RIGHT(UPPER(TRIM(D448)),1)=MID("JABCDEFGHI",MOD(10-MOD((VALUE(MID(UPPER(TRIM(D448)),3,1))+VALUE(MID(UPPER(TRIM(D448)),5,1))+VALUE(MID(UPPER(TRIM(D448)),7,1)))+(INT(2*VALUE(MID(UPPER(TRIM(D448)),2,1))/10)+MOD(2*VALUE(MID(UPPER(TRIM(D448)),2,1)),10))+(INT(2*VALUE(MID(UPPER(TRIM(D448)),4,1))/10)+MOD(2*VALUE(MID(UPPER(TRIM(D448)),4,1)),10))+(INT(2*VALUE(MID(UPPER(TRIM(D448)),6,1))/10)+MOD(2*VALUE(MID(UPPER(TRIM(D448)),6,1)),10))+(INT(2*VALUE(MID(UPPER(TRIM(D448)),8,1))/10)+MOD(2*VALUE(MID(UPPER(TRIM(D448)),8,1)),10)),10),10)+1,1)),"OK","REVISAR")),"REVISAR")))</f>
        <v/>
      </c>
      <c r="Q448">
        <f>IF(B448="","",IF(COUNTIFS($B$2:$B$501,B448,$D$2:$D$501,D448)&gt;1,"DUPLICADA",""))</f>
        <v/>
      </c>
      <c r="R448">
        <f>IF(A448="","",ROUNDUP(MONTH(A448)/3,0))</f>
        <v/>
      </c>
      <c r="S448" s="3" t="n"/>
    </row>
    <row r="449">
      <c r="A449" s="2" t="n"/>
      <c r="B449" s="3" t="n"/>
      <c r="C449" s="3" t="n"/>
      <c r="D449" s="3" t="n"/>
      <c r="E449" s="4" t="n"/>
      <c r="F449" s="4" t="n"/>
      <c r="G449" s="4" t="n"/>
      <c r="H449" s="4" t="n"/>
      <c r="I449" s="5">
        <f>IF(E449="","",ROUND(E449*0.21,2))</f>
        <v/>
      </c>
      <c r="J449" s="5">
        <f>IF(F449="","",ROUND(F449*0.1,2))</f>
        <v/>
      </c>
      <c r="K449" s="5">
        <f>IF(G449="","",ROUND(G449*0.04,2))</f>
        <v/>
      </c>
      <c r="L449" s="4" t="n"/>
      <c r="M449" s="4" t="n"/>
      <c r="N449" s="5">
        <f>IF(A449="","",SUM(E449:K449)-N(L449))</f>
        <v/>
      </c>
      <c r="O449">
        <f>IF(OR(A449="",M449=""),"",IF(ABS(M449-N449)&lt;=0.02,"OK","REVISAR"))</f>
        <v/>
      </c>
      <c r="P449">
        <f>IF(D449="","",IF(LEN(TRIM(D449))&lt;&gt;9,"REVISAR",IFERROR(IF(OR(ISNUMBER(VALUE(LEFT(UPPER(TRIM(D449)),1))),LEFT(UPPER(TRIM(D449)),1)="X",LEFT(UPPER(TRIM(D449)),1)="Y",LEFT(UPPER(TRIM(D449)),1)="Z"),IF(MID("TRWAGMYFPDXBNJZSQVHLCKE",MOD(VALUE(SUBSTITUTE(SUBSTITUTE(SUBSTITUTE(LEFT(UPPER(TRIM(D449)),8),"X","0"),"Y","1"),"Z","2")),23)+1,1)=RIGHT(UPPER(TRIM(D449)),1),"OK","REVISAR"),IF(OR(RIGHT(UPPER(TRIM(D449)),1)=TEXT(MOD(10-MOD((VALUE(MID(UPPER(TRIM(D449)),3,1))+VALUE(MID(UPPER(TRIM(D449)),5,1))+VALUE(MID(UPPER(TRIM(D449)),7,1)))+(INT(2*VALUE(MID(UPPER(TRIM(D449)),2,1))/10)+MOD(2*VALUE(MID(UPPER(TRIM(D449)),2,1)),10))+(INT(2*VALUE(MID(UPPER(TRIM(D449)),4,1))/10)+MOD(2*VALUE(MID(UPPER(TRIM(D449)),4,1)),10))+(INT(2*VALUE(MID(UPPER(TRIM(D449)),6,1))/10)+MOD(2*VALUE(MID(UPPER(TRIM(D449)),6,1)),10))+(INT(2*VALUE(MID(UPPER(TRIM(D449)),8,1))/10)+MOD(2*VALUE(MID(UPPER(TRIM(D449)),8,1)),10)),10),10),"0"),RIGHT(UPPER(TRIM(D449)),1)=MID("JABCDEFGHI",MOD(10-MOD((VALUE(MID(UPPER(TRIM(D449)),3,1))+VALUE(MID(UPPER(TRIM(D449)),5,1))+VALUE(MID(UPPER(TRIM(D449)),7,1)))+(INT(2*VALUE(MID(UPPER(TRIM(D449)),2,1))/10)+MOD(2*VALUE(MID(UPPER(TRIM(D449)),2,1)),10))+(INT(2*VALUE(MID(UPPER(TRIM(D449)),4,1))/10)+MOD(2*VALUE(MID(UPPER(TRIM(D449)),4,1)),10))+(INT(2*VALUE(MID(UPPER(TRIM(D449)),6,1))/10)+MOD(2*VALUE(MID(UPPER(TRIM(D449)),6,1)),10))+(INT(2*VALUE(MID(UPPER(TRIM(D449)),8,1))/10)+MOD(2*VALUE(MID(UPPER(TRIM(D449)),8,1)),10)),10),10)+1,1)),"OK","REVISAR")),"REVISAR")))</f>
        <v/>
      </c>
      <c r="Q449">
        <f>IF(B449="","",IF(COUNTIFS($B$2:$B$501,B449,$D$2:$D$501,D449)&gt;1,"DUPLICADA",""))</f>
        <v/>
      </c>
      <c r="R449">
        <f>IF(A449="","",ROUNDUP(MONTH(A449)/3,0))</f>
        <v/>
      </c>
      <c r="S449" s="3" t="n"/>
    </row>
    <row r="450">
      <c r="A450" s="2" t="n"/>
      <c r="B450" s="3" t="n"/>
      <c r="C450" s="3" t="n"/>
      <c r="D450" s="3" t="n"/>
      <c r="E450" s="4" t="n"/>
      <c r="F450" s="4" t="n"/>
      <c r="G450" s="4" t="n"/>
      <c r="H450" s="4" t="n"/>
      <c r="I450" s="5">
        <f>IF(E450="","",ROUND(E450*0.21,2))</f>
        <v/>
      </c>
      <c r="J450" s="5">
        <f>IF(F450="","",ROUND(F450*0.1,2))</f>
        <v/>
      </c>
      <c r="K450" s="5">
        <f>IF(G450="","",ROUND(G450*0.04,2))</f>
        <v/>
      </c>
      <c r="L450" s="4" t="n"/>
      <c r="M450" s="4" t="n"/>
      <c r="N450" s="5">
        <f>IF(A450="","",SUM(E450:K450)-N(L450))</f>
        <v/>
      </c>
      <c r="O450">
        <f>IF(OR(A450="",M450=""),"",IF(ABS(M450-N450)&lt;=0.02,"OK","REVISAR"))</f>
        <v/>
      </c>
      <c r="P450">
        <f>IF(D450="","",IF(LEN(TRIM(D450))&lt;&gt;9,"REVISAR",IFERROR(IF(OR(ISNUMBER(VALUE(LEFT(UPPER(TRIM(D450)),1))),LEFT(UPPER(TRIM(D450)),1)="X",LEFT(UPPER(TRIM(D450)),1)="Y",LEFT(UPPER(TRIM(D450)),1)="Z"),IF(MID("TRWAGMYFPDXBNJZSQVHLCKE",MOD(VALUE(SUBSTITUTE(SUBSTITUTE(SUBSTITUTE(LEFT(UPPER(TRIM(D450)),8),"X","0"),"Y","1"),"Z","2")),23)+1,1)=RIGHT(UPPER(TRIM(D450)),1),"OK","REVISAR"),IF(OR(RIGHT(UPPER(TRIM(D450)),1)=TEXT(MOD(10-MOD((VALUE(MID(UPPER(TRIM(D450)),3,1))+VALUE(MID(UPPER(TRIM(D450)),5,1))+VALUE(MID(UPPER(TRIM(D450)),7,1)))+(INT(2*VALUE(MID(UPPER(TRIM(D450)),2,1))/10)+MOD(2*VALUE(MID(UPPER(TRIM(D450)),2,1)),10))+(INT(2*VALUE(MID(UPPER(TRIM(D450)),4,1))/10)+MOD(2*VALUE(MID(UPPER(TRIM(D450)),4,1)),10))+(INT(2*VALUE(MID(UPPER(TRIM(D450)),6,1))/10)+MOD(2*VALUE(MID(UPPER(TRIM(D450)),6,1)),10))+(INT(2*VALUE(MID(UPPER(TRIM(D450)),8,1))/10)+MOD(2*VALUE(MID(UPPER(TRIM(D450)),8,1)),10)),10),10),"0"),RIGHT(UPPER(TRIM(D450)),1)=MID("JABCDEFGHI",MOD(10-MOD((VALUE(MID(UPPER(TRIM(D450)),3,1))+VALUE(MID(UPPER(TRIM(D450)),5,1))+VALUE(MID(UPPER(TRIM(D450)),7,1)))+(INT(2*VALUE(MID(UPPER(TRIM(D450)),2,1))/10)+MOD(2*VALUE(MID(UPPER(TRIM(D450)),2,1)),10))+(INT(2*VALUE(MID(UPPER(TRIM(D450)),4,1))/10)+MOD(2*VALUE(MID(UPPER(TRIM(D450)),4,1)),10))+(INT(2*VALUE(MID(UPPER(TRIM(D450)),6,1))/10)+MOD(2*VALUE(MID(UPPER(TRIM(D450)),6,1)),10))+(INT(2*VALUE(MID(UPPER(TRIM(D450)),8,1))/10)+MOD(2*VALUE(MID(UPPER(TRIM(D450)),8,1)),10)),10),10)+1,1)),"OK","REVISAR")),"REVISAR")))</f>
        <v/>
      </c>
      <c r="Q450">
        <f>IF(B450="","",IF(COUNTIFS($B$2:$B$501,B450,$D$2:$D$501,D450)&gt;1,"DUPLICADA",""))</f>
        <v/>
      </c>
      <c r="R450">
        <f>IF(A450="","",ROUNDUP(MONTH(A450)/3,0))</f>
        <v/>
      </c>
      <c r="S450" s="3" t="n"/>
    </row>
    <row r="451">
      <c r="A451" s="2" t="n"/>
      <c r="B451" s="3" t="n"/>
      <c r="C451" s="3" t="n"/>
      <c r="D451" s="3" t="n"/>
      <c r="E451" s="4" t="n"/>
      <c r="F451" s="4" t="n"/>
      <c r="G451" s="4" t="n"/>
      <c r="H451" s="4" t="n"/>
      <c r="I451" s="5">
        <f>IF(E451="","",ROUND(E451*0.21,2))</f>
        <v/>
      </c>
      <c r="J451" s="5">
        <f>IF(F451="","",ROUND(F451*0.1,2))</f>
        <v/>
      </c>
      <c r="K451" s="5">
        <f>IF(G451="","",ROUND(G451*0.04,2))</f>
        <v/>
      </c>
      <c r="L451" s="4" t="n"/>
      <c r="M451" s="4" t="n"/>
      <c r="N451" s="5">
        <f>IF(A451="","",SUM(E451:K451)-N(L451))</f>
        <v/>
      </c>
      <c r="O451">
        <f>IF(OR(A451="",M451=""),"",IF(ABS(M451-N451)&lt;=0.02,"OK","REVISAR"))</f>
        <v/>
      </c>
      <c r="P451">
        <f>IF(D451="","",IF(LEN(TRIM(D451))&lt;&gt;9,"REVISAR",IFERROR(IF(OR(ISNUMBER(VALUE(LEFT(UPPER(TRIM(D451)),1))),LEFT(UPPER(TRIM(D451)),1)="X",LEFT(UPPER(TRIM(D451)),1)="Y",LEFT(UPPER(TRIM(D451)),1)="Z"),IF(MID("TRWAGMYFPDXBNJZSQVHLCKE",MOD(VALUE(SUBSTITUTE(SUBSTITUTE(SUBSTITUTE(LEFT(UPPER(TRIM(D451)),8),"X","0"),"Y","1"),"Z","2")),23)+1,1)=RIGHT(UPPER(TRIM(D451)),1),"OK","REVISAR"),IF(OR(RIGHT(UPPER(TRIM(D451)),1)=TEXT(MOD(10-MOD((VALUE(MID(UPPER(TRIM(D451)),3,1))+VALUE(MID(UPPER(TRIM(D451)),5,1))+VALUE(MID(UPPER(TRIM(D451)),7,1)))+(INT(2*VALUE(MID(UPPER(TRIM(D451)),2,1))/10)+MOD(2*VALUE(MID(UPPER(TRIM(D451)),2,1)),10))+(INT(2*VALUE(MID(UPPER(TRIM(D451)),4,1))/10)+MOD(2*VALUE(MID(UPPER(TRIM(D451)),4,1)),10))+(INT(2*VALUE(MID(UPPER(TRIM(D451)),6,1))/10)+MOD(2*VALUE(MID(UPPER(TRIM(D451)),6,1)),10))+(INT(2*VALUE(MID(UPPER(TRIM(D451)),8,1))/10)+MOD(2*VALUE(MID(UPPER(TRIM(D451)),8,1)),10)),10),10),"0"),RIGHT(UPPER(TRIM(D451)),1)=MID("JABCDEFGHI",MOD(10-MOD((VALUE(MID(UPPER(TRIM(D451)),3,1))+VALUE(MID(UPPER(TRIM(D451)),5,1))+VALUE(MID(UPPER(TRIM(D451)),7,1)))+(INT(2*VALUE(MID(UPPER(TRIM(D451)),2,1))/10)+MOD(2*VALUE(MID(UPPER(TRIM(D451)),2,1)),10))+(INT(2*VALUE(MID(UPPER(TRIM(D451)),4,1))/10)+MOD(2*VALUE(MID(UPPER(TRIM(D451)),4,1)),10))+(INT(2*VALUE(MID(UPPER(TRIM(D451)),6,1))/10)+MOD(2*VALUE(MID(UPPER(TRIM(D451)),6,1)),10))+(INT(2*VALUE(MID(UPPER(TRIM(D451)),8,1))/10)+MOD(2*VALUE(MID(UPPER(TRIM(D451)),8,1)),10)),10),10)+1,1)),"OK","REVISAR")),"REVISAR")))</f>
        <v/>
      </c>
      <c r="Q451">
        <f>IF(B451="","",IF(COUNTIFS($B$2:$B$501,B451,$D$2:$D$501,D451)&gt;1,"DUPLICADA",""))</f>
        <v/>
      </c>
      <c r="R451">
        <f>IF(A451="","",ROUNDUP(MONTH(A451)/3,0))</f>
        <v/>
      </c>
      <c r="S451" s="3" t="n"/>
    </row>
    <row r="452">
      <c r="A452" s="2" t="n"/>
      <c r="B452" s="3" t="n"/>
      <c r="C452" s="3" t="n"/>
      <c r="D452" s="3" t="n"/>
      <c r="E452" s="4" t="n"/>
      <c r="F452" s="4" t="n"/>
      <c r="G452" s="4" t="n"/>
      <c r="H452" s="4" t="n"/>
      <c r="I452" s="5">
        <f>IF(E452="","",ROUND(E452*0.21,2))</f>
        <v/>
      </c>
      <c r="J452" s="5">
        <f>IF(F452="","",ROUND(F452*0.1,2))</f>
        <v/>
      </c>
      <c r="K452" s="5">
        <f>IF(G452="","",ROUND(G452*0.04,2))</f>
        <v/>
      </c>
      <c r="L452" s="4" t="n"/>
      <c r="M452" s="4" t="n"/>
      <c r="N452" s="5">
        <f>IF(A452="","",SUM(E452:K452)-N(L452))</f>
        <v/>
      </c>
      <c r="O452">
        <f>IF(OR(A452="",M452=""),"",IF(ABS(M452-N452)&lt;=0.02,"OK","REVISAR"))</f>
        <v/>
      </c>
      <c r="P452">
        <f>IF(D452="","",IF(LEN(TRIM(D452))&lt;&gt;9,"REVISAR",IFERROR(IF(OR(ISNUMBER(VALUE(LEFT(UPPER(TRIM(D452)),1))),LEFT(UPPER(TRIM(D452)),1)="X",LEFT(UPPER(TRIM(D452)),1)="Y",LEFT(UPPER(TRIM(D452)),1)="Z"),IF(MID("TRWAGMYFPDXBNJZSQVHLCKE",MOD(VALUE(SUBSTITUTE(SUBSTITUTE(SUBSTITUTE(LEFT(UPPER(TRIM(D452)),8),"X","0"),"Y","1"),"Z","2")),23)+1,1)=RIGHT(UPPER(TRIM(D452)),1),"OK","REVISAR"),IF(OR(RIGHT(UPPER(TRIM(D452)),1)=TEXT(MOD(10-MOD((VALUE(MID(UPPER(TRIM(D452)),3,1))+VALUE(MID(UPPER(TRIM(D452)),5,1))+VALUE(MID(UPPER(TRIM(D452)),7,1)))+(INT(2*VALUE(MID(UPPER(TRIM(D452)),2,1))/10)+MOD(2*VALUE(MID(UPPER(TRIM(D452)),2,1)),10))+(INT(2*VALUE(MID(UPPER(TRIM(D452)),4,1))/10)+MOD(2*VALUE(MID(UPPER(TRIM(D452)),4,1)),10))+(INT(2*VALUE(MID(UPPER(TRIM(D452)),6,1))/10)+MOD(2*VALUE(MID(UPPER(TRIM(D452)),6,1)),10))+(INT(2*VALUE(MID(UPPER(TRIM(D452)),8,1))/10)+MOD(2*VALUE(MID(UPPER(TRIM(D452)),8,1)),10)),10),10),"0"),RIGHT(UPPER(TRIM(D452)),1)=MID("JABCDEFGHI",MOD(10-MOD((VALUE(MID(UPPER(TRIM(D452)),3,1))+VALUE(MID(UPPER(TRIM(D452)),5,1))+VALUE(MID(UPPER(TRIM(D452)),7,1)))+(INT(2*VALUE(MID(UPPER(TRIM(D452)),2,1))/10)+MOD(2*VALUE(MID(UPPER(TRIM(D452)),2,1)),10))+(INT(2*VALUE(MID(UPPER(TRIM(D452)),4,1))/10)+MOD(2*VALUE(MID(UPPER(TRIM(D452)),4,1)),10))+(INT(2*VALUE(MID(UPPER(TRIM(D452)),6,1))/10)+MOD(2*VALUE(MID(UPPER(TRIM(D452)),6,1)),10))+(INT(2*VALUE(MID(UPPER(TRIM(D452)),8,1))/10)+MOD(2*VALUE(MID(UPPER(TRIM(D452)),8,1)),10)),10),10)+1,1)),"OK","REVISAR")),"REVISAR")))</f>
        <v/>
      </c>
      <c r="Q452">
        <f>IF(B452="","",IF(COUNTIFS($B$2:$B$501,B452,$D$2:$D$501,D452)&gt;1,"DUPLICADA",""))</f>
        <v/>
      </c>
      <c r="R452">
        <f>IF(A452="","",ROUNDUP(MONTH(A452)/3,0))</f>
        <v/>
      </c>
      <c r="S452" s="3" t="n"/>
    </row>
    <row r="453">
      <c r="A453" s="2" t="n"/>
      <c r="B453" s="3" t="n"/>
      <c r="C453" s="3" t="n"/>
      <c r="D453" s="3" t="n"/>
      <c r="E453" s="4" t="n"/>
      <c r="F453" s="4" t="n"/>
      <c r="G453" s="4" t="n"/>
      <c r="H453" s="4" t="n"/>
      <c r="I453" s="5">
        <f>IF(E453="","",ROUND(E453*0.21,2))</f>
        <v/>
      </c>
      <c r="J453" s="5">
        <f>IF(F453="","",ROUND(F453*0.1,2))</f>
        <v/>
      </c>
      <c r="K453" s="5">
        <f>IF(G453="","",ROUND(G453*0.04,2))</f>
        <v/>
      </c>
      <c r="L453" s="4" t="n"/>
      <c r="M453" s="4" t="n"/>
      <c r="N453" s="5">
        <f>IF(A453="","",SUM(E453:K453)-N(L453))</f>
        <v/>
      </c>
      <c r="O453">
        <f>IF(OR(A453="",M453=""),"",IF(ABS(M453-N453)&lt;=0.02,"OK","REVISAR"))</f>
        <v/>
      </c>
      <c r="P453">
        <f>IF(D453="","",IF(LEN(TRIM(D453))&lt;&gt;9,"REVISAR",IFERROR(IF(OR(ISNUMBER(VALUE(LEFT(UPPER(TRIM(D453)),1))),LEFT(UPPER(TRIM(D453)),1)="X",LEFT(UPPER(TRIM(D453)),1)="Y",LEFT(UPPER(TRIM(D453)),1)="Z"),IF(MID("TRWAGMYFPDXBNJZSQVHLCKE",MOD(VALUE(SUBSTITUTE(SUBSTITUTE(SUBSTITUTE(LEFT(UPPER(TRIM(D453)),8),"X","0"),"Y","1"),"Z","2")),23)+1,1)=RIGHT(UPPER(TRIM(D453)),1),"OK","REVISAR"),IF(OR(RIGHT(UPPER(TRIM(D453)),1)=TEXT(MOD(10-MOD((VALUE(MID(UPPER(TRIM(D453)),3,1))+VALUE(MID(UPPER(TRIM(D453)),5,1))+VALUE(MID(UPPER(TRIM(D453)),7,1)))+(INT(2*VALUE(MID(UPPER(TRIM(D453)),2,1))/10)+MOD(2*VALUE(MID(UPPER(TRIM(D453)),2,1)),10))+(INT(2*VALUE(MID(UPPER(TRIM(D453)),4,1))/10)+MOD(2*VALUE(MID(UPPER(TRIM(D453)),4,1)),10))+(INT(2*VALUE(MID(UPPER(TRIM(D453)),6,1))/10)+MOD(2*VALUE(MID(UPPER(TRIM(D453)),6,1)),10))+(INT(2*VALUE(MID(UPPER(TRIM(D453)),8,1))/10)+MOD(2*VALUE(MID(UPPER(TRIM(D453)),8,1)),10)),10),10),"0"),RIGHT(UPPER(TRIM(D453)),1)=MID("JABCDEFGHI",MOD(10-MOD((VALUE(MID(UPPER(TRIM(D453)),3,1))+VALUE(MID(UPPER(TRIM(D453)),5,1))+VALUE(MID(UPPER(TRIM(D453)),7,1)))+(INT(2*VALUE(MID(UPPER(TRIM(D453)),2,1))/10)+MOD(2*VALUE(MID(UPPER(TRIM(D453)),2,1)),10))+(INT(2*VALUE(MID(UPPER(TRIM(D453)),4,1))/10)+MOD(2*VALUE(MID(UPPER(TRIM(D453)),4,1)),10))+(INT(2*VALUE(MID(UPPER(TRIM(D453)),6,1))/10)+MOD(2*VALUE(MID(UPPER(TRIM(D453)),6,1)),10))+(INT(2*VALUE(MID(UPPER(TRIM(D453)),8,1))/10)+MOD(2*VALUE(MID(UPPER(TRIM(D453)),8,1)),10)),10),10)+1,1)),"OK","REVISAR")),"REVISAR")))</f>
        <v/>
      </c>
      <c r="Q453">
        <f>IF(B453="","",IF(COUNTIFS($B$2:$B$501,B453,$D$2:$D$501,D453)&gt;1,"DUPLICADA",""))</f>
        <v/>
      </c>
      <c r="R453">
        <f>IF(A453="","",ROUNDUP(MONTH(A453)/3,0))</f>
        <v/>
      </c>
      <c r="S453" s="3" t="n"/>
    </row>
    <row r="454">
      <c r="A454" s="2" t="n"/>
      <c r="B454" s="3" t="n"/>
      <c r="C454" s="3" t="n"/>
      <c r="D454" s="3" t="n"/>
      <c r="E454" s="4" t="n"/>
      <c r="F454" s="4" t="n"/>
      <c r="G454" s="4" t="n"/>
      <c r="H454" s="4" t="n"/>
      <c r="I454" s="5">
        <f>IF(E454="","",ROUND(E454*0.21,2))</f>
        <v/>
      </c>
      <c r="J454" s="5">
        <f>IF(F454="","",ROUND(F454*0.1,2))</f>
        <v/>
      </c>
      <c r="K454" s="5">
        <f>IF(G454="","",ROUND(G454*0.04,2))</f>
        <v/>
      </c>
      <c r="L454" s="4" t="n"/>
      <c r="M454" s="4" t="n"/>
      <c r="N454" s="5">
        <f>IF(A454="","",SUM(E454:K454)-N(L454))</f>
        <v/>
      </c>
      <c r="O454">
        <f>IF(OR(A454="",M454=""),"",IF(ABS(M454-N454)&lt;=0.02,"OK","REVISAR"))</f>
        <v/>
      </c>
      <c r="P454">
        <f>IF(D454="","",IF(LEN(TRIM(D454))&lt;&gt;9,"REVISAR",IFERROR(IF(OR(ISNUMBER(VALUE(LEFT(UPPER(TRIM(D454)),1))),LEFT(UPPER(TRIM(D454)),1)="X",LEFT(UPPER(TRIM(D454)),1)="Y",LEFT(UPPER(TRIM(D454)),1)="Z"),IF(MID("TRWAGMYFPDXBNJZSQVHLCKE",MOD(VALUE(SUBSTITUTE(SUBSTITUTE(SUBSTITUTE(LEFT(UPPER(TRIM(D454)),8),"X","0"),"Y","1"),"Z","2")),23)+1,1)=RIGHT(UPPER(TRIM(D454)),1),"OK","REVISAR"),IF(OR(RIGHT(UPPER(TRIM(D454)),1)=TEXT(MOD(10-MOD((VALUE(MID(UPPER(TRIM(D454)),3,1))+VALUE(MID(UPPER(TRIM(D454)),5,1))+VALUE(MID(UPPER(TRIM(D454)),7,1)))+(INT(2*VALUE(MID(UPPER(TRIM(D454)),2,1))/10)+MOD(2*VALUE(MID(UPPER(TRIM(D454)),2,1)),10))+(INT(2*VALUE(MID(UPPER(TRIM(D454)),4,1))/10)+MOD(2*VALUE(MID(UPPER(TRIM(D454)),4,1)),10))+(INT(2*VALUE(MID(UPPER(TRIM(D454)),6,1))/10)+MOD(2*VALUE(MID(UPPER(TRIM(D454)),6,1)),10))+(INT(2*VALUE(MID(UPPER(TRIM(D454)),8,1))/10)+MOD(2*VALUE(MID(UPPER(TRIM(D454)),8,1)),10)),10),10),"0"),RIGHT(UPPER(TRIM(D454)),1)=MID("JABCDEFGHI",MOD(10-MOD((VALUE(MID(UPPER(TRIM(D454)),3,1))+VALUE(MID(UPPER(TRIM(D454)),5,1))+VALUE(MID(UPPER(TRIM(D454)),7,1)))+(INT(2*VALUE(MID(UPPER(TRIM(D454)),2,1))/10)+MOD(2*VALUE(MID(UPPER(TRIM(D454)),2,1)),10))+(INT(2*VALUE(MID(UPPER(TRIM(D454)),4,1))/10)+MOD(2*VALUE(MID(UPPER(TRIM(D454)),4,1)),10))+(INT(2*VALUE(MID(UPPER(TRIM(D454)),6,1))/10)+MOD(2*VALUE(MID(UPPER(TRIM(D454)),6,1)),10))+(INT(2*VALUE(MID(UPPER(TRIM(D454)),8,1))/10)+MOD(2*VALUE(MID(UPPER(TRIM(D454)),8,1)),10)),10),10)+1,1)),"OK","REVISAR")),"REVISAR")))</f>
        <v/>
      </c>
      <c r="Q454">
        <f>IF(B454="","",IF(COUNTIFS($B$2:$B$501,B454,$D$2:$D$501,D454)&gt;1,"DUPLICADA",""))</f>
        <v/>
      </c>
      <c r="R454">
        <f>IF(A454="","",ROUNDUP(MONTH(A454)/3,0))</f>
        <v/>
      </c>
      <c r="S454" s="3" t="n"/>
    </row>
    <row r="455">
      <c r="A455" s="2" t="n"/>
      <c r="B455" s="3" t="n"/>
      <c r="C455" s="3" t="n"/>
      <c r="D455" s="3" t="n"/>
      <c r="E455" s="4" t="n"/>
      <c r="F455" s="4" t="n"/>
      <c r="G455" s="4" t="n"/>
      <c r="H455" s="4" t="n"/>
      <c r="I455" s="5">
        <f>IF(E455="","",ROUND(E455*0.21,2))</f>
        <v/>
      </c>
      <c r="J455" s="5">
        <f>IF(F455="","",ROUND(F455*0.1,2))</f>
        <v/>
      </c>
      <c r="K455" s="5">
        <f>IF(G455="","",ROUND(G455*0.04,2))</f>
        <v/>
      </c>
      <c r="L455" s="4" t="n"/>
      <c r="M455" s="4" t="n"/>
      <c r="N455" s="5">
        <f>IF(A455="","",SUM(E455:K455)-N(L455))</f>
        <v/>
      </c>
      <c r="O455">
        <f>IF(OR(A455="",M455=""),"",IF(ABS(M455-N455)&lt;=0.02,"OK","REVISAR"))</f>
        <v/>
      </c>
      <c r="P455">
        <f>IF(D455="","",IF(LEN(TRIM(D455))&lt;&gt;9,"REVISAR",IFERROR(IF(OR(ISNUMBER(VALUE(LEFT(UPPER(TRIM(D455)),1))),LEFT(UPPER(TRIM(D455)),1)="X",LEFT(UPPER(TRIM(D455)),1)="Y",LEFT(UPPER(TRIM(D455)),1)="Z"),IF(MID("TRWAGMYFPDXBNJZSQVHLCKE",MOD(VALUE(SUBSTITUTE(SUBSTITUTE(SUBSTITUTE(LEFT(UPPER(TRIM(D455)),8),"X","0"),"Y","1"),"Z","2")),23)+1,1)=RIGHT(UPPER(TRIM(D455)),1),"OK","REVISAR"),IF(OR(RIGHT(UPPER(TRIM(D455)),1)=TEXT(MOD(10-MOD((VALUE(MID(UPPER(TRIM(D455)),3,1))+VALUE(MID(UPPER(TRIM(D455)),5,1))+VALUE(MID(UPPER(TRIM(D455)),7,1)))+(INT(2*VALUE(MID(UPPER(TRIM(D455)),2,1))/10)+MOD(2*VALUE(MID(UPPER(TRIM(D455)),2,1)),10))+(INT(2*VALUE(MID(UPPER(TRIM(D455)),4,1))/10)+MOD(2*VALUE(MID(UPPER(TRIM(D455)),4,1)),10))+(INT(2*VALUE(MID(UPPER(TRIM(D455)),6,1))/10)+MOD(2*VALUE(MID(UPPER(TRIM(D455)),6,1)),10))+(INT(2*VALUE(MID(UPPER(TRIM(D455)),8,1))/10)+MOD(2*VALUE(MID(UPPER(TRIM(D455)),8,1)),10)),10),10),"0"),RIGHT(UPPER(TRIM(D455)),1)=MID("JABCDEFGHI",MOD(10-MOD((VALUE(MID(UPPER(TRIM(D455)),3,1))+VALUE(MID(UPPER(TRIM(D455)),5,1))+VALUE(MID(UPPER(TRIM(D455)),7,1)))+(INT(2*VALUE(MID(UPPER(TRIM(D455)),2,1))/10)+MOD(2*VALUE(MID(UPPER(TRIM(D455)),2,1)),10))+(INT(2*VALUE(MID(UPPER(TRIM(D455)),4,1))/10)+MOD(2*VALUE(MID(UPPER(TRIM(D455)),4,1)),10))+(INT(2*VALUE(MID(UPPER(TRIM(D455)),6,1))/10)+MOD(2*VALUE(MID(UPPER(TRIM(D455)),6,1)),10))+(INT(2*VALUE(MID(UPPER(TRIM(D455)),8,1))/10)+MOD(2*VALUE(MID(UPPER(TRIM(D455)),8,1)),10)),10),10)+1,1)),"OK","REVISAR")),"REVISAR")))</f>
        <v/>
      </c>
      <c r="Q455">
        <f>IF(B455="","",IF(COUNTIFS($B$2:$B$501,B455,$D$2:$D$501,D455)&gt;1,"DUPLICADA",""))</f>
        <v/>
      </c>
      <c r="R455">
        <f>IF(A455="","",ROUNDUP(MONTH(A455)/3,0))</f>
        <v/>
      </c>
      <c r="S455" s="3" t="n"/>
    </row>
    <row r="456">
      <c r="A456" s="2" t="n"/>
      <c r="B456" s="3" t="n"/>
      <c r="C456" s="3" t="n"/>
      <c r="D456" s="3" t="n"/>
      <c r="E456" s="4" t="n"/>
      <c r="F456" s="4" t="n"/>
      <c r="G456" s="4" t="n"/>
      <c r="H456" s="4" t="n"/>
      <c r="I456" s="5">
        <f>IF(E456="","",ROUND(E456*0.21,2))</f>
        <v/>
      </c>
      <c r="J456" s="5">
        <f>IF(F456="","",ROUND(F456*0.1,2))</f>
        <v/>
      </c>
      <c r="K456" s="5">
        <f>IF(G456="","",ROUND(G456*0.04,2))</f>
        <v/>
      </c>
      <c r="L456" s="4" t="n"/>
      <c r="M456" s="4" t="n"/>
      <c r="N456" s="5">
        <f>IF(A456="","",SUM(E456:K456)-N(L456))</f>
        <v/>
      </c>
      <c r="O456">
        <f>IF(OR(A456="",M456=""),"",IF(ABS(M456-N456)&lt;=0.02,"OK","REVISAR"))</f>
        <v/>
      </c>
      <c r="P456">
        <f>IF(D456="","",IF(LEN(TRIM(D456))&lt;&gt;9,"REVISAR",IFERROR(IF(OR(ISNUMBER(VALUE(LEFT(UPPER(TRIM(D456)),1))),LEFT(UPPER(TRIM(D456)),1)="X",LEFT(UPPER(TRIM(D456)),1)="Y",LEFT(UPPER(TRIM(D456)),1)="Z"),IF(MID("TRWAGMYFPDXBNJZSQVHLCKE",MOD(VALUE(SUBSTITUTE(SUBSTITUTE(SUBSTITUTE(LEFT(UPPER(TRIM(D456)),8),"X","0"),"Y","1"),"Z","2")),23)+1,1)=RIGHT(UPPER(TRIM(D456)),1),"OK","REVISAR"),IF(OR(RIGHT(UPPER(TRIM(D456)),1)=TEXT(MOD(10-MOD((VALUE(MID(UPPER(TRIM(D456)),3,1))+VALUE(MID(UPPER(TRIM(D456)),5,1))+VALUE(MID(UPPER(TRIM(D456)),7,1)))+(INT(2*VALUE(MID(UPPER(TRIM(D456)),2,1))/10)+MOD(2*VALUE(MID(UPPER(TRIM(D456)),2,1)),10))+(INT(2*VALUE(MID(UPPER(TRIM(D456)),4,1))/10)+MOD(2*VALUE(MID(UPPER(TRIM(D456)),4,1)),10))+(INT(2*VALUE(MID(UPPER(TRIM(D456)),6,1))/10)+MOD(2*VALUE(MID(UPPER(TRIM(D456)),6,1)),10))+(INT(2*VALUE(MID(UPPER(TRIM(D456)),8,1))/10)+MOD(2*VALUE(MID(UPPER(TRIM(D456)),8,1)),10)),10),10),"0"),RIGHT(UPPER(TRIM(D456)),1)=MID("JABCDEFGHI",MOD(10-MOD((VALUE(MID(UPPER(TRIM(D456)),3,1))+VALUE(MID(UPPER(TRIM(D456)),5,1))+VALUE(MID(UPPER(TRIM(D456)),7,1)))+(INT(2*VALUE(MID(UPPER(TRIM(D456)),2,1))/10)+MOD(2*VALUE(MID(UPPER(TRIM(D456)),2,1)),10))+(INT(2*VALUE(MID(UPPER(TRIM(D456)),4,1))/10)+MOD(2*VALUE(MID(UPPER(TRIM(D456)),4,1)),10))+(INT(2*VALUE(MID(UPPER(TRIM(D456)),6,1))/10)+MOD(2*VALUE(MID(UPPER(TRIM(D456)),6,1)),10))+(INT(2*VALUE(MID(UPPER(TRIM(D456)),8,1))/10)+MOD(2*VALUE(MID(UPPER(TRIM(D456)),8,1)),10)),10),10)+1,1)),"OK","REVISAR")),"REVISAR")))</f>
        <v/>
      </c>
      <c r="Q456">
        <f>IF(B456="","",IF(COUNTIFS($B$2:$B$501,B456,$D$2:$D$501,D456)&gt;1,"DUPLICADA",""))</f>
        <v/>
      </c>
      <c r="R456">
        <f>IF(A456="","",ROUNDUP(MONTH(A456)/3,0))</f>
        <v/>
      </c>
      <c r="S456" s="3" t="n"/>
    </row>
    <row r="457">
      <c r="A457" s="2" t="n"/>
      <c r="B457" s="3" t="n"/>
      <c r="C457" s="3" t="n"/>
      <c r="D457" s="3" t="n"/>
      <c r="E457" s="4" t="n"/>
      <c r="F457" s="4" t="n"/>
      <c r="G457" s="4" t="n"/>
      <c r="H457" s="4" t="n"/>
      <c r="I457" s="5">
        <f>IF(E457="","",ROUND(E457*0.21,2))</f>
        <v/>
      </c>
      <c r="J457" s="5">
        <f>IF(F457="","",ROUND(F457*0.1,2))</f>
        <v/>
      </c>
      <c r="K457" s="5">
        <f>IF(G457="","",ROUND(G457*0.04,2))</f>
        <v/>
      </c>
      <c r="L457" s="4" t="n"/>
      <c r="M457" s="4" t="n"/>
      <c r="N457" s="5">
        <f>IF(A457="","",SUM(E457:K457)-N(L457))</f>
        <v/>
      </c>
      <c r="O457">
        <f>IF(OR(A457="",M457=""),"",IF(ABS(M457-N457)&lt;=0.02,"OK","REVISAR"))</f>
        <v/>
      </c>
      <c r="P457">
        <f>IF(D457="","",IF(LEN(TRIM(D457))&lt;&gt;9,"REVISAR",IFERROR(IF(OR(ISNUMBER(VALUE(LEFT(UPPER(TRIM(D457)),1))),LEFT(UPPER(TRIM(D457)),1)="X",LEFT(UPPER(TRIM(D457)),1)="Y",LEFT(UPPER(TRIM(D457)),1)="Z"),IF(MID("TRWAGMYFPDXBNJZSQVHLCKE",MOD(VALUE(SUBSTITUTE(SUBSTITUTE(SUBSTITUTE(LEFT(UPPER(TRIM(D457)),8),"X","0"),"Y","1"),"Z","2")),23)+1,1)=RIGHT(UPPER(TRIM(D457)),1),"OK","REVISAR"),IF(OR(RIGHT(UPPER(TRIM(D457)),1)=TEXT(MOD(10-MOD((VALUE(MID(UPPER(TRIM(D457)),3,1))+VALUE(MID(UPPER(TRIM(D457)),5,1))+VALUE(MID(UPPER(TRIM(D457)),7,1)))+(INT(2*VALUE(MID(UPPER(TRIM(D457)),2,1))/10)+MOD(2*VALUE(MID(UPPER(TRIM(D457)),2,1)),10))+(INT(2*VALUE(MID(UPPER(TRIM(D457)),4,1))/10)+MOD(2*VALUE(MID(UPPER(TRIM(D457)),4,1)),10))+(INT(2*VALUE(MID(UPPER(TRIM(D457)),6,1))/10)+MOD(2*VALUE(MID(UPPER(TRIM(D457)),6,1)),10))+(INT(2*VALUE(MID(UPPER(TRIM(D457)),8,1))/10)+MOD(2*VALUE(MID(UPPER(TRIM(D457)),8,1)),10)),10),10),"0"),RIGHT(UPPER(TRIM(D457)),1)=MID("JABCDEFGHI",MOD(10-MOD((VALUE(MID(UPPER(TRIM(D457)),3,1))+VALUE(MID(UPPER(TRIM(D457)),5,1))+VALUE(MID(UPPER(TRIM(D457)),7,1)))+(INT(2*VALUE(MID(UPPER(TRIM(D457)),2,1))/10)+MOD(2*VALUE(MID(UPPER(TRIM(D457)),2,1)),10))+(INT(2*VALUE(MID(UPPER(TRIM(D457)),4,1))/10)+MOD(2*VALUE(MID(UPPER(TRIM(D457)),4,1)),10))+(INT(2*VALUE(MID(UPPER(TRIM(D457)),6,1))/10)+MOD(2*VALUE(MID(UPPER(TRIM(D457)),6,1)),10))+(INT(2*VALUE(MID(UPPER(TRIM(D457)),8,1))/10)+MOD(2*VALUE(MID(UPPER(TRIM(D457)),8,1)),10)),10),10)+1,1)),"OK","REVISAR")),"REVISAR")))</f>
        <v/>
      </c>
      <c r="Q457">
        <f>IF(B457="","",IF(COUNTIFS($B$2:$B$501,B457,$D$2:$D$501,D457)&gt;1,"DUPLICADA",""))</f>
        <v/>
      </c>
      <c r="R457">
        <f>IF(A457="","",ROUNDUP(MONTH(A457)/3,0))</f>
        <v/>
      </c>
      <c r="S457" s="3" t="n"/>
    </row>
    <row r="458">
      <c r="A458" s="2" t="n"/>
      <c r="B458" s="3" t="n"/>
      <c r="C458" s="3" t="n"/>
      <c r="D458" s="3" t="n"/>
      <c r="E458" s="4" t="n"/>
      <c r="F458" s="4" t="n"/>
      <c r="G458" s="4" t="n"/>
      <c r="H458" s="4" t="n"/>
      <c r="I458" s="5">
        <f>IF(E458="","",ROUND(E458*0.21,2))</f>
        <v/>
      </c>
      <c r="J458" s="5">
        <f>IF(F458="","",ROUND(F458*0.1,2))</f>
        <v/>
      </c>
      <c r="K458" s="5">
        <f>IF(G458="","",ROUND(G458*0.04,2))</f>
        <v/>
      </c>
      <c r="L458" s="4" t="n"/>
      <c r="M458" s="4" t="n"/>
      <c r="N458" s="5">
        <f>IF(A458="","",SUM(E458:K458)-N(L458))</f>
        <v/>
      </c>
      <c r="O458">
        <f>IF(OR(A458="",M458=""),"",IF(ABS(M458-N458)&lt;=0.02,"OK","REVISAR"))</f>
        <v/>
      </c>
      <c r="P458">
        <f>IF(D458="","",IF(LEN(TRIM(D458))&lt;&gt;9,"REVISAR",IFERROR(IF(OR(ISNUMBER(VALUE(LEFT(UPPER(TRIM(D458)),1))),LEFT(UPPER(TRIM(D458)),1)="X",LEFT(UPPER(TRIM(D458)),1)="Y",LEFT(UPPER(TRIM(D458)),1)="Z"),IF(MID("TRWAGMYFPDXBNJZSQVHLCKE",MOD(VALUE(SUBSTITUTE(SUBSTITUTE(SUBSTITUTE(LEFT(UPPER(TRIM(D458)),8),"X","0"),"Y","1"),"Z","2")),23)+1,1)=RIGHT(UPPER(TRIM(D458)),1),"OK","REVISAR"),IF(OR(RIGHT(UPPER(TRIM(D458)),1)=TEXT(MOD(10-MOD((VALUE(MID(UPPER(TRIM(D458)),3,1))+VALUE(MID(UPPER(TRIM(D458)),5,1))+VALUE(MID(UPPER(TRIM(D458)),7,1)))+(INT(2*VALUE(MID(UPPER(TRIM(D458)),2,1))/10)+MOD(2*VALUE(MID(UPPER(TRIM(D458)),2,1)),10))+(INT(2*VALUE(MID(UPPER(TRIM(D458)),4,1))/10)+MOD(2*VALUE(MID(UPPER(TRIM(D458)),4,1)),10))+(INT(2*VALUE(MID(UPPER(TRIM(D458)),6,1))/10)+MOD(2*VALUE(MID(UPPER(TRIM(D458)),6,1)),10))+(INT(2*VALUE(MID(UPPER(TRIM(D458)),8,1))/10)+MOD(2*VALUE(MID(UPPER(TRIM(D458)),8,1)),10)),10),10),"0"),RIGHT(UPPER(TRIM(D458)),1)=MID("JABCDEFGHI",MOD(10-MOD((VALUE(MID(UPPER(TRIM(D458)),3,1))+VALUE(MID(UPPER(TRIM(D458)),5,1))+VALUE(MID(UPPER(TRIM(D458)),7,1)))+(INT(2*VALUE(MID(UPPER(TRIM(D458)),2,1))/10)+MOD(2*VALUE(MID(UPPER(TRIM(D458)),2,1)),10))+(INT(2*VALUE(MID(UPPER(TRIM(D458)),4,1))/10)+MOD(2*VALUE(MID(UPPER(TRIM(D458)),4,1)),10))+(INT(2*VALUE(MID(UPPER(TRIM(D458)),6,1))/10)+MOD(2*VALUE(MID(UPPER(TRIM(D458)),6,1)),10))+(INT(2*VALUE(MID(UPPER(TRIM(D458)),8,1))/10)+MOD(2*VALUE(MID(UPPER(TRIM(D458)),8,1)),10)),10),10)+1,1)),"OK","REVISAR")),"REVISAR")))</f>
        <v/>
      </c>
      <c r="Q458">
        <f>IF(B458="","",IF(COUNTIFS($B$2:$B$501,B458,$D$2:$D$501,D458)&gt;1,"DUPLICADA",""))</f>
        <v/>
      </c>
      <c r="R458">
        <f>IF(A458="","",ROUNDUP(MONTH(A458)/3,0))</f>
        <v/>
      </c>
      <c r="S458" s="3" t="n"/>
    </row>
    <row r="459">
      <c r="A459" s="2" t="n"/>
      <c r="B459" s="3" t="n"/>
      <c r="C459" s="3" t="n"/>
      <c r="D459" s="3" t="n"/>
      <c r="E459" s="4" t="n"/>
      <c r="F459" s="4" t="n"/>
      <c r="G459" s="4" t="n"/>
      <c r="H459" s="4" t="n"/>
      <c r="I459" s="5">
        <f>IF(E459="","",ROUND(E459*0.21,2))</f>
        <v/>
      </c>
      <c r="J459" s="5">
        <f>IF(F459="","",ROUND(F459*0.1,2))</f>
        <v/>
      </c>
      <c r="K459" s="5">
        <f>IF(G459="","",ROUND(G459*0.04,2))</f>
        <v/>
      </c>
      <c r="L459" s="4" t="n"/>
      <c r="M459" s="4" t="n"/>
      <c r="N459" s="5">
        <f>IF(A459="","",SUM(E459:K459)-N(L459))</f>
        <v/>
      </c>
      <c r="O459">
        <f>IF(OR(A459="",M459=""),"",IF(ABS(M459-N459)&lt;=0.02,"OK","REVISAR"))</f>
        <v/>
      </c>
      <c r="P459">
        <f>IF(D459="","",IF(LEN(TRIM(D459))&lt;&gt;9,"REVISAR",IFERROR(IF(OR(ISNUMBER(VALUE(LEFT(UPPER(TRIM(D459)),1))),LEFT(UPPER(TRIM(D459)),1)="X",LEFT(UPPER(TRIM(D459)),1)="Y",LEFT(UPPER(TRIM(D459)),1)="Z"),IF(MID("TRWAGMYFPDXBNJZSQVHLCKE",MOD(VALUE(SUBSTITUTE(SUBSTITUTE(SUBSTITUTE(LEFT(UPPER(TRIM(D459)),8),"X","0"),"Y","1"),"Z","2")),23)+1,1)=RIGHT(UPPER(TRIM(D459)),1),"OK","REVISAR"),IF(OR(RIGHT(UPPER(TRIM(D459)),1)=TEXT(MOD(10-MOD((VALUE(MID(UPPER(TRIM(D459)),3,1))+VALUE(MID(UPPER(TRIM(D459)),5,1))+VALUE(MID(UPPER(TRIM(D459)),7,1)))+(INT(2*VALUE(MID(UPPER(TRIM(D459)),2,1))/10)+MOD(2*VALUE(MID(UPPER(TRIM(D459)),2,1)),10))+(INT(2*VALUE(MID(UPPER(TRIM(D459)),4,1))/10)+MOD(2*VALUE(MID(UPPER(TRIM(D459)),4,1)),10))+(INT(2*VALUE(MID(UPPER(TRIM(D459)),6,1))/10)+MOD(2*VALUE(MID(UPPER(TRIM(D459)),6,1)),10))+(INT(2*VALUE(MID(UPPER(TRIM(D459)),8,1))/10)+MOD(2*VALUE(MID(UPPER(TRIM(D459)),8,1)),10)),10),10),"0"),RIGHT(UPPER(TRIM(D459)),1)=MID("JABCDEFGHI",MOD(10-MOD((VALUE(MID(UPPER(TRIM(D459)),3,1))+VALUE(MID(UPPER(TRIM(D459)),5,1))+VALUE(MID(UPPER(TRIM(D459)),7,1)))+(INT(2*VALUE(MID(UPPER(TRIM(D459)),2,1))/10)+MOD(2*VALUE(MID(UPPER(TRIM(D459)),2,1)),10))+(INT(2*VALUE(MID(UPPER(TRIM(D459)),4,1))/10)+MOD(2*VALUE(MID(UPPER(TRIM(D459)),4,1)),10))+(INT(2*VALUE(MID(UPPER(TRIM(D459)),6,1))/10)+MOD(2*VALUE(MID(UPPER(TRIM(D459)),6,1)),10))+(INT(2*VALUE(MID(UPPER(TRIM(D459)),8,1))/10)+MOD(2*VALUE(MID(UPPER(TRIM(D459)),8,1)),10)),10),10)+1,1)),"OK","REVISAR")),"REVISAR")))</f>
        <v/>
      </c>
      <c r="Q459">
        <f>IF(B459="","",IF(COUNTIFS($B$2:$B$501,B459,$D$2:$D$501,D459)&gt;1,"DUPLICADA",""))</f>
        <v/>
      </c>
      <c r="R459">
        <f>IF(A459="","",ROUNDUP(MONTH(A459)/3,0))</f>
        <v/>
      </c>
      <c r="S459" s="3" t="n"/>
    </row>
    <row r="460">
      <c r="A460" s="2" t="n"/>
      <c r="B460" s="3" t="n"/>
      <c r="C460" s="3" t="n"/>
      <c r="D460" s="3" t="n"/>
      <c r="E460" s="4" t="n"/>
      <c r="F460" s="4" t="n"/>
      <c r="G460" s="4" t="n"/>
      <c r="H460" s="4" t="n"/>
      <c r="I460" s="5">
        <f>IF(E460="","",ROUND(E460*0.21,2))</f>
        <v/>
      </c>
      <c r="J460" s="5">
        <f>IF(F460="","",ROUND(F460*0.1,2))</f>
        <v/>
      </c>
      <c r="K460" s="5">
        <f>IF(G460="","",ROUND(G460*0.04,2))</f>
        <v/>
      </c>
      <c r="L460" s="4" t="n"/>
      <c r="M460" s="4" t="n"/>
      <c r="N460" s="5">
        <f>IF(A460="","",SUM(E460:K460)-N(L460))</f>
        <v/>
      </c>
      <c r="O460">
        <f>IF(OR(A460="",M460=""),"",IF(ABS(M460-N460)&lt;=0.02,"OK","REVISAR"))</f>
        <v/>
      </c>
      <c r="P460">
        <f>IF(D460="","",IF(LEN(TRIM(D460))&lt;&gt;9,"REVISAR",IFERROR(IF(OR(ISNUMBER(VALUE(LEFT(UPPER(TRIM(D460)),1))),LEFT(UPPER(TRIM(D460)),1)="X",LEFT(UPPER(TRIM(D460)),1)="Y",LEFT(UPPER(TRIM(D460)),1)="Z"),IF(MID("TRWAGMYFPDXBNJZSQVHLCKE",MOD(VALUE(SUBSTITUTE(SUBSTITUTE(SUBSTITUTE(LEFT(UPPER(TRIM(D460)),8),"X","0"),"Y","1"),"Z","2")),23)+1,1)=RIGHT(UPPER(TRIM(D460)),1),"OK","REVISAR"),IF(OR(RIGHT(UPPER(TRIM(D460)),1)=TEXT(MOD(10-MOD((VALUE(MID(UPPER(TRIM(D460)),3,1))+VALUE(MID(UPPER(TRIM(D460)),5,1))+VALUE(MID(UPPER(TRIM(D460)),7,1)))+(INT(2*VALUE(MID(UPPER(TRIM(D460)),2,1))/10)+MOD(2*VALUE(MID(UPPER(TRIM(D460)),2,1)),10))+(INT(2*VALUE(MID(UPPER(TRIM(D460)),4,1))/10)+MOD(2*VALUE(MID(UPPER(TRIM(D460)),4,1)),10))+(INT(2*VALUE(MID(UPPER(TRIM(D460)),6,1))/10)+MOD(2*VALUE(MID(UPPER(TRIM(D460)),6,1)),10))+(INT(2*VALUE(MID(UPPER(TRIM(D460)),8,1))/10)+MOD(2*VALUE(MID(UPPER(TRIM(D460)),8,1)),10)),10),10),"0"),RIGHT(UPPER(TRIM(D460)),1)=MID("JABCDEFGHI",MOD(10-MOD((VALUE(MID(UPPER(TRIM(D460)),3,1))+VALUE(MID(UPPER(TRIM(D460)),5,1))+VALUE(MID(UPPER(TRIM(D460)),7,1)))+(INT(2*VALUE(MID(UPPER(TRIM(D460)),2,1))/10)+MOD(2*VALUE(MID(UPPER(TRIM(D460)),2,1)),10))+(INT(2*VALUE(MID(UPPER(TRIM(D460)),4,1))/10)+MOD(2*VALUE(MID(UPPER(TRIM(D460)),4,1)),10))+(INT(2*VALUE(MID(UPPER(TRIM(D460)),6,1))/10)+MOD(2*VALUE(MID(UPPER(TRIM(D460)),6,1)),10))+(INT(2*VALUE(MID(UPPER(TRIM(D460)),8,1))/10)+MOD(2*VALUE(MID(UPPER(TRIM(D460)),8,1)),10)),10),10)+1,1)),"OK","REVISAR")),"REVISAR")))</f>
        <v/>
      </c>
      <c r="Q460">
        <f>IF(B460="","",IF(COUNTIFS($B$2:$B$501,B460,$D$2:$D$501,D460)&gt;1,"DUPLICADA",""))</f>
        <v/>
      </c>
      <c r="R460">
        <f>IF(A460="","",ROUNDUP(MONTH(A460)/3,0))</f>
        <v/>
      </c>
      <c r="S460" s="3" t="n"/>
    </row>
    <row r="461">
      <c r="A461" s="2" t="n"/>
      <c r="B461" s="3" t="n"/>
      <c r="C461" s="3" t="n"/>
      <c r="D461" s="3" t="n"/>
      <c r="E461" s="4" t="n"/>
      <c r="F461" s="4" t="n"/>
      <c r="G461" s="4" t="n"/>
      <c r="H461" s="4" t="n"/>
      <c r="I461" s="5">
        <f>IF(E461="","",ROUND(E461*0.21,2))</f>
        <v/>
      </c>
      <c r="J461" s="5">
        <f>IF(F461="","",ROUND(F461*0.1,2))</f>
        <v/>
      </c>
      <c r="K461" s="5">
        <f>IF(G461="","",ROUND(G461*0.04,2))</f>
        <v/>
      </c>
      <c r="L461" s="4" t="n"/>
      <c r="M461" s="4" t="n"/>
      <c r="N461" s="5">
        <f>IF(A461="","",SUM(E461:K461)-N(L461))</f>
        <v/>
      </c>
      <c r="O461">
        <f>IF(OR(A461="",M461=""),"",IF(ABS(M461-N461)&lt;=0.02,"OK","REVISAR"))</f>
        <v/>
      </c>
      <c r="P461">
        <f>IF(D461="","",IF(LEN(TRIM(D461))&lt;&gt;9,"REVISAR",IFERROR(IF(OR(ISNUMBER(VALUE(LEFT(UPPER(TRIM(D461)),1))),LEFT(UPPER(TRIM(D461)),1)="X",LEFT(UPPER(TRIM(D461)),1)="Y",LEFT(UPPER(TRIM(D461)),1)="Z"),IF(MID("TRWAGMYFPDXBNJZSQVHLCKE",MOD(VALUE(SUBSTITUTE(SUBSTITUTE(SUBSTITUTE(LEFT(UPPER(TRIM(D461)),8),"X","0"),"Y","1"),"Z","2")),23)+1,1)=RIGHT(UPPER(TRIM(D461)),1),"OK","REVISAR"),IF(OR(RIGHT(UPPER(TRIM(D461)),1)=TEXT(MOD(10-MOD((VALUE(MID(UPPER(TRIM(D461)),3,1))+VALUE(MID(UPPER(TRIM(D461)),5,1))+VALUE(MID(UPPER(TRIM(D461)),7,1)))+(INT(2*VALUE(MID(UPPER(TRIM(D461)),2,1))/10)+MOD(2*VALUE(MID(UPPER(TRIM(D461)),2,1)),10))+(INT(2*VALUE(MID(UPPER(TRIM(D461)),4,1))/10)+MOD(2*VALUE(MID(UPPER(TRIM(D461)),4,1)),10))+(INT(2*VALUE(MID(UPPER(TRIM(D461)),6,1))/10)+MOD(2*VALUE(MID(UPPER(TRIM(D461)),6,1)),10))+(INT(2*VALUE(MID(UPPER(TRIM(D461)),8,1))/10)+MOD(2*VALUE(MID(UPPER(TRIM(D461)),8,1)),10)),10),10),"0"),RIGHT(UPPER(TRIM(D461)),1)=MID("JABCDEFGHI",MOD(10-MOD((VALUE(MID(UPPER(TRIM(D461)),3,1))+VALUE(MID(UPPER(TRIM(D461)),5,1))+VALUE(MID(UPPER(TRIM(D461)),7,1)))+(INT(2*VALUE(MID(UPPER(TRIM(D461)),2,1))/10)+MOD(2*VALUE(MID(UPPER(TRIM(D461)),2,1)),10))+(INT(2*VALUE(MID(UPPER(TRIM(D461)),4,1))/10)+MOD(2*VALUE(MID(UPPER(TRIM(D461)),4,1)),10))+(INT(2*VALUE(MID(UPPER(TRIM(D461)),6,1))/10)+MOD(2*VALUE(MID(UPPER(TRIM(D461)),6,1)),10))+(INT(2*VALUE(MID(UPPER(TRIM(D461)),8,1))/10)+MOD(2*VALUE(MID(UPPER(TRIM(D461)),8,1)),10)),10),10)+1,1)),"OK","REVISAR")),"REVISAR")))</f>
        <v/>
      </c>
      <c r="Q461">
        <f>IF(B461="","",IF(COUNTIFS($B$2:$B$501,B461,$D$2:$D$501,D461)&gt;1,"DUPLICADA",""))</f>
        <v/>
      </c>
      <c r="R461">
        <f>IF(A461="","",ROUNDUP(MONTH(A461)/3,0))</f>
        <v/>
      </c>
      <c r="S461" s="3" t="n"/>
    </row>
    <row r="462">
      <c r="A462" s="2" t="n"/>
      <c r="B462" s="3" t="n"/>
      <c r="C462" s="3" t="n"/>
      <c r="D462" s="3" t="n"/>
      <c r="E462" s="4" t="n"/>
      <c r="F462" s="4" t="n"/>
      <c r="G462" s="4" t="n"/>
      <c r="H462" s="4" t="n"/>
      <c r="I462" s="5">
        <f>IF(E462="","",ROUND(E462*0.21,2))</f>
        <v/>
      </c>
      <c r="J462" s="5">
        <f>IF(F462="","",ROUND(F462*0.1,2))</f>
        <v/>
      </c>
      <c r="K462" s="5">
        <f>IF(G462="","",ROUND(G462*0.04,2))</f>
        <v/>
      </c>
      <c r="L462" s="4" t="n"/>
      <c r="M462" s="4" t="n"/>
      <c r="N462" s="5">
        <f>IF(A462="","",SUM(E462:K462)-N(L462))</f>
        <v/>
      </c>
      <c r="O462">
        <f>IF(OR(A462="",M462=""),"",IF(ABS(M462-N462)&lt;=0.02,"OK","REVISAR"))</f>
        <v/>
      </c>
      <c r="P462">
        <f>IF(D462="","",IF(LEN(TRIM(D462))&lt;&gt;9,"REVISAR",IFERROR(IF(OR(ISNUMBER(VALUE(LEFT(UPPER(TRIM(D462)),1))),LEFT(UPPER(TRIM(D462)),1)="X",LEFT(UPPER(TRIM(D462)),1)="Y",LEFT(UPPER(TRIM(D462)),1)="Z"),IF(MID("TRWAGMYFPDXBNJZSQVHLCKE",MOD(VALUE(SUBSTITUTE(SUBSTITUTE(SUBSTITUTE(LEFT(UPPER(TRIM(D462)),8),"X","0"),"Y","1"),"Z","2")),23)+1,1)=RIGHT(UPPER(TRIM(D462)),1),"OK","REVISAR"),IF(OR(RIGHT(UPPER(TRIM(D462)),1)=TEXT(MOD(10-MOD((VALUE(MID(UPPER(TRIM(D462)),3,1))+VALUE(MID(UPPER(TRIM(D462)),5,1))+VALUE(MID(UPPER(TRIM(D462)),7,1)))+(INT(2*VALUE(MID(UPPER(TRIM(D462)),2,1))/10)+MOD(2*VALUE(MID(UPPER(TRIM(D462)),2,1)),10))+(INT(2*VALUE(MID(UPPER(TRIM(D462)),4,1))/10)+MOD(2*VALUE(MID(UPPER(TRIM(D462)),4,1)),10))+(INT(2*VALUE(MID(UPPER(TRIM(D462)),6,1))/10)+MOD(2*VALUE(MID(UPPER(TRIM(D462)),6,1)),10))+(INT(2*VALUE(MID(UPPER(TRIM(D462)),8,1))/10)+MOD(2*VALUE(MID(UPPER(TRIM(D462)),8,1)),10)),10),10),"0"),RIGHT(UPPER(TRIM(D462)),1)=MID("JABCDEFGHI",MOD(10-MOD((VALUE(MID(UPPER(TRIM(D462)),3,1))+VALUE(MID(UPPER(TRIM(D462)),5,1))+VALUE(MID(UPPER(TRIM(D462)),7,1)))+(INT(2*VALUE(MID(UPPER(TRIM(D462)),2,1))/10)+MOD(2*VALUE(MID(UPPER(TRIM(D462)),2,1)),10))+(INT(2*VALUE(MID(UPPER(TRIM(D462)),4,1))/10)+MOD(2*VALUE(MID(UPPER(TRIM(D462)),4,1)),10))+(INT(2*VALUE(MID(UPPER(TRIM(D462)),6,1))/10)+MOD(2*VALUE(MID(UPPER(TRIM(D462)),6,1)),10))+(INT(2*VALUE(MID(UPPER(TRIM(D462)),8,1))/10)+MOD(2*VALUE(MID(UPPER(TRIM(D462)),8,1)),10)),10),10)+1,1)),"OK","REVISAR")),"REVISAR")))</f>
        <v/>
      </c>
      <c r="Q462">
        <f>IF(B462="","",IF(COUNTIFS($B$2:$B$501,B462,$D$2:$D$501,D462)&gt;1,"DUPLICADA",""))</f>
        <v/>
      </c>
      <c r="R462">
        <f>IF(A462="","",ROUNDUP(MONTH(A462)/3,0))</f>
        <v/>
      </c>
      <c r="S462" s="3" t="n"/>
    </row>
    <row r="463">
      <c r="A463" s="2" t="n"/>
      <c r="B463" s="3" t="n"/>
      <c r="C463" s="3" t="n"/>
      <c r="D463" s="3" t="n"/>
      <c r="E463" s="4" t="n"/>
      <c r="F463" s="4" t="n"/>
      <c r="G463" s="4" t="n"/>
      <c r="H463" s="4" t="n"/>
      <c r="I463" s="5">
        <f>IF(E463="","",ROUND(E463*0.21,2))</f>
        <v/>
      </c>
      <c r="J463" s="5">
        <f>IF(F463="","",ROUND(F463*0.1,2))</f>
        <v/>
      </c>
      <c r="K463" s="5">
        <f>IF(G463="","",ROUND(G463*0.04,2))</f>
        <v/>
      </c>
      <c r="L463" s="4" t="n"/>
      <c r="M463" s="4" t="n"/>
      <c r="N463" s="5">
        <f>IF(A463="","",SUM(E463:K463)-N(L463))</f>
        <v/>
      </c>
      <c r="O463">
        <f>IF(OR(A463="",M463=""),"",IF(ABS(M463-N463)&lt;=0.02,"OK","REVISAR"))</f>
        <v/>
      </c>
      <c r="P463">
        <f>IF(D463="","",IF(LEN(TRIM(D463))&lt;&gt;9,"REVISAR",IFERROR(IF(OR(ISNUMBER(VALUE(LEFT(UPPER(TRIM(D463)),1))),LEFT(UPPER(TRIM(D463)),1)="X",LEFT(UPPER(TRIM(D463)),1)="Y",LEFT(UPPER(TRIM(D463)),1)="Z"),IF(MID("TRWAGMYFPDXBNJZSQVHLCKE",MOD(VALUE(SUBSTITUTE(SUBSTITUTE(SUBSTITUTE(LEFT(UPPER(TRIM(D463)),8),"X","0"),"Y","1"),"Z","2")),23)+1,1)=RIGHT(UPPER(TRIM(D463)),1),"OK","REVISAR"),IF(OR(RIGHT(UPPER(TRIM(D463)),1)=TEXT(MOD(10-MOD((VALUE(MID(UPPER(TRIM(D463)),3,1))+VALUE(MID(UPPER(TRIM(D463)),5,1))+VALUE(MID(UPPER(TRIM(D463)),7,1)))+(INT(2*VALUE(MID(UPPER(TRIM(D463)),2,1))/10)+MOD(2*VALUE(MID(UPPER(TRIM(D463)),2,1)),10))+(INT(2*VALUE(MID(UPPER(TRIM(D463)),4,1))/10)+MOD(2*VALUE(MID(UPPER(TRIM(D463)),4,1)),10))+(INT(2*VALUE(MID(UPPER(TRIM(D463)),6,1))/10)+MOD(2*VALUE(MID(UPPER(TRIM(D463)),6,1)),10))+(INT(2*VALUE(MID(UPPER(TRIM(D463)),8,1))/10)+MOD(2*VALUE(MID(UPPER(TRIM(D463)),8,1)),10)),10),10),"0"),RIGHT(UPPER(TRIM(D463)),1)=MID("JABCDEFGHI",MOD(10-MOD((VALUE(MID(UPPER(TRIM(D463)),3,1))+VALUE(MID(UPPER(TRIM(D463)),5,1))+VALUE(MID(UPPER(TRIM(D463)),7,1)))+(INT(2*VALUE(MID(UPPER(TRIM(D463)),2,1))/10)+MOD(2*VALUE(MID(UPPER(TRIM(D463)),2,1)),10))+(INT(2*VALUE(MID(UPPER(TRIM(D463)),4,1))/10)+MOD(2*VALUE(MID(UPPER(TRIM(D463)),4,1)),10))+(INT(2*VALUE(MID(UPPER(TRIM(D463)),6,1))/10)+MOD(2*VALUE(MID(UPPER(TRIM(D463)),6,1)),10))+(INT(2*VALUE(MID(UPPER(TRIM(D463)),8,1))/10)+MOD(2*VALUE(MID(UPPER(TRIM(D463)),8,1)),10)),10),10)+1,1)),"OK","REVISAR")),"REVISAR")))</f>
        <v/>
      </c>
      <c r="Q463">
        <f>IF(B463="","",IF(COUNTIFS($B$2:$B$501,B463,$D$2:$D$501,D463)&gt;1,"DUPLICADA",""))</f>
        <v/>
      </c>
      <c r="R463">
        <f>IF(A463="","",ROUNDUP(MONTH(A463)/3,0))</f>
        <v/>
      </c>
      <c r="S463" s="3" t="n"/>
    </row>
    <row r="464">
      <c r="A464" s="2" t="n"/>
      <c r="B464" s="3" t="n"/>
      <c r="C464" s="3" t="n"/>
      <c r="D464" s="3" t="n"/>
      <c r="E464" s="4" t="n"/>
      <c r="F464" s="4" t="n"/>
      <c r="G464" s="4" t="n"/>
      <c r="H464" s="4" t="n"/>
      <c r="I464" s="5">
        <f>IF(E464="","",ROUND(E464*0.21,2))</f>
        <v/>
      </c>
      <c r="J464" s="5">
        <f>IF(F464="","",ROUND(F464*0.1,2))</f>
        <v/>
      </c>
      <c r="K464" s="5">
        <f>IF(G464="","",ROUND(G464*0.04,2))</f>
        <v/>
      </c>
      <c r="L464" s="4" t="n"/>
      <c r="M464" s="4" t="n"/>
      <c r="N464" s="5">
        <f>IF(A464="","",SUM(E464:K464)-N(L464))</f>
        <v/>
      </c>
      <c r="O464">
        <f>IF(OR(A464="",M464=""),"",IF(ABS(M464-N464)&lt;=0.02,"OK","REVISAR"))</f>
        <v/>
      </c>
      <c r="P464">
        <f>IF(D464="","",IF(LEN(TRIM(D464))&lt;&gt;9,"REVISAR",IFERROR(IF(OR(ISNUMBER(VALUE(LEFT(UPPER(TRIM(D464)),1))),LEFT(UPPER(TRIM(D464)),1)="X",LEFT(UPPER(TRIM(D464)),1)="Y",LEFT(UPPER(TRIM(D464)),1)="Z"),IF(MID("TRWAGMYFPDXBNJZSQVHLCKE",MOD(VALUE(SUBSTITUTE(SUBSTITUTE(SUBSTITUTE(LEFT(UPPER(TRIM(D464)),8),"X","0"),"Y","1"),"Z","2")),23)+1,1)=RIGHT(UPPER(TRIM(D464)),1),"OK","REVISAR"),IF(OR(RIGHT(UPPER(TRIM(D464)),1)=TEXT(MOD(10-MOD((VALUE(MID(UPPER(TRIM(D464)),3,1))+VALUE(MID(UPPER(TRIM(D464)),5,1))+VALUE(MID(UPPER(TRIM(D464)),7,1)))+(INT(2*VALUE(MID(UPPER(TRIM(D464)),2,1))/10)+MOD(2*VALUE(MID(UPPER(TRIM(D464)),2,1)),10))+(INT(2*VALUE(MID(UPPER(TRIM(D464)),4,1))/10)+MOD(2*VALUE(MID(UPPER(TRIM(D464)),4,1)),10))+(INT(2*VALUE(MID(UPPER(TRIM(D464)),6,1))/10)+MOD(2*VALUE(MID(UPPER(TRIM(D464)),6,1)),10))+(INT(2*VALUE(MID(UPPER(TRIM(D464)),8,1))/10)+MOD(2*VALUE(MID(UPPER(TRIM(D464)),8,1)),10)),10),10),"0"),RIGHT(UPPER(TRIM(D464)),1)=MID("JABCDEFGHI",MOD(10-MOD((VALUE(MID(UPPER(TRIM(D464)),3,1))+VALUE(MID(UPPER(TRIM(D464)),5,1))+VALUE(MID(UPPER(TRIM(D464)),7,1)))+(INT(2*VALUE(MID(UPPER(TRIM(D464)),2,1))/10)+MOD(2*VALUE(MID(UPPER(TRIM(D464)),2,1)),10))+(INT(2*VALUE(MID(UPPER(TRIM(D464)),4,1))/10)+MOD(2*VALUE(MID(UPPER(TRIM(D464)),4,1)),10))+(INT(2*VALUE(MID(UPPER(TRIM(D464)),6,1))/10)+MOD(2*VALUE(MID(UPPER(TRIM(D464)),6,1)),10))+(INT(2*VALUE(MID(UPPER(TRIM(D464)),8,1))/10)+MOD(2*VALUE(MID(UPPER(TRIM(D464)),8,1)),10)),10),10)+1,1)),"OK","REVISAR")),"REVISAR")))</f>
        <v/>
      </c>
      <c r="Q464">
        <f>IF(B464="","",IF(COUNTIFS($B$2:$B$501,B464,$D$2:$D$501,D464)&gt;1,"DUPLICADA",""))</f>
        <v/>
      </c>
      <c r="R464">
        <f>IF(A464="","",ROUNDUP(MONTH(A464)/3,0))</f>
        <v/>
      </c>
      <c r="S464" s="3" t="n"/>
    </row>
    <row r="465">
      <c r="A465" s="2" t="n"/>
      <c r="B465" s="3" t="n"/>
      <c r="C465" s="3" t="n"/>
      <c r="D465" s="3" t="n"/>
      <c r="E465" s="4" t="n"/>
      <c r="F465" s="4" t="n"/>
      <c r="G465" s="4" t="n"/>
      <c r="H465" s="4" t="n"/>
      <c r="I465" s="5">
        <f>IF(E465="","",ROUND(E465*0.21,2))</f>
        <v/>
      </c>
      <c r="J465" s="5">
        <f>IF(F465="","",ROUND(F465*0.1,2))</f>
        <v/>
      </c>
      <c r="K465" s="5">
        <f>IF(G465="","",ROUND(G465*0.04,2))</f>
        <v/>
      </c>
      <c r="L465" s="4" t="n"/>
      <c r="M465" s="4" t="n"/>
      <c r="N465" s="5">
        <f>IF(A465="","",SUM(E465:K465)-N(L465))</f>
        <v/>
      </c>
      <c r="O465">
        <f>IF(OR(A465="",M465=""),"",IF(ABS(M465-N465)&lt;=0.02,"OK","REVISAR"))</f>
        <v/>
      </c>
      <c r="P465">
        <f>IF(D465="","",IF(LEN(TRIM(D465))&lt;&gt;9,"REVISAR",IFERROR(IF(OR(ISNUMBER(VALUE(LEFT(UPPER(TRIM(D465)),1))),LEFT(UPPER(TRIM(D465)),1)="X",LEFT(UPPER(TRIM(D465)),1)="Y",LEFT(UPPER(TRIM(D465)),1)="Z"),IF(MID("TRWAGMYFPDXBNJZSQVHLCKE",MOD(VALUE(SUBSTITUTE(SUBSTITUTE(SUBSTITUTE(LEFT(UPPER(TRIM(D465)),8),"X","0"),"Y","1"),"Z","2")),23)+1,1)=RIGHT(UPPER(TRIM(D465)),1),"OK","REVISAR"),IF(OR(RIGHT(UPPER(TRIM(D465)),1)=TEXT(MOD(10-MOD((VALUE(MID(UPPER(TRIM(D465)),3,1))+VALUE(MID(UPPER(TRIM(D465)),5,1))+VALUE(MID(UPPER(TRIM(D465)),7,1)))+(INT(2*VALUE(MID(UPPER(TRIM(D465)),2,1))/10)+MOD(2*VALUE(MID(UPPER(TRIM(D465)),2,1)),10))+(INT(2*VALUE(MID(UPPER(TRIM(D465)),4,1))/10)+MOD(2*VALUE(MID(UPPER(TRIM(D465)),4,1)),10))+(INT(2*VALUE(MID(UPPER(TRIM(D465)),6,1))/10)+MOD(2*VALUE(MID(UPPER(TRIM(D465)),6,1)),10))+(INT(2*VALUE(MID(UPPER(TRIM(D465)),8,1))/10)+MOD(2*VALUE(MID(UPPER(TRIM(D465)),8,1)),10)),10),10),"0"),RIGHT(UPPER(TRIM(D465)),1)=MID("JABCDEFGHI",MOD(10-MOD((VALUE(MID(UPPER(TRIM(D465)),3,1))+VALUE(MID(UPPER(TRIM(D465)),5,1))+VALUE(MID(UPPER(TRIM(D465)),7,1)))+(INT(2*VALUE(MID(UPPER(TRIM(D465)),2,1))/10)+MOD(2*VALUE(MID(UPPER(TRIM(D465)),2,1)),10))+(INT(2*VALUE(MID(UPPER(TRIM(D465)),4,1))/10)+MOD(2*VALUE(MID(UPPER(TRIM(D465)),4,1)),10))+(INT(2*VALUE(MID(UPPER(TRIM(D465)),6,1))/10)+MOD(2*VALUE(MID(UPPER(TRIM(D465)),6,1)),10))+(INT(2*VALUE(MID(UPPER(TRIM(D465)),8,1))/10)+MOD(2*VALUE(MID(UPPER(TRIM(D465)),8,1)),10)),10),10)+1,1)),"OK","REVISAR")),"REVISAR")))</f>
        <v/>
      </c>
      <c r="Q465">
        <f>IF(B465="","",IF(COUNTIFS($B$2:$B$501,B465,$D$2:$D$501,D465)&gt;1,"DUPLICADA",""))</f>
        <v/>
      </c>
      <c r="R465">
        <f>IF(A465="","",ROUNDUP(MONTH(A465)/3,0))</f>
        <v/>
      </c>
      <c r="S465" s="3" t="n"/>
    </row>
    <row r="466">
      <c r="A466" s="2" t="n"/>
      <c r="B466" s="3" t="n"/>
      <c r="C466" s="3" t="n"/>
      <c r="D466" s="3" t="n"/>
      <c r="E466" s="4" t="n"/>
      <c r="F466" s="4" t="n"/>
      <c r="G466" s="4" t="n"/>
      <c r="H466" s="4" t="n"/>
      <c r="I466" s="5">
        <f>IF(E466="","",ROUND(E466*0.21,2))</f>
        <v/>
      </c>
      <c r="J466" s="5">
        <f>IF(F466="","",ROUND(F466*0.1,2))</f>
        <v/>
      </c>
      <c r="K466" s="5">
        <f>IF(G466="","",ROUND(G466*0.04,2))</f>
        <v/>
      </c>
      <c r="L466" s="4" t="n"/>
      <c r="M466" s="4" t="n"/>
      <c r="N466" s="5">
        <f>IF(A466="","",SUM(E466:K466)-N(L466))</f>
        <v/>
      </c>
      <c r="O466">
        <f>IF(OR(A466="",M466=""),"",IF(ABS(M466-N466)&lt;=0.02,"OK","REVISAR"))</f>
        <v/>
      </c>
      <c r="P466">
        <f>IF(D466="","",IF(LEN(TRIM(D466))&lt;&gt;9,"REVISAR",IFERROR(IF(OR(ISNUMBER(VALUE(LEFT(UPPER(TRIM(D466)),1))),LEFT(UPPER(TRIM(D466)),1)="X",LEFT(UPPER(TRIM(D466)),1)="Y",LEFT(UPPER(TRIM(D466)),1)="Z"),IF(MID("TRWAGMYFPDXBNJZSQVHLCKE",MOD(VALUE(SUBSTITUTE(SUBSTITUTE(SUBSTITUTE(LEFT(UPPER(TRIM(D466)),8),"X","0"),"Y","1"),"Z","2")),23)+1,1)=RIGHT(UPPER(TRIM(D466)),1),"OK","REVISAR"),IF(OR(RIGHT(UPPER(TRIM(D466)),1)=TEXT(MOD(10-MOD((VALUE(MID(UPPER(TRIM(D466)),3,1))+VALUE(MID(UPPER(TRIM(D466)),5,1))+VALUE(MID(UPPER(TRIM(D466)),7,1)))+(INT(2*VALUE(MID(UPPER(TRIM(D466)),2,1))/10)+MOD(2*VALUE(MID(UPPER(TRIM(D466)),2,1)),10))+(INT(2*VALUE(MID(UPPER(TRIM(D466)),4,1))/10)+MOD(2*VALUE(MID(UPPER(TRIM(D466)),4,1)),10))+(INT(2*VALUE(MID(UPPER(TRIM(D466)),6,1))/10)+MOD(2*VALUE(MID(UPPER(TRIM(D466)),6,1)),10))+(INT(2*VALUE(MID(UPPER(TRIM(D466)),8,1))/10)+MOD(2*VALUE(MID(UPPER(TRIM(D466)),8,1)),10)),10),10),"0"),RIGHT(UPPER(TRIM(D466)),1)=MID("JABCDEFGHI",MOD(10-MOD((VALUE(MID(UPPER(TRIM(D466)),3,1))+VALUE(MID(UPPER(TRIM(D466)),5,1))+VALUE(MID(UPPER(TRIM(D466)),7,1)))+(INT(2*VALUE(MID(UPPER(TRIM(D466)),2,1))/10)+MOD(2*VALUE(MID(UPPER(TRIM(D466)),2,1)),10))+(INT(2*VALUE(MID(UPPER(TRIM(D466)),4,1))/10)+MOD(2*VALUE(MID(UPPER(TRIM(D466)),4,1)),10))+(INT(2*VALUE(MID(UPPER(TRIM(D466)),6,1))/10)+MOD(2*VALUE(MID(UPPER(TRIM(D466)),6,1)),10))+(INT(2*VALUE(MID(UPPER(TRIM(D466)),8,1))/10)+MOD(2*VALUE(MID(UPPER(TRIM(D466)),8,1)),10)),10),10)+1,1)),"OK","REVISAR")),"REVISAR")))</f>
        <v/>
      </c>
      <c r="Q466">
        <f>IF(B466="","",IF(COUNTIFS($B$2:$B$501,B466,$D$2:$D$501,D466)&gt;1,"DUPLICADA",""))</f>
        <v/>
      </c>
      <c r="R466">
        <f>IF(A466="","",ROUNDUP(MONTH(A466)/3,0))</f>
        <v/>
      </c>
      <c r="S466" s="3" t="n"/>
    </row>
    <row r="467">
      <c r="A467" s="2" t="n"/>
      <c r="B467" s="3" t="n"/>
      <c r="C467" s="3" t="n"/>
      <c r="D467" s="3" t="n"/>
      <c r="E467" s="4" t="n"/>
      <c r="F467" s="4" t="n"/>
      <c r="G467" s="4" t="n"/>
      <c r="H467" s="4" t="n"/>
      <c r="I467" s="5">
        <f>IF(E467="","",ROUND(E467*0.21,2))</f>
        <v/>
      </c>
      <c r="J467" s="5">
        <f>IF(F467="","",ROUND(F467*0.1,2))</f>
        <v/>
      </c>
      <c r="K467" s="5">
        <f>IF(G467="","",ROUND(G467*0.04,2))</f>
        <v/>
      </c>
      <c r="L467" s="4" t="n"/>
      <c r="M467" s="4" t="n"/>
      <c r="N467" s="5">
        <f>IF(A467="","",SUM(E467:K467)-N(L467))</f>
        <v/>
      </c>
      <c r="O467">
        <f>IF(OR(A467="",M467=""),"",IF(ABS(M467-N467)&lt;=0.02,"OK","REVISAR"))</f>
        <v/>
      </c>
      <c r="P467">
        <f>IF(D467="","",IF(LEN(TRIM(D467))&lt;&gt;9,"REVISAR",IFERROR(IF(OR(ISNUMBER(VALUE(LEFT(UPPER(TRIM(D467)),1))),LEFT(UPPER(TRIM(D467)),1)="X",LEFT(UPPER(TRIM(D467)),1)="Y",LEFT(UPPER(TRIM(D467)),1)="Z"),IF(MID("TRWAGMYFPDXBNJZSQVHLCKE",MOD(VALUE(SUBSTITUTE(SUBSTITUTE(SUBSTITUTE(LEFT(UPPER(TRIM(D467)),8),"X","0"),"Y","1"),"Z","2")),23)+1,1)=RIGHT(UPPER(TRIM(D467)),1),"OK","REVISAR"),IF(OR(RIGHT(UPPER(TRIM(D467)),1)=TEXT(MOD(10-MOD((VALUE(MID(UPPER(TRIM(D467)),3,1))+VALUE(MID(UPPER(TRIM(D467)),5,1))+VALUE(MID(UPPER(TRIM(D467)),7,1)))+(INT(2*VALUE(MID(UPPER(TRIM(D467)),2,1))/10)+MOD(2*VALUE(MID(UPPER(TRIM(D467)),2,1)),10))+(INT(2*VALUE(MID(UPPER(TRIM(D467)),4,1))/10)+MOD(2*VALUE(MID(UPPER(TRIM(D467)),4,1)),10))+(INT(2*VALUE(MID(UPPER(TRIM(D467)),6,1))/10)+MOD(2*VALUE(MID(UPPER(TRIM(D467)),6,1)),10))+(INT(2*VALUE(MID(UPPER(TRIM(D467)),8,1))/10)+MOD(2*VALUE(MID(UPPER(TRIM(D467)),8,1)),10)),10),10),"0"),RIGHT(UPPER(TRIM(D467)),1)=MID("JABCDEFGHI",MOD(10-MOD((VALUE(MID(UPPER(TRIM(D467)),3,1))+VALUE(MID(UPPER(TRIM(D467)),5,1))+VALUE(MID(UPPER(TRIM(D467)),7,1)))+(INT(2*VALUE(MID(UPPER(TRIM(D467)),2,1))/10)+MOD(2*VALUE(MID(UPPER(TRIM(D467)),2,1)),10))+(INT(2*VALUE(MID(UPPER(TRIM(D467)),4,1))/10)+MOD(2*VALUE(MID(UPPER(TRIM(D467)),4,1)),10))+(INT(2*VALUE(MID(UPPER(TRIM(D467)),6,1))/10)+MOD(2*VALUE(MID(UPPER(TRIM(D467)),6,1)),10))+(INT(2*VALUE(MID(UPPER(TRIM(D467)),8,1))/10)+MOD(2*VALUE(MID(UPPER(TRIM(D467)),8,1)),10)),10),10)+1,1)),"OK","REVISAR")),"REVISAR")))</f>
        <v/>
      </c>
      <c r="Q467">
        <f>IF(B467="","",IF(COUNTIFS($B$2:$B$501,B467,$D$2:$D$501,D467)&gt;1,"DUPLICADA",""))</f>
        <v/>
      </c>
      <c r="R467">
        <f>IF(A467="","",ROUNDUP(MONTH(A467)/3,0))</f>
        <v/>
      </c>
      <c r="S467" s="3" t="n"/>
    </row>
    <row r="468">
      <c r="A468" s="2" t="n"/>
      <c r="B468" s="3" t="n"/>
      <c r="C468" s="3" t="n"/>
      <c r="D468" s="3" t="n"/>
      <c r="E468" s="4" t="n"/>
      <c r="F468" s="4" t="n"/>
      <c r="G468" s="4" t="n"/>
      <c r="H468" s="4" t="n"/>
      <c r="I468" s="5">
        <f>IF(E468="","",ROUND(E468*0.21,2))</f>
        <v/>
      </c>
      <c r="J468" s="5">
        <f>IF(F468="","",ROUND(F468*0.1,2))</f>
        <v/>
      </c>
      <c r="K468" s="5">
        <f>IF(G468="","",ROUND(G468*0.04,2))</f>
        <v/>
      </c>
      <c r="L468" s="4" t="n"/>
      <c r="M468" s="4" t="n"/>
      <c r="N468" s="5">
        <f>IF(A468="","",SUM(E468:K468)-N(L468))</f>
        <v/>
      </c>
      <c r="O468">
        <f>IF(OR(A468="",M468=""),"",IF(ABS(M468-N468)&lt;=0.02,"OK","REVISAR"))</f>
        <v/>
      </c>
      <c r="P468">
        <f>IF(D468="","",IF(LEN(TRIM(D468))&lt;&gt;9,"REVISAR",IFERROR(IF(OR(ISNUMBER(VALUE(LEFT(UPPER(TRIM(D468)),1))),LEFT(UPPER(TRIM(D468)),1)="X",LEFT(UPPER(TRIM(D468)),1)="Y",LEFT(UPPER(TRIM(D468)),1)="Z"),IF(MID("TRWAGMYFPDXBNJZSQVHLCKE",MOD(VALUE(SUBSTITUTE(SUBSTITUTE(SUBSTITUTE(LEFT(UPPER(TRIM(D468)),8),"X","0"),"Y","1"),"Z","2")),23)+1,1)=RIGHT(UPPER(TRIM(D468)),1),"OK","REVISAR"),IF(OR(RIGHT(UPPER(TRIM(D468)),1)=TEXT(MOD(10-MOD((VALUE(MID(UPPER(TRIM(D468)),3,1))+VALUE(MID(UPPER(TRIM(D468)),5,1))+VALUE(MID(UPPER(TRIM(D468)),7,1)))+(INT(2*VALUE(MID(UPPER(TRIM(D468)),2,1))/10)+MOD(2*VALUE(MID(UPPER(TRIM(D468)),2,1)),10))+(INT(2*VALUE(MID(UPPER(TRIM(D468)),4,1))/10)+MOD(2*VALUE(MID(UPPER(TRIM(D468)),4,1)),10))+(INT(2*VALUE(MID(UPPER(TRIM(D468)),6,1))/10)+MOD(2*VALUE(MID(UPPER(TRIM(D468)),6,1)),10))+(INT(2*VALUE(MID(UPPER(TRIM(D468)),8,1))/10)+MOD(2*VALUE(MID(UPPER(TRIM(D468)),8,1)),10)),10),10),"0"),RIGHT(UPPER(TRIM(D468)),1)=MID("JABCDEFGHI",MOD(10-MOD((VALUE(MID(UPPER(TRIM(D468)),3,1))+VALUE(MID(UPPER(TRIM(D468)),5,1))+VALUE(MID(UPPER(TRIM(D468)),7,1)))+(INT(2*VALUE(MID(UPPER(TRIM(D468)),2,1))/10)+MOD(2*VALUE(MID(UPPER(TRIM(D468)),2,1)),10))+(INT(2*VALUE(MID(UPPER(TRIM(D468)),4,1))/10)+MOD(2*VALUE(MID(UPPER(TRIM(D468)),4,1)),10))+(INT(2*VALUE(MID(UPPER(TRIM(D468)),6,1))/10)+MOD(2*VALUE(MID(UPPER(TRIM(D468)),6,1)),10))+(INT(2*VALUE(MID(UPPER(TRIM(D468)),8,1))/10)+MOD(2*VALUE(MID(UPPER(TRIM(D468)),8,1)),10)),10),10)+1,1)),"OK","REVISAR")),"REVISAR")))</f>
        <v/>
      </c>
      <c r="Q468">
        <f>IF(B468="","",IF(COUNTIFS($B$2:$B$501,B468,$D$2:$D$501,D468)&gt;1,"DUPLICADA",""))</f>
        <v/>
      </c>
      <c r="R468">
        <f>IF(A468="","",ROUNDUP(MONTH(A468)/3,0))</f>
        <v/>
      </c>
      <c r="S468" s="3" t="n"/>
    </row>
    <row r="469">
      <c r="A469" s="2" t="n"/>
      <c r="B469" s="3" t="n"/>
      <c r="C469" s="3" t="n"/>
      <c r="D469" s="3" t="n"/>
      <c r="E469" s="4" t="n"/>
      <c r="F469" s="4" t="n"/>
      <c r="G469" s="4" t="n"/>
      <c r="H469" s="4" t="n"/>
      <c r="I469" s="5">
        <f>IF(E469="","",ROUND(E469*0.21,2))</f>
        <v/>
      </c>
      <c r="J469" s="5">
        <f>IF(F469="","",ROUND(F469*0.1,2))</f>
        <v/>
      </c>
      <c r="K469" s="5">
        <f>IF(G469="","",ROUND(G469*0.04,2))</f>
        <v/>
      </c>
      <c r="L469" s="4" t="n"/>
      <c r="M469" s="4" t="n"/>
      <c r="N469" s="5">
        <f>IF(A469="","",SUM(E469:K469)-N(L469))</f>
        <v/>
      </c>
      <c r="O469">
        <f>IF(OR(A469="",M469=""),"",IF(ABS(M469-N469)&lt;=0.02,"OK","REVISAR"))</f>
        <v/>
      </c>
      <c r="P469">
        <f>IF(D469="","",IF(LEN(TRIM(D469))&lt;&gt;9,"REVISAR",IFERROR(IF(OR(ISNUMBER(VALUE(LEFT(UPPER(TRIM(D469)),1))),LEFT(UPPER(TRIM(D469)),1)="X",LEFT(UPPER(TRIM(D469)),1)="Y",LEFT(UPPER(TRIM(D469)),1)="Z"),IF(MID("TRWAGMYFPDXBNJZSQVHLCKE",MOD(VALUE(SUBSTITUTE(SUBSTITUTE(SUBSTITUTE(LEFT(UPPER(TRIM(D469)),8),"X","0"),"Y","1"),"Z","2")),23)+1,1)=RIGHT(UPPER(TRIM(D469)),1),"OK","REVISAR"),IF(OR(RIGHT(UPPER(TRIM(D469)),1)=TEXT(MOD(10-MOD((VALUE(MID(UPPER(TRIM(D469)),3,1))+VALUE(MID(UPPER(TRIM(D469)),5,1))+VALUE(MID(UPPER(TRIM(D469)),7,1)))+(INT(2*VALUE(MID(UPPER(TRIM(D469)),2,1))/10)+MOD(2*VALUE(MID(UPPER(TRIM(D469)),2,1)),10))+(INT(2*VALUE(MID(UPPER(TRIM(D469)),4,1))/10)+MOD(2*VALUE(MID(UPPER(TRIM(D469)),4,1)),10))+(INT(2*VALUE(MID(UPPER(TRIM(D469)),6,1))/10)+MOD(2*VALUE(MID(UPPER(TRIM(D469)),6,1)),10))+(INT(2*VALUE(MID(UPPER(TRIM(D469)),8,1))/10)+MOD(2*VALUE(MID(UPPER(TRIM(D469)),8,1)),10)),10),10),"0"),RIGHT(UPPER(TRIM(D469)),1)=MID("JABCDEFGHI",MOD(10-MOD((VALUE(MID(UPPER(TRIM(D469)),3,1))+VALUE(MID(UPPER(TRIM(D469)),5,1))+VALUE(MID(UPPER(TRIM(D469)),7,1)))+(INT(2*VALUE(MID(UPPER(TRIM(D469)),2,1))/10)+MOD(2*VALUE(MID(UPPER(TRIM(D469)),2,1)),10))+(INT(2*VALUE(MID(UPPER(TRIM(D469)),4,1))/10)+MOD(2*VALUE(MID(UPPER(TRIM(D469)),4,1)),10))+(INT(2*VALUE(MID(UPPER(TRIM(D469)),6,1))/10)+MOD(2*VALUE(MID(UPPER(TRIM(D469)),6,1)),10))+(INT(2*VALUE(MID(UPPER(TRIM(D469)),8,1))/10)+MOD(2*VALUE(MID(UPPER(TRIM(D469)),8,1)),10)),10),10)+1,1)),"OK","REVISAR")),"REVISAR")))</f>
        <v/>
      </c>
      <c r="Q469">
        <f>IF(B469="","",IF(COUNTIFS($B$2:$B$501,B469,$D$2:$D$501,D469)&gt;1,"DUPLICADA",""))</f>
        <v/>
      </c>
      <c r="R469">
        <f>IF(A469="","",ROUNDUP(MONTH(A469)/3,0))</f>
        <v/>
      </c>
      <c r="S469" s="3" t="n"/>
    </row>
    <row r="470">
      <c r="A470" s="2" t="n"/>
      <c r="B470" s="3" t="n"/>
      <c r="C470" s="3" t="n"/>
      <c r="D470" s="3" t="n"/>
      <c r="E470" s="4" t="n"/>
      <c r="F470" s="4" t="n"/>
      <c r="G470" s="4" t="n"/>
      <c r="H470" s="4" t="n"/>
      <c r="I470" s="5">
        <f>IF(E470="","",ROUND(E470*0.21,2))</f>
        <v/>
      </c>
      <c r="J470" s="5">
        <f>IF(F470="","",ROUND(F470*0.1,2))</f>
        <v/>
      </c>
      <c r="K470" s="5">
        <f>IF(G470="","",ROUND(G470*0.04,2))</f>
        <v/>
      </c>
      <c r="L470" s="4" t="n"/>
      <c r="M470" s="4" t="n"/>
      <c r="N470" s="5">
        <f>IF(A470="","",SUM(E470:K470)-N(L470))</f>
        <v/>
      </c>
      <c r="O470">
        <f>IF(OR(A470="",M470=""),"",IF(ABS(M470-N470)&lt;=0.02,"OK","REVISAR"))</f>
        <v/>
      </c>
      <c r="P470">
        <f>IF(D470="","",IF(LEN(TRIM(D470))&lt;&gt;9,"REVISAR",IFERROR(IF(OR(ISNUMBER(VALUE(LEFT(UPPER(TRIM(D470)),1))),LEFT(UPPER(TRIM(D470)),1)="X",LEFT(UPPER(TRIM(D470)),1)="Y",LEFT(UPPER(TRIM(D470)),1)="Z"),IF(MID("TRWAGMYFPDXBNJZSQVHLCKE",MOD(VALUE(SUBSTITUTE(SUBSTITUTE(SUBSTITUTE(LEFT(UPPER(TRIM(D470)),8),"X","0"),"Y","1"),"Z","2")),23)+1,1)=RIGHT(UPPER(TRIM(D470)),1),"OK","REVISAR"),IF(OR(RIGHT(UPPER(TRIM(D470)),1)=TEXT(MOD(10-MOD((VALUE(MID(UPPER(TRIM(D470)),3,1))+VALUE(MID(UPPER(TRIM(D470)),5,1))+VALUE(MID(UPPER(TRIM(D470)),7,1)))+(INT(2*VALUE(MID(UPPER(TRIM(D470)),2,1))/10)+MOD(2*VALUE(MID(UPPER(TRIM(D470)),2,1)),10))+(INT(2*VALUE(MID(UPPER(TRIM(D470)),4,1))/10)+MOD(2*VALUE(MID(UPPER(TRIM(D470)),4,1)),10))+(INT(2*VALUE(MID(UPPER(TRIM(D470)),6,1))/10)+MOD(2*VALUE(MID(UPPER(TRIM(D470)),6,1)),10))+(INT(2*VALUE(MID(UPPER(TRIM(D470)),8,1))/10)+MOD(2*VALUE(MID(UPPER(TRIM(D470)),8,1)),10)),10),10),"0"),RIGHT(UPPER(TRIM(D470)),1)=MID("JABCDEFGHI",MOD(10-MOD((VALUE(MID(UPPER(TRIM(D470)),3,1))+VALUE(MID(UPPER(TRIM(D470)),5,1))+VALUE(MID(UPPER(TRIM(D470)),7,1)))+(INT(2*VALUE(MID(UPPER(TRIM(D470)),2,1))/10)+MOD(2*VALUE(MID(UPPER(TRIM(D470)),2,1)),10))+(INT(2*VALUE(MID(UPPER(TRIM(D470)),4,1))/10)+MOD(2*VALUE(MID(UPPER(TRIM(D470)),4,1)),10))+(INT(2*VALUE(MID(UPPER(TRIM(D470)),6,1))/10)+MOD(2*VALUE(MID(UPPER(TRIM(D470)),6,1)),10))+(INT(2*VALUE(MID(UPPER(TRIM(D470)),8,1))/10)+MOD(2*VALUE(MID(UPPER(TRIM(D470)),8,1)),10)),10),10)+1,1)),"OK","REVISAR")),"REVISAR")))</f>
        <v/>
      </c>
      <c r="Q470">
        <f>IF(B470="","",IF(COUNTIFS($B$2:$B$501,B470,$D$2:$D$501,D470)&gt;1,"DUPLICADA",""))</f>
        <v/>
      </c>
      <c r="R470">
        <f>IF(A470="","",ROUNDUP(MONTH(A470)/3,0))</f>
        <v/>
      </c>
      <c r="S470" s="3" t="n"/>
    </row>
    <row r="471">
      <c r="A471" s="2" t="n"/>
      <c r="B471" s="3" t="n"/>
      <c r="C471" s="3" t="n"/>
      <c r="D471" s="3" t="n"/>
      <c r="E471" s="4" t="n"/>
      <c r="F471" s="4" t="n"/>
      <c r="G471" s="4" t="n"/>
      <c r="H471" s="4" t="n"/>
      <c r="I471" s="5">
        <f>IF(E471="","",ROUND(E471*0.21,2))</f>
        <v/>
      </c>
      <c r="J471" s="5">
        <f>IF(F471="","",ROUND(F471*0.1,2))</f>
        <v/>
      </c>
      <c r="K471" s="5">
        <f>IF(G471="","",ROUND(G471*0.04,2))</f>
        <v/>
      </c>
      <c r="L471" s="4" t="n"/>
      <c r="M471" s="4" t="n"/>
      <c r="N471" s="5">
        <f>IF(A471="","",SUM(E471:K471)-N(L471))</f>
        <v/>
      </c>
      <c r="O471">
        <f>IF(OR(A471="",M471=""),"",IF(ABS(M471-N471)&lt;=0.02,"OK","REVISAR"))</f>
        <v/>
      </c>
      <c r="P471">
        <f>IF(D471="","",IF(LEN(TRIM(D471))&lt;&gt;9,"REVISAR",IFERROR(IF(OR(ISNUMBER(VALUE(LEFT(UPPER(TRIM(D471)),1))),LEFT(UPPER(TRIM(D471)),1)="X",LEFT(UPPER(TRIM(D471)),1)="Y",LEFT(UPPER(TRIM(D471)),1)="Z"),IF(MID("TRWAGMYFPDXBNJZSQVHLCKE",MOD(VALUE(SUBSTITUTE(SUBSTITUTE(SUBSTITUTE(LEFT(UPPER(TRIM(D471)),8),"X","0"),"Y","1"),"Z","2")),23)+1,1)=RIGHT(UPPER(TRIM(D471)),1),"OK","REVISAR"),IF(OR(RIGHT(UPPER(TRIM(D471)),1)=TEXT(MOD(10-MOD((VALUE(MID(UPPER(TRIM(D471)),3,1))+VALUE(MID(UPPER(TRIM(D471)),5,1))+VALUE(MID(UPPER(TRIM(D471)),7,1)))+(INT(2*VALUE(MID(UPPER(TRIM(D471)),2,1))/10)+MOD(2*VALUE(MID(UPPER(TRIM(D471)),2,1)),10))+(INT(2*VALUE(MID(UPPER(TRIM(D471)),4,1))/10)+MOD(2*VALUE(MID(UPPER(TRIM(D471)),4,1)),10))+(INT(2*VALUE(MID(UPPER(TRIM(D471)),6,1))/10)+MOD(2*VALUE(MID(UPPER(TRIM(D471)),6,1)),10))+(INT(2*VALUE(MID(UPPER(TRIM(D471)),8,1))/10)+MOD(2*VALUE(MID(UPPER(TRIM(D471)),8,1)),10)),10),10),"0"),RIGHT(UPPER(TRIM(D471)),1)=MID("JABCDEFGHI",MOD(10-MOD((VALUE(MID(UPPER(TRIM(D471)),3,1))+VALUE(MID(UPPER(TRIM(D471)),5,1))+VALUE(MID(UPPER(TRIM(D471)),7,1)))+(INT(2*VALUE(MID(UPPER(TRIM(D471)),2,1))/10)+MOD(2*VALUE(MID(UPPER(TRIM(D471)),2,1)),10))+(INT(2*VALUE(MID(UPPER(TRIM(D471)),4,1))/10)+MOD(2*VALUE(MID(UPPER(TRIM(D471)),4,1)),10))+(INT(2*VALUE(MID(UPPER(TRIM(D471)),6,1))/10)+MOD(2*VALUE(MID(UPPER(TRIM(D471)),6,1)),10))+(INT(2*VALUE(MID(UPPER(TRIM(D471)),8,1))/10)+MOD(2*VALUE(MID(UPPER(TRIM(D471)),8,1)),10)),10),10)+1,1)),"OK","REVISAR")),"REVISAR")))</f>
        <v/>
      </c>
      <c r="Q471">
        <f>IF(B471="","",IF(COUNTIFS($B$2:$B$501,B471,$D$2:$D$501,D471)&gt;1,"DUPLICADA",""))</f>
        <v/>
      </c>
      <c r="R471">
        <f>IF(A471="","",ROUNDUP(MONTH(A471)/3,0))</f>
        <v/>
      </c>
      <c r="S471" s="3" t="n"/>
    </row>
    <row r="472">
      <c r="A472" s="2" t="n"/>
      <c r="B472" s="3" t="n"/>
      <c r="C472" s="3" t="n"/>
      <c r="D472" s="3" t="n"/>
      <c r="E472" s="4" t="n"/>
      <c r="F472" s="4" t="n"/>
      <c r="G472" s="4" t="n"/>
      <c r="H472" s="4" t="n"/>
      <c r="I472" s="5">
        <f>IF(E472="","",ROUND(E472*0.21,2))</f>
        <v/>
      </c>
      <c r="J472" s="5">
        <f>IF(F472="","",ROUND(F472*0.1,2))</f>
        <v/>
      </c>
      <c r="K472" s="5">
        <f>IF(G472="","",ROUND(G472*0.04,2))</f>
        <v/>
      </c>
      <c r="L472" s="4" t="n"/>
      <c r="M472" s="4" t="n"/>
      <c r="N472" s="5">
        <f>IF(A472="","",SUM(E472:K472)-N(L472))</f>
        <v/>
      </c>
      <c r="O472">
        <f>IF(OR(A472="",M472=""),"",IF(ABS(M472-N472)&lt;=0.02,"OK","REVISAR"))</f>
        <v/>
      </c>
      <c r="P472">
        <f>IF(D472="","",IF(LEN(TRIM(D472))&lt;&gt;9,"REVISAR",IFERROR(IF(OR(ISNUMBER(VALUE(LEFT(UPPER(TRIM(D472)),1))),LEFT(UPPER(TRIM(D472)),1)="X",LEFT(UPPER(TRIM(D472)),1)="Y",LEFT(UPPER(TRIM(D472)),1)="Z"),IF(MID("TRWAGMYFPDXBNJZSQVHLCKE",MOD(VALUE(SUBSTITUTE(SUBSTITUTE(SUBSTITUTE(LEFT(UPPER(TRIM(D472)),8),"X","0"),"Y","1"),"Z","2")),23)+1,1)=RIGHT(UPPER(TRIM(D472)),1),"OK","REVISAR"),IF(OR(RIGHT(UPPER(TRIM(D472)),1)=TEXT(MOD(10-MOD((VALUE(MID(UPPER(TRIM(D472)),3,1))+VALUE(MID(UPPER(TRIM(D472)),5,1))+VALUE(MID(UPPER(TRIM(D472)),7,1)))+(INT(2*VALUE(MID(UPPER(TRIM(D472)),2,1))/10)+MOD(2*VALUE(MID(UPPER(TRIM(D472)),2,1)),10))+(INT(2*VALUE(MID(UPPER(TRIM(D472)),4,1))/10)+MOD(2*VALUE(MID(UPPER(TRIM(D472)),4,1)),10))+(INT(2*VALUE(MID(UPPER(TRIM(D472)),6,1))/10)+MOD(2*VALUE(MID(UPPER(TRIM(D472)),6,1)),10))+(INT(2*VALUE(MID(UPPER(TRIM(D472)),8,1))/10)+MOD(2*VALUE(MID(UPPER(TRIM(D472)),8,1)),10)),10),10),"0"),RIGHT(UPPER(TRIM(D472)),1)=MID("JABCDEFGHI",MOD(10-MOD((VALUE(MID(UPPER(TRIM(D472)),3,1))+VALUE(MID(UPPER(TRIM(D472)),5,1))+VALUE(MID(UPPER(TRIM(D472)),7,1)))+(INT(2*VALUE(MID(UPPER(TRIM(D472)),2,1))/10)+MOD(2*VALUE(MID(UPPER(TRIM(D472)),2,1)),10))+(INT(2*VALUE(MID(UPPER(TRIM(D472)),4,1))/10)+MOD(2*VALUE(MID(UPPER(TRIM(D472)),4,1)),10))+(INT(2*VALUE(MID(UPPER(TRIM(D472)),6,1))/10)+MOD(2*VALUE(MID(UPPER(TRIM(D472)),6,1)),10))+(INT(2*VALUE(MID(UPPER(TRIM(D472)),8,1))/10)+MOD(2*VALUE(MID(UPPER(TRIM(D472)),8,1)),10)),10),10)+1,1)),"OK","REVISAR")),"REVISAR")))</f>
        <v/>
      </c>
      <c r="Q472">
        <f>IF(B472="","",IF(COUNTIFS($B$2:$B$501,B472,$D$2:$D$501,D472)&gt;1,"DUPLICADA",""))</f>
        <v/>
      </c>
      <c r="R472">
        <f>IF(A472="","",ROUNDUP(MONTH(A472)/3,0))</f>
        <v/>
      </c>
      <c r="S472" s="3" t="n"/>
    </row>
    <row r="473">
      <c r="A473" s="2" t="n"/>
      <c r="B473" s="3" t="n"/>
      <c r="C473" s="3" t="n"/>
      <c r="D473" s="3" t="n"/>
      <c r="E473" s="4" t="n"/>
      <c r="F473" s="4" t="n"/>
      <c r="G473" s="4" t="n"/>
      <c r="H473" s="4" t="n"/>
      <c r="I473" s="5">
        <f>IF(E473="","",ROUND(E473*0.21,2))</f>
        <v/>
      </c>
      <c r="J473" s="5">
        <f>IF(F473="","",ROUND(F473*0.1,2))</f>
        <v/>
      </c>
      <c r="K473" s="5">
        <f>IF(G473="","",ROUND(G473*0.04,2))</f>
        <v/>
      </c>
      <c r="L473" s="4" t="n"/>
      <c r="M473" s="4" t="n"/>
      <c r="N473" s="5">
        <f>IF(A473="","",SUM(E473:K473)-N(L473))</f>
        <v/>
      </c>
      <c r="O473">
        <f>IF(OR(A473="",M473=""),"",IF(ABS(M473-N473)&lt;=0.02,"OK","REVISAR"))</f>
        <v/>
      </c>
      <c r="P473">
        <f>IF(D473="","",IF(LEN(TRIM(D473))&lt;&gt;9,"REVISAR",IFERROR(IF(OR(ISNUMBER(VALUE(LEFT(UPPER(TRIM(D473)),1))),LEFT(UPPER(TRIM(D473)),1)="X",LEFT(UPPER(TRIM(D473)),1)="Y",LEFT(UPPER(TRIM(D473)),1)="Z"),IF(MID("TRWAGMYFPDXBNJZSQVHLCKE",MOD(VALUE(SUBSTITUTE(SUBSTITUTE(SUBSTITUTE(LEFT(UPPER(TRIM(D473)),8),"X","0"),"Y","1"),"Z","2")),23)+1,1)=RIGHT(UPPER(TRIM(D473)),1),"OK","REVISAR"),IF(OR(RIGHT(UPPER(TRIM(D473)),1)=TEXT(MOD(10-MOD((VALUE(MID(UPPER(TRIM(D473)),3,1))+VALUE(MID(UPPER(TRIM(D473)),5,1))+VALUE(MID(UPPER(TRIM(D473)),7,1)))+(INT(2*VALUE(MID(UPPER(TRIM(D473)),2,1))/10)+MOD(2*VALUE(MID(UPPER(TRIM(D473)),2,1)),10))+(INT(2*VALUE(MID(UPPER(TRIM(D473)),4,1))/10)+MOD(2*VALUE(MID(UPPER(TRIM(D473)),4,1)),10))+(INT(2*VALUE(MID(UPPER(TRIM(D473)),6,1))/10)+MOD(2*VALUE(MID(UPPER(TRIM(D473)),6,1)),10))+(INT(2*VALUE(MID(UPPER(TRIM(D473)),8,1))/10)+MOD(2*VALUE(MID(UPPER(TRIM(D473)),8,1)),10)),10),10),"0"),RIGHT(UPPER(TRIM(D473)),1)=MID("JABCDEFGHI",MOD(10-MOD((VALUE(MID(UPPER(TRIM(D473)),3,1))+VALUE(MID(UPPER(TRIM(D473)),5,1))+VALUE(MID(UPPER(TRIM(D473)),7,1)))+(INT(2*VALUE(MID(UPPER(TRIM(D473)),2,1))/10)+MOD(2*VALUE(MID(UPPER(TRIM(D473)),2,1)),10))+(INT(2*VALUE(MID(UPPER(TRIM(D473)),4,1))/10)+MOD(2*VALUE(MID(UPPER(TRIM(D473)),4,1)),10))+(INT(2*VALUE(MID(UPPER(TRIM(D473)),6,1))/10)+MOD(2*VALUE(MID(UPPER(TRIM(D473)),6,1)),10))+(INT(2*VALUE(MID(UPPER(TRIM(D473)),8,1))/10)+MOD(2*VALUE(MID(UPPER(TRIM(D473)),8,1)),10)),10),10)+1,1)),"OK","REVISAR")),"REVISAR")))</f>
        <v/>
      </c>
      <c r="Q473">
        <f>IF(B473="","",IF(COUNTIFS($B$2:$B$501,B473,$D$2:$D$501,D473)&gt;1,"DUPLICADA",""))</f>
        <v/>
      </c>
      <c r="R473">
        <f>IF(A473="","",ROUNDUP(MONTH(A473)/3,0))</f>
        <v/>
      </c>
      <c r="S473" s="3" t="n"/>
    </row>
    <row r="474">
      <c r="A474" s="2" t="n"/>
      <c r="B474" s="3" t="n"/>
      <c r="C474" s="3" t="n"/>
      <c r="D474" s="3" t="n"/>
      <c r="E474" s="4" t="n"/>
      <c r="F474" s="4" t="n"/>
      <c r="G474" s="4" t="n"/>
      <c r="H474" s="4" t="n"/>
      <c r="I474" s="5">
        <f>IF(E474="","",ROUND(E474*0.21,2))</f>
        <v/>
      </c>
      <c r="J474" s="5">
        <f>IF(F474="","",ROUND(F474*0.1,2))</f>
        <v/>
      </c>
      <c r="K474" s="5">
        <f>IF(G474="","",ROUND(G474*0.04,2))</f>
        <v/>
      </c>
      <c r="L474" s="4" t="n"/>
      <c r="M474" s="4" t="n"/>
      <c r="N474" s="5">
        <f>IF(A474="","",SUM(E474:K474)-N(L474))</f>
        <v/>
      </c>
      <c r="O474">
        <f>IF(OR(A474="",M474=""),"",IF(ABS(M474-N474)&lt;=0.02,"OK","REVISAR"))</f>
        <v/>
      </c>
      <c r="P474">
        <f>IF(D474="","",IF(LEN(TRIM(D474))&lt;&gt;9,"REVISAR",IFERROR(IF(OR(ISNUMBER(VALUE(LEFT(UPPER(TRIM(D474)),1))),LEFT(UPPER(TRIM(D474)),1)="X",LEFT(UPPER(TRIM(D474)),1)="Y",LEFT(UPPER(TRIM(D474)),1)="Z"),IF(MID("TRWAGMYFPDXBNJZSQVHLCKE",MOD(VALUE(SUBSTITUTE(SUBSTITUTE(SUBSTITUTE(LEFT(UPPER(TRIM(D474)),8),"X","0"),"Y","1"),"Z","2")),23)+1,1)=RIGHT(UPPER(TRIM(D474)),1),"OK","REVISAR"),IF(OR(RIGHT(UPPER(TRIM(D474)),1)=TEXT(MOD(10-MOD((VALUE(MID(UPPER(TRIM(D474)),3,1))+VALUE(MID(UPPER(TRIM(D474)),5,1))+VALUE(MID(UPPER(TRIM(D474)),7,1)))+(INT(2*VALUE(MID(UPPER(TRIM(D474)),2,1))/10)+MOD(2*VALUE(MID(UPPER(TRIM(D474)),2,1)),10))+(INT(2*VALUE(MID(UPPER(TRIM(D474)),4,1))/10)+MOD(2*VALUE(MID(UPPER(TRIM(D474)),4,1)),10))+(INT(2*VALUE(MID(UPPER(TRIM(D474)),6,1))/10)+MOD(2*VALUE(MID(UPPER(TRIM(D474)),6,1)),10))+(INT(2*VALUE(MID(UPPER(TRIM(D474)),8,1))/10)+MOD(2*VALUE(MID(UPPER(TRIM(D474)),8,1)),10)),10),10),"0"),RIGHT(UPPER(TRIM(D474)),1)=MID("JABCDEFGHI",MOD(10-MOD((VALUE(MID(UPPER(TRIM(D474)),3,1))+VALUE(MID(UPPER(TRIM(D474)),5,1))+VALUE(MID(UPPER(TRIM(D474)),7,1)))+(INT(2*VALUE(MID(UPPER(TRIM(D474)),2,1))/10)+MOD(2*VALUE(MID(UPPER(TRIM(D474)),2,1)),10))+(INT(2*VALUE(MID(UPPER(TRIM(D474)),4,1))/10)+MOD(2*VALUE(MID(UPPER(TRIM(D474)),4,1)),10))+(INT(2*VALUE(MID(UPPER(TRIM(D474)),6,1))/10)+MOD(2*VALUE(MID(UPPER(TRIM(D474)),6,1)),10))+(INT(2*VALUE(MID(UPPER(TRIM(D474)),8,1))/10)+MOD(2*VALUE(MID(UPPER(TRIM(D474)),8,1)),10)),10),10)+1,1)),"OK","REVISAR")),"REVISAR")))</f>
        <v/>
      </c>
      <c r="Q474">
        <f>IF(B474="","",IF(COUNTIFS($B$2:$B$501,B474,$D$2:$D$501,D474)&gt;1,"DUPLICADA",""))</f>
        <v/>
      </c>
      <c r="R474">
        <f>IF(A474="","",ROUNDUP(MONTH(A474)/3,0))</f>
        <v/>
      </c>
      <c r="S474" s="3" t="n"/>
    </row>
    <row r="475">
      <c r="A475" s="2" t="n"/>
      <c r="B475" s="3" t="n"/>
      <c r="C475" s="3" t="n"/>
      <c r="D475" s="3" t="n"/>
      <c r="E475" s="4" t="n"/>
      <c r="F475" s="4" t="n"/>
      <c r="G475" s="4" t="n"/>
      <c r="H475" s="4" t="n"/>
      <c r="I475" s="5">
        <f>IF(E475="","",ROUND(E475*0.21,2))</f>
        <v/>
      </c>
      <c r="J475" s="5">
        <f>IF(F475="","",ROUND(F475*0.1,2))</f>
        <v/>
      </c>
      <c r="K475" s="5">
        <f>IF(G475="","",ROUND(G475*0.04,2))</f>
        <v/>
      </c>
      <c r="L475" s="4" t="n"/>
      <c r="M475" s="4" t="n"/>
      <c r="N475" s="5">
        <f>IF(A475="","",SUM(E475:K475)-N(L475))</f>
        <v/>
      </c>
      <c r="O475">
        <f>IF(OR(A475="",M475=""),"",IF(ABS(M475-N475)&lt;=0.02,"OK","REVISAR"))</f>
        <v/>
      </c>
      <c r="P475">
        <f>IF(D475="","",IF(LEN(TRIM(D475))&lt;&gt;9,"REVISAR",IFERROR(IF(OR(ISNUMBER(VALUE(LEFT(UPPER(TRIM(D475)),1))),LEFT(UPPER(TRIM(D475)),1)="X",LEFT(UPPER(TRIM(D475)),1)="Y",LEFT(UPPER(TRIM(D475)),1)="Z"),IF(MID("TRWAGMYFPDXBNJZSQVHLCKE",MOD(VALUE(SUBSTITUTE(SUBSTITUTE(SUBSTITUTE(LEFT(UPPER(TRIM(D475)),8),"X","0"),"Y","1"),"Z","2")),23)+1,1)=RIGHT(UPPER(TRIM(D475)),1),"OK","REVISAR"),IF(OR(RIGHT(UPPER(TRIM(D475)),1)=TEXT(MOD(10-MOD((VALUE(MID(UPPER(TRIM(D475)),3,1))+VALUE(MID(UPPER(TRIM(D475)),5,1))+VALUE(MID(UPPER(TRIM(D475)),7,1)))+(INT(2*VALUE(MID(UPPER(TRIM(D475)),2,1))/10)+MOD(2*VALUE(MID(UPPER(TRIM(D475)),2,1)),10))+(INT(2*VALUE(MID(UPPER(TRIM(D475)),4,1))/10)+MOD(2*VALUE(MID(UPPER(TRIM(D475)),4,1)),10))+(INT(2*VALUE(MID(UPPER(TRIM(D475)),6,1))/10)+MOD(2*VALUE(MID(UPPER(TRIM(D475)),6,1)),10))+(INT(2*VALUE(MID(UPPER(TRIM(D475)),8,1))/10)+MOD(2*VALUE(MID(UPPER(TRIM(D475)),8,1)),10)),10),10),"0"),RIGHT(UPPER(TRIM(D475)),1)=MID("JABCDEFGHI",MOD(10-MOD((VALUE(MID(UPPER(TRIM(D475)),3,1))+VALUE(MID(UPPER(TRIM(D475)),5,1))+VALUE(MID(UPPER(TRIM(D475)),7,1)))+(INT(2*VALUE(MID(UPPER(TRIM(D475)),2,1))/10)+MOD(2*VALUE(MID(UPPER(TRIM(D475)),2,1)),10))+(INT(2*VALUE(MID(UPPER(TRIM(D475)),4,1))/10)+MOD(2*VALUE(MID(UPPER(TRIM(D475)),4,1)),10))+(INT(2*VALUE(MID(UPPER(TRIM(D475)),6,1))/10)+MOD(2*VALUE(MID(UPPER(TRIM(D475)),6,1)),10))+(INT(2*VALUE(MID(UPPER(TRIM(D475)),8,1))/10)+MOD(2*VALUE(MID(UPPER(TRIM(D475)),8,1)),10)),10),10)+1,1)),"OK","REVISAR")),"REVISAR")))</f>
        <v/>
      </c>
      <c r="Q475">
        <f>IF(B475="","",IF(COUNTIFS($B$2:$B$501,B475,$D$2:$D$501,D475)&gt;1,"DUPLICADA",""))</f>
        <v/>
      </c>
      <c r="R475">
        <f>IF(A475="","",ROUNDUP(MONTH(A475)/3,0))</f>
        <v/>
      </c>
      <c r="S475" s="3" t="n"/>
    </row>
    <row r="476">
      <c r="A476" s="2" t="n"/>
      <c r="B476" s="3" t="n"/>
      <c r="C476" s="3" t="n"/>
      <c r="D476" s="3" t="n"/>
      <c r="E476" s="4" t="n"/>
      <c r="F476" s="4" t="n"/>
      <c r="G476" s="4" t="n"/>
      <c r="H476" s="4" t="n"/>
      <c r="I476" s="5">
        <f>IF(E476="","",ROUND(E476*0.21,2))</f>
        <v/>
      </c>
      <c r="J476" s="5">
        <f>IF(F476="","",ROUND(F476*0.1,2))</f>
        <v/>
      </c>
      <c r="K476" s="5">
        <f>IF(G476="","",ROUND(G476*0.04,2))</f>
        <v/>
      </c>
      <c r="L476" s="4" t="n"/>
      <c r="M476" s="4" t="n"/>
      <c r="N476" s="5">
        <f>IF(A476="","",SUM(E476:K476)-N(L476))</f>
        <v/>
      </c>
      <c r="O476">
        <f>IF(OR(A476="",M476=""),"",IF(ABS(M476-N476)&lt;=0.02,"OK","REVISAR"))</f>
        <v/>
      </c>
      <c r="P476">
        <f>IF(D476="","",IF(LEN(TRIM(D476))&lt;&gt;9,"REVISAR",IFERROR(IF(OR(ISNUMBER(VALUE(LEFT(UPPER(TRIM(D476)),1))),LEFT(UPPER(TRIM(D476)),1)="X",LEFT(UPPER(TRIM(D476)),1)="Y",LEFT(UPPER(TRIM(D476)),1)="Z"),IF(MID("TRWAGMYFPDXBNJZSQVHLCKE",MOD(VALUE(SUBSTITUTE(SUBSTITUTE(SUBSTITUTE(LEFT(UPPER(TRIM(D476)),8),"X","0"),"Y","1"),"Z","2")),23)+1,1)=RIGHT(UPPER(TRIM(D476)),1),"OK","REVISAR"),IF(OR(RIGHT(UPPER(TRIM(D476)),1)=TEXT(MOD(10-MOD((VALUE(MID(UPPER(TRIM(D476)),3,1))+VALUE(MID(UPPER(TRIM(D476)),5,1))+VALUE(MID(UPPER(TRIM(D476)),7,1)))+(INT(2*VALUE(MID(UPPER(TRIM(D476)),2,1))/10)+MOD(2*VALUE(MID(UPPER(TRIM(D476)),2,1)),10))+(INT(2*VALUE(MID(UPPER(TRIM(D476)),4,1))/10)+MOD(2*VALUE(MID(UPPER(TRIM(D476)),4,1)),10))+(INT(2*VALUE(MID(UPPER(TRIM(D476)),6,1))/10)+MOD(2*VALUE(MID(UPPER(TRIM(D476)),6,1)),10))+(INT(2*VALUE(MID(UPPER(TRIM(D476)),8,1))/10)+MOD(2*VALUE(MID(UPPER(TRIM(D476)),8,1)),10)),10),10),"0"),RIGHT(UPPER(TRIM(D476)),1)=MID("JABCDEFGHI",MOD(10-MOD((VALUE(MID(UPPER(TRIM(D476)),3,1))+VALUE(MID(UPPER(TRIM(D476)),5,1))+VALUE(MID(UPPER(TRIM(D476)),7,1)))+(INT(2*VALUE(MID(UPPER(TRIM(D476)),2,1))/10)+MOD(2*VALUE(MID(UPPER(TRIM(D476)),2,1)),10))+(INT(2*VALUE(MID(UPPER(TRIM(D476)),4,1))/10)+MOD(2*VALUE(MID(UPPER(TRIM(D476)),4,1)),10))+(INT(2*VALUE(MID(UPPER(TRIM(D476)),6,1))/10)+MOD(2*VALUE(MID(UPPER(TRIM(D476)),6,1)),10))+(INT(2*VALUE(MID(UPPER(TRIM(D476)),8,1))/10)+MOD(2*VALUE(MID(UPPER(TRIM(D476)),8,1)),10)),10),10)+1,1)),"OK","REVISAR")),"REVISAR")))</f>
        <v/>
      </c>
      <c r="Q476">
        <f>IF(B476="","",IF(COUNTIFS($B$2:$B$501,B476,$D$2:$D$501,D476)&gt;1,"DUPLICADA",""))</f>
        <v/>
      </c>
      <c r="R476">
        <f>IF(A476="","",ROUNDUP(MONTH(A476)/3,0))</f>
        <v/>
      </c>
      <c r="S476" s="3" t="n"/>
    </row>
    <row r="477">
      <c r="A477" s="2" t="n"/>
      <c r="B477" s="3" t="n"/>
      <c r="C477" s="3" t="n"/>
      <c r="D477" s="3" t="n"/>
      <c r="E477" s="4" t="n"/>
      <c r="F477" s="4" t="n"/>
      <c r="G477" s="4" t="n"/>
      <c r="H477" s="4" t="n"/>
      <c r="I477" s="5">
        <f>IF(E477="","",ROUND(E477*0.21,2))</f>
        <v/>
      </c>
      <c r="J477" s="5">
        <f>IF(F477="","",ROUND(F477*0.1,2))</f>
        <v/>
      </c>
      <c r="K477" s="5">
        <f>IF(G477="","",ROUND(G477*0.04,2))</f>
        <v/>
      </c>
      <c r="L477" s="4" t="n"/>
      <c r="M477" s="4" t="n"/>
      <c r="N477" s="5">
        <f>IF(A477="","",SUM(E477:K477)-N(L477))</f>
        <v/>
      </c>
      <c r="O477">
        <f>IF(OR(A477="",M477=""),"",IF(ABS(M477-N477)&lt;=0.02,"OK","REVISAR"))</f>
        <v/>
      </c>
      <c r="P477">
        <f>IF(D477="","",IF(LEN(TRIM(D477))&lt;&gt;9,"REVISAR",IFERROR(IF(OR(ISNUMBER(VALUE(LEFT(UPPER(TRIM(D477)),1))),LEFT(UPPER(TRIM(D477)),1)="X",LEFT(UPPER(TRIM(D477)),1)="Y",LEFT(UPPER(TRIM(D477)),1)="Z"),IF(MID("TRWAGMYFPDXBNJZSQVHLCKE",MOD(VALUE(SUBSTITUTE(SUBSTITUTE(SUBSTITUTE(LEFT(UPPER(TRIM(D477)),8),"X","0"),"Y","1"),"Z","2")),23)+1,1)=RIGHT(UPPER(TRIM(D477)),1),"OK","REVISAR"),IF(OR(RIGHT(UPPER(TRIM(D477)),1)=TEXT(MOD(10-MOD((VALUE(MID(UPPER(TRIM(D477)),3,1))+VALUE(MID(UPPER(TRIM(D477)),5,1))+VALUE(MID(UPPER(TRIM(D477)),7,1)))+(INT(2*VALUE(MID(UPPER(TRIM(D477)),2,1))/10)+MOD(2*VALUE(MID(UPPER(TRIM(D477)),2,1)),10))+(INT(2*VALUE(MID(UPPER(TRIM(D477)),4,1))/10)+MOD(2*VALUE(MID(UPPER(TRIM(D477)),4,1)),10))+(INT(2*VALUE(MID(UPPER(TRIM(D477)),6,1))/10)+MOD(2*VALUE(MID(UPPER(TRIM(D477)),6,1)),10))+(INT(2*VALUE(MID(UPPER(TRIM(D477)),8,1))/10)+MOD(2*VALUE(MID(UPPER(TRIM(D477)),8,1)),10)),10),10),"0"),RIGHT(UPPER(TRIM(D477)),1)=MID("JABCDEFGHI",MOD(10-MOD((VALUE(MID(UPPER(TRIM(D477)),3,1))+VALUE(MID(UPPER(TRIM(D477)),5,1))+VALUE(MID(UPPER(TRIM(D477)),7,1)))+(INT(2*VALUE(MID(UPPER(TRIM(D477)),2,1))/10)+MOD(2*VALUE(MID(UPPER(TRIM(D477)),2,1)),10))+(INT(2*VALUE(MID(UPPER(TRIM(D477)),4,1))/10)+MOD(2*VALUE(MID(UPPER(TRIM(D477)),4,1)),10))+(INT(2*VALUE(MID(UPPER(TRIM(D477)),6,1))/10)+MOD(2*VALUE(MID(UPPER(TRIM(D477)),6,1)),10))+(INT(2*VALUE(MID(UPPER(TRIM(D477)),8,1))/10)+MOD(2*VALUE(MID(UPPER(TRIM(D477)),8,1)),10)),10),10)+1,1)),"OK","REVISAR")),"REVISAR")))</f>
        <v/>
      </c>
      <c r="Q477">
        <f>IF(B477="","",IF(COUNTIFS($B$2:$B$501,B477,$D$2:$D$501,D477)&gt;1,"DUPLICADA",""))</f>
        <v/>
      </c>
      <c r="R477">
        <f>IF(A477="","",ROUNDUP(MONTH(A477)/3,0))</f>
        <v/>
      </c>
      <c r="S477" s="3" t="n"/>
    </row>
    <row r="478">
      <c r="A478" s="2" t="n"/>
      <c r="B478" s="3" t="n"/>
      <c r="C478" s="3" t="n"/>
      <c r="D478" s="3" t="n"/>
      <c r="E478" s="4" t="n"/>
      <c r="F478" s="4" t="n"/>
      <c r="G478" s="4" t="n"/>
      <c r="H478" s="4" t="n"/>
      <c r="I478" s="5">
        <f>IF(E478="","",ROUND(E478*0.21,2))</f>
        <v/>
      </c>
      <c r="J478" s="5">
        <f>IF(F478="","",ROUND(F478*0.1,2))</f>
        <v/>
      </c>
      <c r="K478" s="5">
        <f>IF(G478="","",ROUND(G478*0.04,2))</f>
        <v/>
      </c>
      <c r="L478" s="4" t="n"/>
      <c r="M478" s="4" t="n"/>
      <c r="N478" s="5">
        <f>IF(A478="","",SUM(E478:K478)-N(L478))</f>
        <v/>
      </c>
      <c r="O478">
        <f>IF(OR(A478="",M478=""),"",IF(ABS(M478-N478)&lt;=0.02,"OK","REVISAR"))</f>
        <v/>
      </c>
      <c r="P478">
        <f>IF(D478="","",IF(LEN(TRIM(D478))&lt;&gt;9,"REVISAR",IFERROR(IF(OR(ISNUMBER(VALUE(LEFT(UPPER(TRIM(D478)),1))),LEFT(UPPER(TRIM(D478)),1)="X",LEFT(UPPER(TRIM(D478)),1)="Y",LEFT(UPPER(TRIM(D478)),1)="Z"),IF(MID("TRWAGMYFPDXBNJZSQVHLCKE",MOD(VALUE(SUBSTITUTE(SUBSTITUTE(SUBSTITUTE(LEFT(UPPER(TRIM(D478)),8),"X","0"),"Y","1"),"Z","2")),23)+1,1)=RIGHT(UPPER(TRIM(D478)),1),"OK","REVISAR"),IF(OR(RIGHT(UPPER(TRIM(D478)),1)=TEXT(MOD(10-MOD((VALUE(MID(UPPER(TRIM(D478)),3,1))+VALUE(MID(UPPER(TRIM(D478)),5,1))+VALUE(MID(UPPER(TRIM(D478)),7,1)))+(INT(2*VALUE(MID(UPPER(TRIM(D478)),2,1))/10)+MOD(2*VALUE(MID(UPPER(TRIM(D478)),2,1)),10))+(INT(2*VALUE(MID(UPPER(TRIM(D478)),4,1))/10)+MOD(2*VALUE(MID(UPPER(TRIM(D478)),4,1)),10))+(INT(2*VALUE(MID(UPPER(TRIM(D478)),6,1))/10)+MOD(2*VALUE(MID(UPPER(TRIM(D478)),6,1)),10))+(INT(2*VALUE(MID(UPPER(TRIM(D478)),8,1))/10)+MOD(2*VALUE(MID(UPPER(TRIM(D478)),8,1)),10)),10),10),"0"),RIGHT(UPPER(TRIM(D478)),1)=MID("JABCDEFGHI",MOD(10-MOD((VALUE(MID(UPPER(TRIM(D478)),3,1))+VALUE(MID(UPPER(TRIM(D478)),5,1))+VALUE(MID(UPPER(TRIM(D478)),7,1)))+(INT(2*VALUE(MID(UPPER(TRIM(D478)),2,1))/10)+MOD(2*VALUE(MID(UPPER(TRIM(D478)),2,1)),10))+(INT(2*VALUE(MID(UPPER(TRIM(D478)),4,1))/10)+MOD(2*VALUE(MID(UPPER(TRIM(D478)),4,1)),10))+(INT(2*VALUE(MID(UPPER(TRIM(D478)),6,1))/10)+MOD(2*VALUE(MID(UPPER(TRIM(D478)),6,1)),10))+(INT(2*VALUE(MID(UPPER(TRIM(D478)),8,1))/10)+MOD(2*VALUE(MID(UPPER(TRIM(D478)),8,1)),10)),10),10)+1,1)),"OK","REVISAR")),"REVISAR")))</f>
        <v/>
      </c>
      <c r="Q478">
        <f>IF(B478="","",IF(COUNTIFS($B$2:$B$501,B478,$D$2:$D$501,D478)&gt;1,"DUPLICADA",""))</f>
        <v/>
      </c>
      <c r="R478">
        <f>IF(A478="","",ROUNDUP(MONTH(A478)/3,0))</f>
        <v/>
      </c>
      <c r="S478" s="3" t="n"/>
    </row>
    <row r="479">
      <c r="A479" s="2" t="n"/>
      <c r="B479" s="3" t="n"/>
      <c r="C479" s="3" t="n"/>
      <c r="D479" s="3" t="n"/>
      <c r="E479" s="4" t="n"/>
      <c r="F479" s="4" t="n"/>
      <c r="G479" s="4" t="n"/>
      <c r="H479" s="4" t="n"/>
      <c r="I479" s="5">
        <f>IF(E479="","",ROUND(E479*0.21,2))</f>
        <v/>
      </c>
      <c r="J479" s="5">
        <f>IF(F479="","",ROUND(F479*0.1,2))</f>
        <v/>
      </c>
      <c r="K479" s="5">
        <f>IF(G479="","",ROUND(G479*0.04,2))</f>
        <v/>
      </c>
      <c r="L479" s="4" t="n"/>
      <c r="M479" s="4" t="n"/>
      <c r="N479" s="5">
        <f>IF(A479="","",SUM(E479:K479)-N(L479))</f>
        <v/>
      </c>
      <c r="O479">
        <f>IF(OR(A479="",M479=""),"",IF(ABS(M479-N479)&lt;=0.02,"OK","REVISAR"))</f>
        <v/>
      </c>
      <c r="P479">
        <f>IF(D479="","",IF(LEN(TRIM(D479))&lt;&gt;9,"REVISAR",IFERROR(IF(OR(ISNUMBER(VALUE(LEFT(UPPER(TRIM(D479)),1))),LEFT(UPPER(TRIM(D479)),1)="X",LEFT(UPPER(TRIM(D479)),1)="Y",LEFT(UPPER(TRIM(D479)),1)="Z"),IF(MID("TRWAGMYFPDXBNJZSQVHLCKE",MOD(VALUE(SUBSTITUTE(SUBSTITUTE(SUBSTITUTE(LEFT(UPPER(TRIM(D479)),8),"X","0"),"Y","1"),"Z","2")),23)+1,1)=RIGHT(UPPER(TRIM(D479)),1),"OK","REVISAR"),IF(OR(RIGHT(UPPER(TRIM(D479)),1)=TEXT(MOD(10-MOD((VALUE(MID(UPPER(TRIM(D479)),3,1))+VALUE(MID(UPPER(TRIM(D479)),5,1))+VALUE(MID(UPPER(TRIM(D479)),7,1)))+(INT(2*VALUE(MID(UPPER(TRIM(D479)),2,1))/10)+MOD(2*VALUE(MID(UPPER(TRIM(D479)),2,1)),10))+(INT(2*VALUE(MID(UPPER(TRIM(D479)),4,1))/10)+MOD(2*VALUE(MID(UPPER(TRIM(D479)),4,1)),10))+(INT(2*VALUE(MID(UPPER(TRIM(D479)),6,1))/10)+MOD(2*VALUE(MID(UPPER(TRIM(D479)),6,1)),10))+(INT(2*VALUE(MID(UPPER(TRIM(D479)),8,1))/10)+MOD(2*VALUE(MID(UPPER(TRIM(D479)),8,1)),10)),10),10),"0"),RIGHT(UPPER(TRIM(D479)),1)=MID("JABCDEFGHI",MOD(10-MOD((VALUE(MID(UPPER(TRIM(D479)),3,1))+VALUE(MID(UPPER(TRIM(D479)),5,1))+VALUE(MID(UPPER(TRIM(D479)),7,1)))+(INT(2*VALUE(MID(UPPER(TRIM(D479)),2,1))/10)+MOD(2*VALUE(MID(UPPER(TRIM(D479)),2,1)),10))+(INT(2*VALUE(MID(UPPER(TRIM(D479)),4,1))/10)+MOD(2*VALUE(MID(UPPER(TRIM(D479)),4,1)),10))+(INT(2*VALUE(MID(UPPER(TRIM(D479)),6,1))/10)+MOD(2*VALUE(MID(UPPER(TRIM(D479)),6,1)),10))+(INT(2*VALUE(MID(UPPER(TRIM(D479)),8,1))/10)+MOD(2*VALUE(MID(UPPER(TRIM(D479)),8,1)),10)),10),10)+1,1)),"OK","REVISAR")),"REVISAR")))</f>
        <v/>
      </c>
      <c r="Q479">
        <f>IF(B479="","",IF(COUNTIFS($B$2:$B$501,B479,$D$2:$D$501,D479)&gt;1,"DUPLICADA",""))</f>
        <v/>
      </c>
      <c r="R479">
        <f>IF(A479="","",ROUNDUP(MONTH(A479)/3,0))</f>
        <v/>
      </c>
      <c r="S479" s="3" t="n"/>
    </row>
    <row r="480">
      <c r="A480" s="2" t="n"/>
      <c r="B480" s="3" t="n"/>
      <c r="C480" s="3" t="n"/>
      <c r="D480" s="3" t="n"/>
      <c r="E480" s="4" t="n"/>
      <c r="F480" s="4" t="n"/>
      <c r="G480" s="4" t="n"/>
      <c r="H480" s="4" t="n"/>
      <c r="I480" s="5">
        <f>IF(E480="","",ROUND(E480*0.21,2))</f>
        <v/>
      </c>
      <c r="J480" s="5">
        <f>IF(F480="","",ROUND(F480*0.1,2))</f>
        <v/>
      </c>
      <c r="K480" s="5">
        <f>IF(G480="","",ROUND(G480*0.04,2))</f>
        <v/>
      </c>
      <c r="L480" s="4" t="n"/>
      <c r="M480" s="4" t="n"/>
      <c r="N480" s="5">
        <f>IF(A480="","",SUM(E480:K480)-N(L480))</f>
        <v/>
      </c>
      <c r="O480">
        <f>IF(OR(A480="",M480=""),"",IF(ABS(M480-N480)&lt;=0.02,"OK","REVISAR"))</f>
        <v/>
      </c>
      <c r="P480">
        <f>IF(D480="","",IF(LEN(TRIM(D480))&lt;&gt;9,"REVISAR",IFERROR(IF(OR(ISNUMBER(VALUE(LEFT(UPPER(TRIM(D480)),1))),LEFT(UPPER(TRIM(D480)),1)="X",LEFT(UPPER(TRIM(D480)),1)="Y",LEFT(UPPER(TRIM(D480)),1)="Z"),IF(MID("TRWAGMYFPDXBNJZSQVHLCKE",MOD(VALUE(SUBSTITUTE(SUBSTITUTE(SUBSTITUTE(LEFT(UPPER(TRIM(D480)),8),"X","0"),"Y","1"),"Z","2")),23)+1,1)=RIGHT(UPPER(TRIM(D480)),1),"OK","REVISAR"),IF(OR(RIGHT(UPPER(TRIM(D480)),1)=TEXT(MOD(10-MOD((VALUE(MID(UPPER(TRIM(D480)),3,1))+VALUE(MID(UPPER(TRIM(D480)),5,1))+VALUE(MID(UPPER(TRIM(D480)),7,1)))+(INT(2*VALUE(MID(UPPER(TRIM(D480)),2,1))/10)+MOD(2*VALUE(MID(UPPER(TRIM(D480)),2,1)),10))+(INT(2*VALUE(MID(UPPER(TRIM(D480)),4,1))/10)+MOD(2*VALUE(MID(UPPER(TRIM(D480)),4,1)),10))+(INT(2*VALUE(MID(UPPER(TRIM(D480)),6,1))/10)+MOD(2*VALUE(MID(UPPER(TRIM(D480)),6,1)),10))+(INT(2*VALUE(MID(UPPER(TRIM(D480)),8,1))/10)+MOD(2*VALUE(MID(UPPER(TRIM(D480)),8,1)),10)),10),10),"0"),RIGHT(UPPER(TRIM(D480)),1)=MID("JABCDEFGHI",MOD(10-MOD((VALUE(MID(UPPER(TRIM(D480)),3,1))+VALUE(MID(UPPER(TRIM(D480)),5,1))+VALUE(MID(UPPER(TRIM(D480)),7,1)))+(INT(2*VALUE(MID(UPPER(TRIM(D480)),2,1))/10)+MOD(2*VALUE(MID(UPPER(TRIM(D480)),2,1)),10))+(INT(2*VALUE(MID(UPPER(TRIM(D480)),4,1))/10)+MOD(2*VALUE(MID(UPPER(TRIM(D480)),4,1)),10))+(INT(2*VALUE(MID(UPPER(TRIM(D480)),6,1))/10)+MOD(2*VALUE(MID(UPPER(TRIM(D480)),6,1)),10))+(INT(2*VALUE(MID(UPPER(TRIM(D480)),8,1))/10)+MOD(2*VALUE(MID(UPPER(TRIM(D480)),8,1)),10)),10),10)+1,1)),"OK","REVISAR")),"REVISAR")))</f>
        <v/>
      </c>
      <c r="Q480">
        <f>IF(B480="","",IF(COUNTIFS($B$2:$B$501,B480,$D$2:$D$501,D480)&gt;1,"DUPLICADA",""))</f>
        <v/>
      </c>
      <c r="R480">
        <f>IF(A480="","",ROUNDUP(MONTH(A480)/3,0))</f>
        <v/>
      </c>
      <c r="S480" s="3" t="n"/>
    </row>
    <row r="481">
      <c r="A481" s="2" t="n"/>
      <c r="B481" s="3" t="n"/>
      <c r="C481" s="3" t="n"/>
      <c r="D481" s="3" t="n"/>
      <c r="E481" s="4" t="n"/>
      <c r="F481" s="4" t="n"/>
      <c r="G481" s="4" t="n"/>
      <c r="H481" s="4" t="n"/>
      <c r="I481" s="5">
        <f>IF(E481="","",ROUND(E481*0.21,2))</f>
        <v/>
      </c>
      <c r="J481" s="5">
        <f>IF(F481="","",ROUND(F481*0.1,2))</f>
        <v/>
      </c>
      <c r="K481" s="5">
        <f>IF(G481="","",ROUND(G481*0.04,2))</f>
        <v/>
      </c>
      <c r="L481" s="4" t="n"/>
      <c r="M481" s="4" t="n"/>
      <c r="N481" s="5">
        <f>IF(A481="","",SUM(E481:K481)-N(L481))</f>
        <v/>
      </c>
      <c r="O481">
        <f>IF(OR(A481="",M481=""),"",IF(ABS(M481-N481)&lt;=0.02,"OK","REVISAR"))</f>
        <v/>
      </c>
      <c r="P481">
        <f>IF(D481="","",IF(LEN(TRIM(D481))&lt;&gt;9,"REVISAR",IFERROR(IF(OR(ISNUMBER(VALUE(LEFT(UPPER(TRIM(D481)),1))),LEFT(UPPER(TRIM(D481)),1)="X",LEFT(UPPER(TRIM(D481)),1)="Y",LEFT(UPPER(TRIM(D481)),1)="Z"),IF(MID("TRWAGMYFPDXBNJZSQVHLCKE",MOD(VALUE(SUBSTITUTE(SUBSTITUTE(SUBSTITUTE(LEFT(UPPER(TRIM(D481)),8),"X","0"),"Y","1"),"Z","2")),23)+1,1)=RIGHT(UPPER(TRIM(D481)),1),"OK","REVISAR"),IF(OR(RIGHT(UPPER(TRIM(D481)),1)=TEXT(MOD(10-MOD((VALUE(MID(UPPER(TRIM(D481)),3,1))+VALUE(MID(UPPER(TRIM(D481)),5,1))+VALUE(MID(UPPER(TRIM(D481)),7,1)))+(INT(2*VALUE(MID(UPPER(TRIM(D481)),2,1))/10)+MOD(2*VALUE(MID(UPPER(TRIM(D481)),2,1)),10))+(INT(2*VALUE(MID(UPPER(TRIM(D481)),4,1))/10)+MOD(2*VALUE(MID(UPPER(TRIM(D481)),4,1)),10))+(INT(2*VALUE(MID(UPPER(TRIM(D481)),6,1))/10)+MOD(2*VALUE(MID(UPPER(TRIM(D481)),6,1)),10))+(INT(2*VALUE(MID(UPPER(TRIM(D481)),8,1))/10)+MOD(2*VALUE(MID(UPPER(TRIM(D481)),8,1)),10)),10),10),"0"),RIGHT(UPPER(TRIM(D481)),1)=MID("JABCDEFGHI",MOD(10-MOD((VALUE(MID(UPPER(TRIM(D481)),3,1))+VALUE(MID(UPPER(TRIM(D481)),5,1))+VALUE(MID(UPPER(TRIM(D481)),7,1)))+(INT(2*VALUE(MID(UPPER(TRIM(D481)),2,1))/10)+MOD(2*VALUE(MID(UPPER(TRIM(D481)),2,1)),10))+(INT(2*VALUE(MID(UPPER(TRIM(D481)),4,1))/10)+MOD(2*VALUE(MID(UPPER(TRIM(D481)),4,1)),10))+(INT(2*VALUE(MID(UPPER(TRIM(D481)),6,1))/10)+MOD(2*VALUE(MID(UPPER(TRIM(D481)),6,1)),10))+(INT(2*VALUE(MID(UPPER(TRIM(D481)),8,1))/10)+MOD(2*VALUE(MID(UPPER(TRIM(D481)),8,1)),10)),10),10)+1,1)),"OK","REVISAR")),"REVISAR")))</f>
        <v/>
      </c>
      <c r="Q481">
        <f>IF(B481="","",IF(COUNTIFS($B$2:$B$501,B481,$D$2:$D$501,D481)&gt;1,"DUPLICADA",""))</f>
        <v/>
      </c>
      <c r="R481">
        <f>IF(A481="","",ROUNDUP(MONTH(A481)/3,0))</f>
        <v/>
      </c>
      <c r="S481" s="3" t="n"/>
    </row>
    <row r="482">
      <c r="A482" s="2" t="n"/>
      <c r="B482" s="3" t="n"/>
      <c r="C482" s="3" t="n"/>
      <c r="D482" s="3" t="n"/>
      <c r="E482" s="4" t="n"/>
      <c r="F482" s="4" t="n"/>
      <c r="G482" s="4" t="n"/>
      <c r="H482" s="4" t="n"/>
      <c r="I482" s="5">
        <f>IF(E482="","",ROUND(E482*0.21,2))</f>
        <v/>
      </c>
      <c r="J482" s="5">
        <f>IF(F482="","",ROUND(F482*0.1,2))</f>
        <v/>
      </c>
      <c r="K482" s="5">
        <f>IF(G482="","",ROUND(G482*0.04,2))</f>
        <v/>
      </c>
      <c r="L482" s="4" t="n"/>
      <c r="M482" s="4" t="n"/>
      <c r="N482" s="5">
        <f>IF(A482="","",SUM(E482:K482)-N(L482))</f>
        <v/>
      </c>
      <c r="O482">
        <f>IF(OR(A482="",M482=""),"",IF(ABS(M482-N482)&lt;=0.02,"OK","REVISAR"))</f>
        <v/>
      </c>
      <c r="P482">
        <f>IF(D482="","",IF(LEN(TRIM(D482))&lt;&gt;9,"REVISAR",IFERROR(IF(OR(ISNUMBER(VALUE(LEFT(UPPER(TRIM(D482)),1))),LEFT(UPPER(TRIM(D482)),1)="X",LEFT(UPPER(TRIM(D482)),1)="Y",LEFT(UPPER(TRIM(D482)),1)="Z"),IF(MID("TRWAGMYFPDXBNJZSQVHLCKE",MOD(VALUE(SUBSTITUTE(SUBSTITUTE(SUBSTITUTE(LEFT(UPPER(TRIM(D482)),8),"X","0"),"Y","1"),"Z","2")),23)+1,1)=RIGHT(UPPER(TRIM(D482)),1),"OK","REVISAR"),IF(OR(RIGHT(UPPER(TRIM(D482)),1)=TEXT(MOD(10-MOD((VALUE(MID(UPPER(TRIM(D482)),3,1))+VALUE(MID(UPPER(TRIM(D482)),5,1))+VALUE(MID(UPPER(TRIM(D482)),7,1)))+(INT(2*VALUE(MID(UPPER(TRIM(D482)),2,1))/10)+MOD(2*VALUE(MID(UPPER(TRIM(D482)),2,1)),10))+(INT(2*VALUE(MID(UPPER(TRIM(D482)),4,1))/10)+MOD(2*VALUE(MID(UPPER(TRIM(D482)),4,1)),10))+(INT(2*VALUE(MID(UPPER(TRIM(D482)),6,1))/10)+MOD(2*VALUE(MID(UPPER(TRIM(D482)),6,1)),10))+(INT(2*VALUE(MID(UPPER(TRIM(D482)),8,1))/10)+MOD(2*VALUE(MID(UPPER(TRIM(D482)),8,1)),10)),10),10),"0"),RIGHT(UPPER(TRIM(D482)),1)=MID("JABCDEFGHI",MOD(10-MOD((VALUE(MID(UPPER(TRIM(D482)),3,1))+VALUE(MID(UPPER(TRIM(D482)),5,1))+VALUE(MID(UPPER(TRIM(D482)),7,1)))+(INT(2*VALUE(MID(UPPER(TRIM(D482)),2,1))/10)+MOD(2*VALUE(MID(UPPER(TRIM(D482)),2,1)),10))+(INT(2*VALUE(MID(UPPER(TRIM(D482)),4,1))/10)+MOD(2*VALUE(MID(UPPER(TRIM(D482)),4,1)),10))+(INT(2*VALUE(MID(UPPER(TRIM(D482)),6,1))/10)+MOD(2*VALUE(MID(UPPER(TRIM(D482)),6,1)),10))+(INT(2*VALUE(MID(UPPER(TRIM(D482)),8,1))/10)+MOD(2*VALUE(MID(UPPER(TRIM(D482)),8,1)),10)),10),10)+1,1)),"OK","REVISAR")),"REVISAR")))</f>
        <v/>
      </c>
      <c r="Q482">
        <f>IF(B482="","",IF(COUNTIFS($B$2:$B$501,B482,$D$2:$D$501,D482)&gt;1,"DUPLICADA",""))</f>
        <v/>
      </c>
      <c r="R482">
        <f>IF(A482="","",ROUNDUP(MONTH(A482)/3,0))</f>
        <v/>
      </c>
      <c r="S482" s="3" t="n"/>
    </row>
    <row r="483">
      <c r="A483" s="2" t="n"/>
      <c r="B483" s="3" t="n"/>
      <c r="C483" s="3" t="n"/>
      <c r="D483" s="3" t="n"/>
      <c r="E483" s="4" t="n"/>
      <c r="F483" s="4" t="n"/>
      <c r="G483" s="4" t="n"/>
      <c r="H483" s="4" t="n"/>
      <c r="I483" s="5">
        <f>IF(E483="","",ROUND(E483*0.21,2))</f>
        <v/>
      </c>
      <c r="J483" s="5">
        <f>IF(F483="","",ROUND(F483*0.1,2))</f>
        <v/>
      </c>
      <c r="K483" s="5">
        <f>IF(G483="","",ROUND(G483*0.04,2))</f>
        <v/>
      </c>
      <c r="L483" s="4" t="n"/>
      <c r="M483" s="4" t="n"/>
      <c r="N483" s="5">
        <f>IF(A483="","",SUM(E483:K483)-N(L483))</f>
        <v/>
      </c>
      <c r="O483">
        <f>IF(OR(A483="",M483=""),"",IF(ABS(M483-N483)&lt;=0.02,"OK","REVISAR"))</f>
        <v/>
      </c>
      <c r="P483">
        <f>IF(D483="","",IF(LEN(TRIM(D483))&lt;&gt;9,"REVISAR",IFERROR(IF(OR(ISNUMBER(VALUE(LEFT(UPPER(TRIM(D483)),1))),LEFT(UPPER(TRIM(D483)),1)="X",LEFT(UPPER(TRIM(D483)),1)="Y",LEFT(UPPER(TRIM(D483)),1)="Z"),IF(MID("TRWAGMYFPDXBNJZSQVHLCKE",MOD(VALUE(SUBSTITUTE(SUBSTITUTE(SUBSTITUTE(LEFT(UPPER(TRIM(D483)),8),"X","0"),"Y","1"),"Z","2")),23)+1,1)=RIGHT(UPPER(TRIM(D483)),1),"OK","REVISAR"),IF(OR(RIGHT(UPPER(TRIM(D483)),1)=TEXT(MOD(10-MOD((VALUE(MID(UPPER(TRIM(D483)),3,1))+VALUE(MID(UPPER(TRIM(D483)),5,1))+VALUE(MID(UPPER(TRIM(D483)),7,1)))+(INT(2*VALUE(MID(UPPER(TRIM(D483)),2,1))/10)+MOD(2*VALUE(MID(UPPER(TRIM(D483)),2,1)),10))+(INT(2*VALUE(MID(UPPER(TRIM(D483)),4,1))/10)+MOD(2*VALUE(MID(UPPER(TRIM(D483)),4,1)),10))+(INT(2*VALUE(MID(UPPER(TRIM(D483)),6,1))/10)+MOD(2*VALUE(MID(UPPER(TRIM(D483)),6,1)),10))+(INT(2*VALUE(MID(UPPER(TRIM(D483)),8,1))/10)+MOD(2*VALUE(MID(UPPER(TRIM(D483)),8,1)),10)),10),10),"0"),RIGHT(UPPER(TRIM(D483)),1)=MID("JABCDEFGHI",MOD(10-MOD((VALUE(MID(UPPER(TRIM(D483)),3,1))+VALUE(MID(UPPER(TRIM(D483)),5,1))+VALUE(MID(UPPER(TRIM(D483)),7,1)))+(INT(2*VALUE(MID(UPPER(TRIM(D483)),2,1))/10)+MOD(2*VALUE(MID(UPPER(TRIM(D483)),2,1)),10))+(INT(2*VALUE(MID(UPPER(TRIM(D483)),4,1))/10)+MOD(2*VALUE(MID(UPPER(TRIM(D483)),4,1)),10))+(INT(2*VALUE(MID(UPPER(TRIM(D483)),6,1))/10)+MOD(2*VALUE(MID(UPPER(TRIM(D483)),6,1)),10))+(INT(2*VALUE(MID(UPPER(TRIM(D483)),8,1))/10)+MOD(2*VALUE(MID(UPPER(TRIM(D483)),8,1)),10)),10),10)+1,1)),"OK","REVISAR")),"REVISAR")))</f>
        <v/>
      </c>
      <c r="Q483">
        <f>IF(B483="","",IF(COUNTIFS($B$2:$B$501,B483,$D$2:$D$501,D483)&gt;1,"DUPLICADA",""))</f>
        <v/>
      </c>
      <c r="R483">
        <f>IF(A483="","",ROUNDUP(MONTH(A483)/3,0))</f>
        <v/>
      </c>
      <c r="S483" s="3" t="n"/>
    </row>
    <row r="484">
      <c r="A484" s="2" t="n"/>
      <c r="B484" s="3" t="n"/>
      <c r="C484" s="3" t="n"/>
      <c r="D484" s="3" t="n"/>
      <c r="E484" s="4" t="n"/>
      <c r="F484" s="4" t="n"/>
      <c r="G484" s="4" t="n"/>
      <c r="H484" s="4" t="n"/>
      <c r="I484" s="5">
        <f>IF(E484="","",ROUND(E484*0.21,2))</f>
        <v/>
      </c>
      <c r="J484" s="5">
        <f>IF(F484="","",ROUND(F484*0.1,2))</f>
        <v/>
      </c>
      <c r="K484" s="5">
        <f>IF(G484="","",ROUND(G484*0.04,2))</f>
        <v/>
      </c>
      <c r="L484" s="4" t="n"/>
      <c r="M484" s="4" t="n"/>
      <c r="N484" s="5">
        <f>IF(A484="","",SUM(E484:K484)-N(L484))</f>
        <v/>
      </c>
      <c r="O484">
        <f>IF(OR(A484="",M484=""),"",IF(ABS(M484-N484)&lt;=0.02,"OK","REVISAR"))</f>
        <v/>
      </c>
      <c r="P484">
        <f>IF(D484="","",IF(LEN(TRIM(D484))&lt;&gt;9,"REVISAR",IFERROR(IF(OR(ISNUMBER(VALUE(LEFT(UPPER(TRIM(D484)),1))),LEFT(UPPER(TRIM(D484)),1)="X",LEFT(UPPER(TRIM(D484)),1)="Y",LEFT(UPPER(TRIM(D484)),1)="Z"),IF(MID("TRWAGMYFPDXBNJZSQVHLCKE",MOD(VALUE(SUBSTITUTE(SUBSTITUTE(SUBSTITUTE(LEFT(UPPER(TRIM(D484)),8),"X","0"),"Y","1"),"Z","2")),23)+1,1)=RIGHT(UPPER(TRIM(D484)),1),"OK","REVISAR"),IF(OR(RIGHT(UPPER(TRIM(D484)),1)=TEXT(MOD(10-MOD((VALUE(MID(UPPER(TRIM(D484)),3,1))+VALUE(MID(UPPER(TRIM(D484)),5,1))+VALUE(MID(UPPER(TRIM(D484)),7,1)))+(INT(2*VALUE(MID(UPPER(TRIM(D484)),2,1))/10)+MOD(2*VALUE(MID(UPPER(TRIM(D484)),2,1)),10))+(INT(2*VALUE(MID(UPPER(TRIM(D484)),4,1))/10)+MOD(2*VALUE(MID(UPPER(TRIM(D484)),4,1)),10))+(INT(2*VALUE(MID(UPPER(TRIM(D484)),6,1))/10)+MOD(2*VALUE(MID(UPPER(TRIM(D484)),6,1)),10))+(INT(2*VALUE(MID(UPPER(TRIM(D484)),8,1))/10)+MOD(2*VALUE(MID(UPPER(TRIM(D484)),8,1)),10)),10),10),"0"),RIGHT(UPPER(TRIM(D484)),1)=MID("JABCDEFGHI",MOD(10-MOD((VALUE(MID(UPPER(TRIM(D484)),3,1))+VALUE(MID(UPPER(TRIM(D484)),5,1))+VALUE(MID(UPPER(TRIM(D484)),7,1)))+(INT(2*VALUE(MID(UPPER(TRIM(D484)),2,1))/10)+MOD(2*VALUE(MID(UPPER(TRIM(D484)),2,1)),10))+(INT(2*VALUE(MID(UPPER(TRIM(D484)),4,1))/10)+MOD(2*VALUE(MID(UPPER(TRIM(D484)),4,1)),10))+(INT(2*VALUE(MID(UPPER(TRIM(D484)),6,1))/10)+MOD(2*VALUE(MID(UPPER(TRIM(D484)),6,1)),10))+(INT(2*VALUE(MID(UPPER(TRIM(D484)),8,1))/10)+MOD(2*VALUE(MID(UPPER(TRIM(D484)),8,1)),10)),10),10)+1,1)),"OK","REVISAR")),"REVISAR")))</f>
        <v/>
      </c>
      <c r="Q484">
        <f>IF(B484="","",IF(COUNTIFS($B$2:$B$501,B484,$D$2:$D$501,D484)&gt;1,"DUPLICADA",""))</f>
        <v/>
      </c>
      <c r="R484">
        <f>IF(A484="","",ROUNDUP(MONTH(A484)/3,0))</f>
        <v/>
      </c>
      <c r="S484" s="3" t="n"/>
    </row>
    <row r="485">
      <c r="A485" s="2" t="n"/>
      <c r="B485" s="3" t="n"/>
      <c r="C485" s="3" t="n"/>
      <c r="D485" s="3" t="n"/>
      <c r="E485" s="4" t="n"/>
      <c r="F485" s="4" t="n"/>
      <c r="G485" s="4" t="n"/>
      <c r="H485" s="4" t="n"/>
      <c r="I485" s="5">
        <f>IF(E485="","",ROUND(E485*0.21,2))</f>
        <v/>
      </c>
      <c r="J485" s="5">
        <f>IF(F485="","",ROUND(F485*0.1,2))</f>
        <v/>
      </c>
      <c r="K485" s="5">
        <f>IF(G485="","",ROUND(G485*0.04,2))</f>
        <v/>
      </c>
      <c r="L485" s="4" t="n"/>
      <c r="M485" s="4" t="n"/>
      <c r="N485" s="5">
        <f>IF(A485="","",SUM(E485:K485)-N(L485))</f>
        <v/>
      </c>
      <c r="O485">
        <f>IF(OR(A485="",M485=""),"",IF(ABS(M485-N485)&lt;=0.02,"OK","REVISAR"))</f>
        <v/>
      </c>
      <c r="P485">
        <f>IF(D485="","",IF(LEN(TRIM(D485))&lt;&gt;9,"REVISAR",IFERROR(IF(OR(ISNUMBER(VALUE(LEFT(UPPER(TRIM(D485)),1))),LEFT(UPPER(TRIM(D485)),1)="X",LEFT(UPPER(TRIM(D485)),1)="Y",LEFT(UPPER(TRIM(D485)),1)="Z"),IF(MID("TRWAGMYFPDXBNJZSQVHLCKE",MOD(VALUE(SUBSTITUTE(SUBSTITUTE(SUBSTITUTE(LEFT(UPPER(TRIM(D485)),8),"X","0"),"Y","1"),"Z","2")),23)+1,1)=RIGHT(UPPER(TRIM(D485)),1),"OK","REVISAR"),IF(OR(RIGHT(UPPER(TRIM(D485)),1)=TEXT(MOD(10-MOD((VALUE(MID(UPPER(TRIM(D485)),3,1))+VALUE(MID(UPPER(TRIM(D485)),5,1))+VALUE(MID(UPPER(TRIM(D485)),7,1)))+(INT(2*VALUE(MID(UPPER(TRIM(D485)),2,1))/10)+MOD(2*VALUE(MID(UPPER(TRIM(D485)),2,1)),10))+(INT(2*VALUE(MID(UPPER(TRIM(D485)),4,1))/10)+MOD(2*VALUE(MID(UPPER(TRIM(D485)),4,1)),10))+(INT(2*VALUE(MID(UPPER(TRIM(D485)),6,1))/10)+MOD(2*VALUE(MID(UPPER(TRIM(D485)),6,1)),10))+(INT(2*VALUE(MID(UPPER(TRIM(D485)),8,1))/10)+MOD(2*VALUE(MID(UPPER(TRIM(D485)),8,1)),10)),10),10),"0"),RIGHT(UPPER(TRIM(D485)),1)=MID("JABCDEFGHI",MOD(10-MOD((VALUE(MID(UPPER(TRIM(D485)),3,1))+VALUE(MID(UPPER(TRIM(D485)),5,1))+VALUE(MID(UPPER(TRIM(D485)),7,1)))+(INT(2*VALUE(MID(UPPER(TRIM(D485)),2,1))/10)+MOD(2*VALUE(MID(UPPER(TRIM(D485)),2,1)),10))+(INT(2*VALUE(MID(UPPER(TRIM(D485)),4,1))/10)+MOD(2*VALUE(MID(UPPER(TRIM(D485)),4,1)),10))+(INT(2*VALUE(MID(UPPER(TRIM(D485)),6,1))/10)+MOD(2*VALUE(MID(UPPER(TRIM(D485)),6,1)),10))+(INT(2*VALUE(MID(UPPER(TRIM(D485)),8,1))/10)+MOD(2*VALUE(MID(UPPER(TRIM(D485)),8,1)),10)),10),10)+1,1)),"OK","REVISAR")),"REVISAR")))</f>
        <v/>
      </c>
      <c r="Q485">
        <f>IF(B485="","",IF(COUNTIFS($B$2:$B$501,B485,$D$2:$D$501,D485)&gt;1,"DUPLICADA",""))</f>
        <v/>
      </c>
      <c r="R485">
        <f>IF(A485="","",ROUNDUP(MONTH(A485)/3,0))</f>
        <v/>
      </c>
      <c r="S485" s="3" t="n"/>
    </row>
    <row r="486">
      <c r="A486" s="2" t="n"/>
      <c r="B486" s="3" t="n"/>
      <c r="C486" s="3" t="n"/>
      <c r="D486" s="3" t="n"/>
      <c r="E486" s="4" t="n"/>
      <c r="F486" s="4" t="n"/>
      <c r="G486" s="4" t="n"/>
      <c r="H486" s="4" t="n"/>
      <c r="I486" s="5">
        <f>IF(E486="","",ROUND(E486*0.21,2))</f>
        <v/>
      </c>
      <c r="J486" s="5">
        <f>IF(F486="","",ROUND(F486*0.1,2))</f>
        <v/>
      </c>
      <c r="K486" s="5">
        <f>IF(G486="","",ROUND(G486*0.04,2))</f>
        <v/>
      </c>
      <c r="L486" s="4" t="n"/>
      <c r="M486" s="4" t="n"/>
      <c r="N486" s="5">
        <f>IF(A486="","",SUM(E486:K486)-N(L486))</f>
        <v/>
      </c>
      <c r="O486">
        <f>IF(OR(A486="",M486=""),"",IF(ABS(M486-N486)&lt;=0.02,"OK","REVISAR"))</f>
        <v/>
      </c>
      <c r="P486">
        <f>IF(D486="","",IF(LEN(TRIM(D486))&lt;&gt;9,"REVISAR",IFERROR(IF(OR(ISNUMBER(VALUE(LEFT(UPPER(TRIM(D486)),1))),LEFT(UPPER(TRIM(D486)),1)="X",LEFT(UPPER(TRIM(D486)),1)="Y",LEFT(UPPER(TRIM(D486)),1)="Z"),IF(MID("TRWAGMYFPDXBNJZSQVHLCKE",MOD(VALUE(SUBSTITUTE(SUBSTITUTE(SUBSTITUTE(LEFT(UPPER(TRIM(D486)),8),"X","0"),"Y","1"),"Z","2")),23)+1,1)=RIGHT(UPPER(TRIM(D486)),1),"OK","REVISAR"),IF(OR(RIGHT(UPPER(TRIM(D486)),1)=TEXT(MOD(10-MOD((VALUE(MID(UPPER(TRIM(D486)),3,1))+VALUE(MID(UPPER(TRIM(D486)),5,1))+VALUE(MID(UPPER(TRIM(D486)),7,1)))+(INT(2*VALUE(MID(UPPER(TRIM(D486)),2,1))/10)+MOD(2*VALUE(MID(UPPER(TRIM(D486)),2,1)),10))+(INT(2*VALUE(MID(UPPER(TRIM(D486)),4,1))/10)+MOD(2*VALUE(MID(UPPER(TRIM(D486)),4,1)),10))+(INT(2*VALUE(MID(UPPER(TRIM(D486)),6,1))/10)+MOD(2*VALUE(MID(UPPER(TRIM(D486)),6,1)),10))+(INT(2*VALUE(MID(UPPER(TRIM(D486)),8,1))/10)+MOD(2*VALUE(MID(UPPER(TRIM(D486)),8,1)),10)),10),10),"0"),RIGHT(UPPER(TRIM(D486)),1)=MID("JABCDEFGHI",MOD(10-MOD((VALUE(MID(UPPER(TRIM(D486)),3,1))+VALUE(MID(UPPER(TRIM(D486)),5,1))+VALUE(MID(UPPER(TRIM(D486)),7,1)))+(INT(2*VALUE(MID(UPPER(TRIM(D486)),2,1))/10)+MOD(2*VALUE(MID(UPPER(TRIM(D486)),2,1)),10))+(INT(2*VALUE(MID(UPPER(TRIM(D486)),4,1))/10)+MOD(2*VALUE(MID(UPPER(TRIM(D486)),4,1)),10))+(INT(2*VALUE(MID(UPPER(TRIM(D486)),6,1))/10)+MOD(2*VALUE(MID(UPPER(TRIM(D486)),6,1)),10))+(INT(2*VALUE(MID(UPPER(TRIM(D486)),8,1))/10)+MOD(2*VALUE(MID(UPPER(TRIM(D486)),8,1)),10)),10),10)+1,1)),"OK","REVISAR")),"REVISAR")))</f>
        <v/>
      </c>
      <c r="Q486">
        <f>IF(B486="","",IF(COUNTIFS($B$2:$B$501,B486,$D$2:$D$501,D486)&gt;1,"DUPLICADA",""))</f>
        <v/>
      </c>
      <c r="R486">
        <f>IF(A486="","",ROUNDUP(MONTH(A486)/3,0))</f>
        <v/>
      </c>
      <c r="S486" s="3" t="n"/>
    </row>
    <row r="487">
      <c r="A487" s="2" t="n"/>
      <c r="B487" s="3" t="n"/>
      <c r="C487" s="3" t="n"/>
      <c r="D487" s="3" t="n"/>
      <c r="E487" s="4" t="n"/>
      <c r="F487" s="4" t="n"/>
      <c r="G487" s="4" t="n"/>
      <c r="H487" s="4" t="n"/>
      <c r="I487" s="5">
        <f>IF(E487="","",ROUND(E487*0.21,2))</f>
        <v/>
      </c>
      <c r="J487" s="5">
        <f>IF(F487="","",ROUND(F487*0.1,2))</f>
        <v/>
      </c>
      <c r="K487" s="5">
        <f>IF(G487="","",ROUND(G487*0.04,2))</f>
        <v/>
      </c>
      <c r="L487" s="4" t="n"/>
      <c r="M487" s="4" t="n"/>
      <c r="N487" s="5">
        <f>IF(A487="","",SUM(E487:K487)-N(L487))</f>
        <v/>
      </c>
      <c r="O487">
        <f>IF(OR(A487="",M487=""),"",IF(ABS(M487-N487)&lt;=0.02,"OK","REVISAR"))</f>
        <v/>
      </c>
      <c r="P487">
        <f>IF(D487="","",IF(LEN(TRIM(D487))&lt;&gt;9,"REVISAR",IFERROR(IF(OR(ISNUMBER(VALUE(LEFT(UPPER(TRIM(D487)),1))),LEFT(UPPER(TRIM(D487)),1)="X",LEFT(UPPER(TRIM(D487)),1)="Y",LEFT(UPPER(TRIM(D487)),1)="Z"),IF(MID("TRWAGMYFPDXBNJZSQVHLCKE",MOD(VALUE(SUBSTITUTE(SUBSTITUTE(SUBSTITUTE(LEFT(UPPER(TRIM(D487)),8),"X","0"),"Y","1"),"Z","2")),23)+1,1)=RIGHT(UPPER(TRIM(D487)),1),"OK","REVISAR"),IF(OR(RIGHT(UPPER(TRIM(D487)),1)=TEXT(MOD(10-MOD((VALUE(MID(UPPER(TRIM(D487)),3,1))+VALUE(MID(UPPER(TRIM(D487)),5,1))+VALUE(MID(UPPER(TRIM(D487)),7,1)))+(INT(2*VALUE(MID(UPPER(TRIM(D487)),2,1))/10)+MOD(2*VALUE(MID(UPPER(TRIM(D487)),2,1)),10))+(INT(2*VALUE(MID(UPPER(TRIM(D487)),4,1))/10)+MOD(2*VALUE(MID(UPPER(TRIM(D487)),4,1)),10))+(INT(2*VALUE(MID(UPPER(TRIM(D487)),6,1))/10)+MOD(2*VALUE(MID(UPPER(TRIM(D487)),6,1)),10))+(INT(2*VALUE(MID(UPPER(TRIM(D487)),8,1))/10)+MOD(2*VALUE(MID(UPPER(TRIM(D487)),8,1)),10)),10),10),"0"),RIGHT(UPPER(TRIM(D487)),1)=MID("JABCDEFGHI",MOD(10-MOD((VALUE(MID(UPPER(TRIM(D487)),3,1))+VALUE(MID(UPPER(TRIM(D487)),5,1))+VALUE(MID(UPPER(TRIM(D487)),7,1)))+(INT(2*VALUE(MID(UPPER(TRIM(D487)),2,1))/10)+MOD(2*VALUE(MID(UPPER(TRIM(D487)),2,1)),10))+(INT(2*VALUE(MID(UPPER(TRIM(D487)),4,1))/10)+MOD(2*VALUE(MID(UPPER(TRIM(D487)),4,1)),10))+(INT(2*VALUE(MID(UPPER(TRIM(D487)),6,1))/10)+MOD(2*VALUE(MID(UPPER(TRIM(D487)),6,1)),10))+(INT(2*VALUE(MID(UPPER(TRIM(D487)),8,1))/10)+MOD(2*VALUE(MID(UPPER(TRIM(D487)),8,1)),10)),10),10)+1,1)),"OK","REVISAR")),"REVISAR")))</f>
        <v/>
      </c>
      <c r="Q487">
        <f>IF(B487="","",IF(COUNTIFS($B$2:$B$501,B487,$D$2:$D$501,D487)&gt;1,"DUPLICADA",""))</f>
        <v/>
      </c>
      <c r="R487">
        <f>IF(A487="","",ROUNDUP(MONTH(A487)/3,0))</f>
        <v/>
      </c>
      <c r="S487" s="3" t="n"/>
    </row>
    <row r="488">
      <c r="A488" s="2" t="n"/>
      <c r="B488" s="3" t="n"/>
      <c r="C488" s="3" t="n"/>
      <c r="D488" s="3" t="n"/>
      <c r="E488" s="4" t="n"/>
      <c r="F488" s="4" t="n"/>
      <c r="G488" s="4" t="n"/>
      <c r="H488" s="4" t="n"/>
      <c r="I488" s="5">
        <f>IF(E488="","",ROUND(E488*0.21,2))</f>
        <v/>
      </c>
      <c r="J488" s="5">
        <f>IF(F488="","",ROUND(F488*0.1,2))</f>
        <v/>
      </c>
      <c r="K488" s="5">
        <f>IF(G488="","",ROUND(G488*0.04,2))</f>
        <v/>
      </c>
      <c r="L488" s="4" t="n"/>
      <c r="M488" s="4" t="n"/>
      <c r="N488" s="5">
        <f>IF(A488="","",SUM(E488:K488)-N(L488))</f>
        <v/>
      </c>
      <c r="O488">
        <f>IF(OR(A488="",M488=""),"",IF(ABS(M488-N488)&lt;=0.02,"OK","REVISAR"))</f>
        <v/>
      </c>
      <c r="P488">
        <f>IF(D488="","",IF(LEN(TRIM(D488))&lt;&gt;9,"REVISAR",IFERROR(IF(OR(ISNUMBER(VALUE(LEFT(UPPER(TRIM(D488)),1))),LEFT(UPPER(TRIM(D488)),1)="X",LEFT(UPPER(TRIM(D488)),1)="Y",LEFT(UPPER(TRIM(D488)),1)="Z"),IF(MID("TRWAGMYFPDXBNJZSQVHLCKE",MOD(VALUE(SUBSTITUTE(SUBSTITUTE(SUBSTITUTE(LEFT(UPPER(TRIM(D488)),8),"X","0"),"Y","1"),"Z","2")),23)+1,1)=RIGHT(UPPER(TRIM(D488)),1),"OK","REVISAR"),IF(OR(RIGHT(UPPER(TRIM(D488)),1)=TEXT(MOD(10-MOD((VALUE(MID(UPPER(TRIM(D488)),3,1))+VALUE(MID(UPPER(TRIM(D488)),5,1))+VALUE(MID(UPPER(TRIM(D488)),7,1)))+(INT(2*VALUE(MID(UPPER(TRIM(D488)),2,1))/10)+MOD(2*VALUE(MID(UPPER(TRIM(D488)),2,1)),10))+(INT(2*VALUE(MID(UPPER(TRIM(D488)),4,1))/10)+MOD(2*VALUE(MID(UPPER(TRIM(D488)),4,1)),10))+(INT(2*VALUE(MID(UPPER(TRIM(D488)),6,1))/10)+MOD(2*VALUE(MID(UPPER(TRIM(D488)),6,1)),10))+(INT(2*VALUE(MID(UPPER(TRIM(D488)),8,1))/10)+MOD(2*VALUE(MID(UPPER(TRIM(D488)),8,1)),10)),10),10),"0"),RIGHT(UPPER(TRIM(D488)),1)=MID("JABCDEFGHI",MOD(10-MOD((VALUE(MID(UPPER(TRIM(D488)),3,1))+VALUE(MID(UPPER(TRIM(D488)),5,1))+VALUE(MID(UPPER(TRIM(D488)),7,1)))+(INT(2*VALUE(MID(UPPER(TRIM(D488)),2,1))/10)+MOD(2*VALUE(MID(UPPER(TRIM(D488)),2,1)),10))+(INT(2*VALUE(MID(UPPER(TRIM(D488)),4,1))/10)+MOD(2*VALUE(MID(UPPER(TRIM(D488)),4,1)),10))+(INT(2*VALUE(MID(UPPER(TRIM(D488)),6,1))/10)+MOD(2*VALUE(MID(UPPER(TRIM(D488)),6,1)),10))+(INT(2*VALUE(MID(UPPER(TRIM(D488)),8,1))/10)+MOD(2*VALUE(MID(UPPER(TRIM(D488)),8,1)),10)),10),10)+1,1)),"OK","REVISAR")),"REVISAR")))</f>
        <v/>
      </c>
      <c r="Q488">
        <f>IF(B488="","",IF(COUNTIFS($B$2:$B$501,B488,$D$2:$D$501,D488)&gt;1,"DUPLICADA",""))</f>
        <v/>
      </c>
      <c r="R488">
        <f>IF(A488="","",ROUNDUP(MONTH(A488)/3,0))</f>
        <v/>
      </c>
      <c r="S488" s="3" t="n"/>
    </row>
    <row r="489">
      <c r="A489" s="2" t="n"/>
      <c r="B489" s="3" t="n"/>
      <c r="C489" s="3" t="n"/>
      <c r="D489" s="3" t="n"/>
      <c r="E489" s="4" t="n"/>
      <c r="F489" s="4" t="n"/>
      <c r="G489" s="4" t="n"/>
      <c r="H489" s="4" t="n"/>
      <c r="I489" s="5">
        <f>IF(E489="","",ROUND(E489*0.21,2))</f>
        <v/>
      </c>
      <c r="J489" s="5">
        <f>IF(F489="","",ROUND(F489*0.1,2))</f>
        <v/>
      </c>
      <c r="K489" s="5">
        <f>IF(G489="","",ROUND(G489*0.04,2))</f>
        <v/>
      </c>
      <c r="L489" s="4" t="n"/>
      <c r="M489" s="4" t="n"/>
      <c r="N489" s="5">
        <f>IF(A489="","",SUM(E489:K489)-N(L489))</f>
        <v/>
      </c>
      <c r="O489">
        <f>IF(OR(A489="",M489=""),"",IF(ABS(M489-N489)&lt;=0.02,"OK","REVISAR"))</f>
        <v/>
      </c>
      <c r="P489">
        <f>IF(D489="","",IF(LEN(TRIM(D489))&lt;&gt;9,"REVISAR",IFERROR(IF(OR(ISNUMBER(VALUE(LEFT(UPPER(TRIM(D489)),1))),LEFT(UPPER(TRIM(D489)),1)="X",LEFT(UPPER(TRIM(D489)),1)="Y",LEFT(UPPER(TRIM(D489)),1)="Z"),IF(MID("TRWAGMYFPDXBNJZSQVHLCKE",MOD(VALUE(SUBSTITUTE(SUBSTITUTE(SUBSTITUTE(LEFT(UPPER(TRIM(D489)),8),"X","0"),"Y","1"),"Z","2")),23)+1,1)=RIGHT(UPPER(TRIM(D489)),1),"OK","REVISAR"),IF(OR(RIGHT(UPPER(TRIM(D489)),1)=TEXT(MOD(10-MOD((VALUE(MID(UPPER(TRIM(D489)),3,1))+VALUE(MID(UPPER(TRIM(D489)),5,1))+VALUE(MID(UPPER(TRIM(D489)),7,1)))+(INT(2*VALUE(MID(UPPER(TRIM(D489)),2,1))/10)+MOD(2*VALUE(MID(UPPER(TRIM(D489)),2,1)),10))+(INT(2*VALUE(MID(UPPER(TRIM(D489)),4,1))/10)+MOD(2*VALUE(MID(UPPER(TRIM(D489)),4,1)),10))+(INT(2*VALUE(MID(UPPER(TRIM(D489)),6,1))/10)+MOD(2*VALUE(MID(UPPER(TRIM(D489)),6,1)),10))+(INT(2*VALUE(MID(UPPER(TRIM(D489)),8,1))/10)+MOD(2*VALUE(MID(UPPER(TRIM(D489)),8,1)),10)),10),10),"0"),RIGHT(UPPER(TRIM(D489)),1)=MID("JABCDEFGHI",MOD(10-MOD((VALUE(MID(UPPER(TRIM(D489)),3,1))+VALUE(MID(UPPER(TRIM(D489)),5,1))+VALUE(MID(UPPER(TRIM(D489)),7,1)))+(INT(2*VALUE(MID(UPPER(TRIM(D489)),2,1))/10)+MOD(2*VALUE(MID(UPPER(TRIM(D489)),2,1)),10))+(INT(2*VALUE(MID(UPPER(TRIM(D489)),4,1))/10)+MOD(2*VALUE(MID(UPPER(TRIM(D489)),4,1)),10))+(INT(2*VALUE(MID(UPPER(TRIM(D489)),6,1))/10)+MOD(2*VALUE(MID(UPPER(TRIM(D489)),6,1)),10))+(INT(2*VALUE(MID(UPPER(TRIM(D489)),8,1))/10)+MOD(2*VALUE(MID(UPPER(TRIM(D489)),8,1)),10)),10),10)+1,1)),"OK","REVISAR")),"REVISAR")))</f>
        <v/>
      </c>
      <c r="Q489">
        <f>IF(B489="","",IF(COUNTIFS($B$2:$B$501,B489,$D$2:$D$501,D489)&gt;1,"DUPLICADA",""))</f>
        <v/>
      </c>
      <c r="R489">
        <f>IF(A489="","",ROUNDUP(MONTH(A489)/3,0))</f>
        <v/>
      </c>
      <c r="S489" s="3" t="n"/>
    </row>
    <row r="490">
      <c r="A490" s="2" t="n"/>
      <c r="B490" s="3" t="n"/>
      <c r="C490" s="3" t="n"/>
      <c r="D490" s="3" t="n"/>
      <c r="E490" s="4" t="n"/>
      <c r="F490" s="4" t="n"/>
      <c r="G490" s="4" t="n"/>
      <c r="H490" s="4" t="n"/>
      <c r="I490" s="5">
        <f>IF(E490="","",ROUND(E490*0.21,2))</f>
        <v/>
      </c>
      <c r="J490" s="5">
        <f>IF(F490="","",ROUND(F490*0.1,2))</f>
        <v/>
      </c>
      <c r="K490" s="5">
        <f>IF(G490="","",ROUND(G490*0.04,2))</f>
        <v/>
      </c>
      <c r="L490" s="4" t="n"/>
      <c r="M490" s="4" t="n"/>
      <c r="N490" s="5">
        <f>IF(A490="","",SUM(E490:K490)-N(L490))</f>
        <v/>
      </c>
      <c r="O490">
        <f>IF(OR(A490="",M490=""),"",IF(ABS(M490-N490)&lt;=0.02,"OK","REVISAR"))</f>
        <v/>
      </c>
      <c r="P490">
        <f>IF(D490="","",IF(LEN(TRIM(D490))&lt;&gt;9,"REVISAR",IFERROR(IF(OR(ISNUMBER(VALUE(LEFT(UPPER(TRIM(D490)),1))),LEFT(UPPER(TRIM(D490)),1)="X",LEFT(UPPER(TRIM(D490)),1)="Y",LEFT(UPPER(TRIM(D490)),1)="Z"),IF(MID("TRWAGMYFPDXBNJZSQVHLCKE",MOD(VALUE(SUBSTITUTE(SUBSTITUTE(SUBSTITUTE(LEFT(UPPER(TRIM(D490)),8),"X","0"),"Y","1"),"Z","2")),23)+1,1)=RIGHT(UPPER(TRIM(D490)),1),"OK","REVISAR"),IF(OR(RIGHT(UPPER(TRIM(D490)),1)=TEXT(MOD(10-MOD((VALUE(MID(UPPER(TRIM(D490)),3,1))+VALUE(MID(UPPER(TRIM(D490)),5,1))+VALUE(MID(UPPER(TRIM(D490)),7,1)))+(INT(2*VALUE(MID(UPPER(TRIM(D490)),2,1))/10)+MOD(2*VALUE(MID(UPPER(TRIM(D490)),2,1)),10))+(INT(2*VALUE(MID(UPPER(TRIM(D490)),4,1))/10)+MOD(2*VALUE(MID(UPPER(TRIM(D490)),4,1)),10))+(INT(2*VALUE(MID(UPPER(TRIM(D490)),6,1))/10)+MOD(2*VALUE(MID(UPPER(TRIM(D490)),6,1)),10))+(INT(2*VALUE(MID(UPPER(TRIM(D490)),8,1))/10)+MOD(2*VALUE(MID(UPPER(TRIM(D490)),8,1)),10)),10),10),"0"),RIGHT(UPPER(TRIM(D490)),1)=MID("JABCDEFGHI",MOD(10-MOD((VALUE(MID(UPPER(TRIM(D490)),3,1))+VALUE(MID(UPPER(TRIM(D490)),5,1))+VALUE(MID(UPPER(TRIM(D490)),7,1)))+(INT(2*VALUE(MID(UPPER(TRIM(D490)),2,1))/10)+MOD(2*VALUE(MID(UPPER(TRIM(D490)),2,1)),10))+(INT(2*VALUE(MID(UPPER(TRIM(D490)),4,1))/10)+MOD(2*VALUE(MID(UPPER(TRIM(D490)),4,1)),10))+(INT(2*VALUE(MID(UPPER(TRIM(D490)),6,1))/10)+MOD(2*VALUE(MID(UPPER(TRIM(D490)),6,1)),10))+(INT(2*VALUE(MID(UPPER(TRIM(D490)),8,1))/10)+MOD(2*VALUE(MID(UPPER(TRIM(D490)),8,1)),10)),10),10)+1,1)),"OK","REVISAR")),"REVISAR")))</f>
        <v/>
      </c>
      <c r="Q490">
        <f>IF(B490="","",IF(COUNTIFS($B$2:$B$501,B490,$D$2:$D$501,D490)&gt;1,"DUPLICADA",""))</f>
        <v/>
      </c>
      <c r="R490">
        <f>IF(A490="","",ROUNDUP(MONTH(A490)/3,0))</f>
        <v/>
      </c>
      <c r="S490" s="3" t="n"/>
    </row>
    <row r="491">
      <c r="A491" s="2" t="n"/>
      <c r="B491" s="3" t="n"/>
      <c r="C491" s="3" t="n"/>
      <c r="D491" s="3" t="n"/>
      <c r="E491" s="4" t="n"/>
      <c r="F491" s="4" t="n"/>
      <c r="G491" s="4" t="n"/>
      <c r="H491" s="4" t="n"/>
      <c r="I491" s="5">
        <f>IF(E491="","",ROUND(E491*0.21,2))</f>
        <v/>
      </c>
      <c r="J491" s="5">
        <f>IF(F491="","",ROUND(F491*0.1,2))</f>
        <v/>
      </c>
      <c r="K491" s="5">
        <f>IF(G491="","",ROUND(G491*0.04,2))</f>
        <v/>
      </c>
      <c r="L491" s="4" t="n"/>
      <c r="M491" s="4" t="n"/>
      <c r="N491" s="5">
        <f>IF(A491="","",SUM(E491:K491)-N(L491))</f>
        <v/>
      </c>
      <c r="O491">
        <f>IF(OR(A491="",M491=""),"",IF(ABS(M491-N491)&lt;=0.02,"OK","REVISAR"))</f>
        <v/>
      </c>
      <c r="P491">
        <f>IF(D491="","",IF(LEN(TRIM(D491))&lt;&gt;9,"REVISAR",IFERROR(IF(OR(ISNUMBER(VALUE(LEFT(UPPER(TRIM(D491)),1))),LEFT(UPPER(TRIM(D491)),1)="X",LEFT(UPPER(TRIM(D491)),1)="Y",LEFT(UPPER(TRIM(D491)),1)="Z"),IF(MID("TRWAGMYFPDXBNJZSQVHLCKE",MOD(VALUE(SUBSTITUTE(SUBSTITUTE(SUBSTITUTE(LEFT(UPPER(TRIM(D491)),8),"X","0"),"Y","1"),"Z","2")),23)+1,1)=RIGHT(UPPER(TRIM(D491)),1),"OK","REVISAR"),IF(OR(RIGHT(UPPER(TRIM(D491)),1)=TEXT(MOD(10-MOD((VALUE(MID(UPPER(TRIM(D491)),3,1))+VALUE(MID(UPPER(TRIM(D491)),5,1))+VALUE(MID(UPPER(TRIM(D491)),7,1)))+(INT(2*VALUE(MID(UPPER(TRIM(D491)),2,1))/10)+MOD(2*VALUE(MID(UPPER(TRIM(D491)),2,1)),10))+(INT(2*VALUE(MID(UPPER(TRIM(D491)),4,1))/10)+MOD(2*VALUE(MID(UPPER(TRIM(D491)),4,1)),10))+(INT(2*VALUE(MID(UPPER(TRIM(D491)),6,1))/10)+MOD(2*VALUE(MID(UPPER(TRIM(D491)),6,1)),10))+(INT(2*VALUE(MID(UPPER(TRIM(D491)),8,1))/10)+MOD(2*VALUE(MID(UPPER(TRIM(D491)),8,1)),10)),10),10),"0"),RIGHT(UPPER(TRIM(D491)),1)=MID("JABCDEFGHI",MOD(10-MOD((VALUE(MID(UPPER(TRIM(D491)),3,1))+VALUE(MID(UPPER(TRIM(D491)),5,1))+VALUE(MID(UPPER(TRIM(D491)),7,1)))+(INT(2*VALUE(MID(UPPER(TRIM(D491)),2,1))/10)+MOD(2*VALUE(MID(UPPER(TRIM(D491)),2,1)),10))+(INT(2*VALUE(MID(UPPER(TRIM(D491)),4,1))/10)+MOD(2*VALUE(MID(UPPER(TRIM(D491)),4,1)),10))+(INT(2*VALUE(MID(UPPER(TRIM(D491)),6,1))/10)+MOD(2*VALUE(MID(UPPER(TRIM(D491)),6,1)),10))+(INT(2*VALUE(MID(UPPER(TRIM(D491)),8,1))/10)+MOD(2*VALUE(MID(UPPER(TRIM(D491)),8,1)),10)),10),10)+1,1)),"OK","REVISAR")),"REVISAR")))</f>
        <v/>
      </c>
      <c r="Q491">
        <f>IF(B491="","",IF(COUNTIFS($B$2:$B$501,B491,$D$2:$D$501,D491)&gt;1,"DUPLICADA",""))</f>
        <v/>
      </c>
      <c r="R491">
        <f>IF(A491="","",ROUNDUP(MONTH(A491)/3,0))</f>
        <v/>
      </c>
      <c r="S491" s="3" t="n"/>
    </row>
    <row r="492">
      <c r="A492" s="2" t="n"/>
      <c r="B492" s="3" t="n"/>
      <c r="C492" s="3" t="n"/>
      <c r="D492" s="3" t="n"/>
      <c r="E492" s="4" t="n"/>
      <c r="F492" s="4" t="n"/>
      <c r="G492" s="4" t="n"/>
      <c r="H492" s="4" t="n"/>
      <c r="I492" s="5">
        <f>IF(E492="","",ROUND(E492*0.21,2))</f>
        <v/>
      </c>
      <c r="J492" s="5">
        <f>IF(F492="","",ROUND(F492*0.1,2))</f>
        <v/>
      </c>
      <c r="K492" s="5">
        <f>IF(G492="","",ROUND(G492*0.04,2))</f>
        <v/>
      </c>
      <c r="L492" s="4" t="n"/>
      <c r="M492" s="4" t="n"/>
      <c r="N492" s="5">
        <f>IF(A492="","",SUM(E492:K492)-N(L492))</f>
        <v/>
      </c>
      <c r="O492">
        <f>IF(OR(A492="",M492=""),"",IF(ABS(M492-N492)&lt;=0.02,"OK","REVISAR"))</f>
        <v/>
      </c>
      <c r="P492">
        <f>IF(D492="","",IF(LEN(TRIM(D492))&lt;&gt;9,"REVISAR",IFERROR(IF(OR(ISNUMBER(VALUE(LEFT(UPPER(TRIM(D492)),1))),LEFT(UPPER(TRIM(D492)),1)="X",LEFT(UPPER(TRIM(D492)),1)="Y",LEFT(UPPER(TRIM(D492)),1)="Z"),IF(MID("TRWAGMYFPDXBNJZSQVHLCKE",MOD(VALUE(SUBSTITUTE(SUBSTITUTE(SUBSTITUTE(LEFT(UPPER(TRIM(D492)),8),"X","0"),"Y","1"),"Z","2")),23)+1,1)=RIGHT(UPPER(TRIM(D492)),1),"OK","REVISAR"),IF(OR(RIGHT(UPPER(TRIM(D492)),1)=TEXT(MOD(10-MOD((VALUE(MID(UPPER(TRIM(D492)),3,1))+VALUE(MID(UPPER(TRIM(D492)),5,1))+VALUE(MID(UPPER(TRIM(D492)),7,1)))+(INT(2*VALUE(MID(UPPER(TRIM(D492)),2,1))/10)+MOD(2*VALUE(MID(UPPER(TRIM(D492)),2,1)),10))+(INT(2*VALUE(MID(UPPER(TRIM(D492)),4,1))/10)+MOD(2*VALUE(MID(UPPER(TRIM(D492)),4,1)),10))+(INT(2*VALUE(MID(UPPER(TRIM(D492)),6,1))/10)+MOD(2*VALUE(MID(UPPER(TRIM(D492)),6,1)),10))+(INT(2*VALUE(MID(UPPER(TRIM(D492)),8,1))/10)+MOD(2*VALUE(MID(UPPER(TRIM(D492)),8,1)),10)),10),10),"0"),RIGHT(UPPER(TRIM(D492)),1)=MID("JABCDEFGHI",MOD(10-MOD((VALUE(MID(UPPER(TRIM(D492)),3,1))+VALUE(MID(UPPER(TRIM(D492)),5,1))+VALUE(MID(UPPER(TRIM(D492)),7,1)))+(INT(2*VALUE(MID(UPPER(TRIM(D492)),2,1))/10)+MOD(2*VALUE(MID(UPPER(TRIM(D492)),2,1)),10))+(INT(2*VALUE(MID(UPPER(TRIM(D492)),4,1))/10)+MOD(2*VALUE(MID(UPPER(TRIM(D492)),4,1)),10))+(INT(2*VALUE(MID(UPPER(TRIM(D492)),6,1))/10)+MOD(2*VALUE(MID(UPPER(TRIM(D492)),6,1)),10))+(INT(2*VALUE(MID(UPPER(TRIM(D492)),8,1))/10)+MOD(2*VALUE(MID(UPPER(TRIM(D492)),8,1)),10)),10),10)+1,1)),"OK","REVISAR")),"REVISAR")))</f>
        <v/>
      </c>
      <c r="Q492">
        <f>IF(B492="","",IF(COUNTIFS($B$2:$B$501,B492,$D$2:$D$501,D492)&gt;1,"DUPLICADA",""))</f>
        <v/>
      </c>
      <c r="R492">
        <f>IF(A492="","",ROUNDUP(MONTH(A492)/3,0))</f>
        <v/>
      </c>
      <c r="S492" s="3" t="n"/>
    </row>
    <row r="493">
      <c r="A493" s="2" t="n"/>
      <c r="B493" s="3" t="n"/>
      <c r="C493" s="3" t="n"/>
      <c r="D493" s="3" t="n"/>
      <c r="E493" s="4" t="n"/>
      <c r="F493" s="4" t="n"/>
      <c r="G493" s="4" t="n"/>
      <c r="H493" s="4" t="n"/>
      <c r="I493" s="5">
        <f>IF(E493="","",ROUND(E493*0.21,2))</f>
        <v/>
      </c>
      <c r="J493" s="5">
        <f>IF(F493="","",ROUND(F493*0.1,2))</f>
        <v/>
      </c>
      <c r="K493" s="5">
        <f>IF(G493="","",ROUND(G493*0.04,2))</f>
        <v/>
      </c>
      <c r="L493" s="4" t="n"/>
      <c r="M493" s="4" t="n"/>
      <c r="N493" s="5">
        <f>IF(A493="","",SUM(E493:K493)-N(L493))</f>
        <v/>
      </c>
      <c r="O493">
        <f>IF(OR(A493="",M493=""),"",IF(ABS(M493-N493)&lt;=0.02,"OK","REVISAR"))</f>
        <v/>
      </c>
      <c r="P493">
        <f>IF(D493="","",IF(LEN(TRIM(D493))&lt;&gt;9,"REVISAR",IFERROR(IF(OR(ISNUMBER(VALUE(LEFT(UPPER(TRIM(D493)),1))),LEFT(UPPER(TRIM(D493)),1)="X",LEFT(UPPER(TRIM(D493)),1)="Y",LEFT(UPPER(TRIM(D493)),1)="Z"),IF(MID("TRWAGMYFPDXBNJZSQVHLCKE",MOD(VALUE(SUBSTITUTE(SUBSTITUTE(SUBSTITUTE(LEFT(UPPER(TRIM(D493)),8),"X","0"),"Y","1"),"Z","2")),23)+1,1)=RIGHT(UPPER(TRIM(D493)),1),"OK","REVISAR"),IF(OR(RIGHT(UPPER(TRIM(D493)),1)=TEXT(MOD(10-MOD((VALUE(MID(UPPER(TRIM(D493)),3,1))+VALUE(MID(UPPER(TRIM(D493)),5,1))+VALUE(MID(UPPER(TRIM(D493)),7,1)))+(INT(2*VALUE(MID(UPPER(TRIM(D493)),2,1))/10)+MOD(2*VALUE(MID(UPPER(TRIM(D493)),2,1)),10))+(INT(2*VALUE(MID(UPPER(TRIM(D493)),4,1))/10)+MOD(2*VALUE(MID(UPPER(TRIM(D493)),4,1)),10))+(INT(2*VALUE(MID(UPPER(TRIM(D493)),6,1))/10)+MOD(2*VALUE(MID(UPPER(TRIM(D493)),6,1)),10))+(INT(2*VALUE(MID(UPPER(TRIM(D493)),8,1))/10)+MOD(2*VALUE(MID(UPPER(TRIM(D493)),8,1)),10)),10),10),"0"),RIGHT(UPPER(TRIM(D493)),1)=MID("JABCDEFGHI",MOD(10-MOD((VALUE(MID(UPPER(TRIM(D493)),3,1))+VALUE(MID(UPPER(TRIM(D493)),5,1))+VALUE(MID(UPPER(TRIM(D493)),7,1)))+(INT(2*VALUE(MID(UPPER(TRIM(D493)),2,1))/10)+MOD(2*VALUE(MID(UPPER(TRIM(D493)),2,1)),10))+(INT(2*VALUE(MID(UPPER(TRIM(D493)),4,1))/10)+MOD(2*VALUE(MID(UPPER(TRIM(D493)),4,1)),10))+(INT(2*VALUE(MID(UPPER(TRIM(D493)),6,1))/10)+MOD(2*VALUE(MID(UPPER(TRIM(D493)),6,1)),10))+(INT(2*VALUE(MID(UPPER(TRIM(D493)),8,1))/10)+MOD(2*VALUE(MID(UPPER(TRIM(D493)),8,1)),10)),10),10)+1,1)),"OK","REVISAR")),"REVISAR")))</f>
        <v/>
      </c>
      <c r="Q493">
        <f>IF(B493="","",IF(COUNTIFS($B$2:$B$501,B493,$D$2:$D$501,D493)&gt;1,"DUPLICADA",""))</f>
        <v/>
      </c>
      <c r="R493">
        <f>IF(A493="","",ROUNDUP(MONTH(A493)/3,0))</f>
        <v/>
      </c>
      <c r="S493" s="3" t="n"/>
    </row>
    <row r="494">
      <c r="A494" s="2" t="n"/>
      <c r="B494" s="3" t="n"/>
      <c r="C494" s="3" t="n"/>
      <c r="D494" s="3" t="n"/>
      <c r="E494" s="4" t="n"/>
      <c r="F494" s="4" t="n"/>
      <c r="G494" s="4" t="n"/>
      <c r="H494" s="4" t="n"/>
      <c r="I494" s="5">
        <f>IF(E494="","",ROUND(E494*0.21,2))</f>
        <v/>
      </c>
      <c r="J494" s="5">
        <f>IF(F494="","",ROUND(F494*0.1,2))</f>
        <v/>
      </c>
      <c r="K494" s="5">
        <f>IF(G494="","",ROUND(G494*0.04,2))</f>
        <v/>
      </c>
      <c r="L494" s="4" t="n"/>
      <c r="M494" s="4" t="n"/>
      <c r="N494" s="5">
        <f>IF(A494="","",SUM(E494:K494)-N(L494))</f>
        <v/>
      </c>
      <c r="O494">
        <f>IF(OR(A494="",M494=""),"",IF(ABS(M494-N494)&lt;=0.02,"OK","REVISAR"))</f>
        <v/>
      </c>
      <c r="P494">
        <f>IF(D494="","",IF(LEN(TRIM(D494))&lt;&gt;9,"REVISAR",IFERROR(IF(OR(ISNUMBER(VALUE(LEFT(UPPER(TRIM(D494)),1))),LEFT(UPPER(TRIM(D494)),1)="X",LEFT(UPPER(TRIM(D494)),1)="Y",LEFT(UPPER(TRIM(D494)),1)="Z"),IF(MID("TRWAGMYFPDXBNJZSQVHLCKE",MOD(VALUE(SUBSTITUTE(SUBSTITUTE(SUBSTITUTE(LEFT(UPPER(TRIM(D494)),8),"X","0"),"Y","1"),"Z","2")),23)+1,1)=RIGHT(UPPER(TRIM(D494)),1),"OK","REVISAR"),IF(OR(RIGHT(UPPER(TRIM(D494)),1)=TEXT(MOD(10-MOD((VALUE(MID(UPPER(TRIM(D494)),3,1))+VALUE(MID(UPPER(TRIM(D494)),5,1))+VALUE(MID(UPPER(TRIM(D494)),7,1)))+(INT(2*VALUE(MID(UPPER(TRIM(D494)),2,1))/10)+MOD(2*VALUE(MID(UPPER(TRIM(D494)),2,1)),10))+(INT(2*VALUE(MID(UPPER(TRIM(D494)),4,1))/10)+MOD(2*VALUE(MID(UPPER(TRIM(D494)),4,1)),10))+(INT(2*VALUE(MID(UPPER(TRIM(D494)),6,1))/10)+MOD(2*VALUE(MID(UPPER(TRIM(D494)),6,1)),10))+(INT(2*VALUE(MID(UPPER(TRIM(D494)),8,1))/10)+MOD(2*VALUE(MID(UPPER(TRIM(D494)),8,1)),10)),10),10),"0"),RIGHT(UPPER(TRIM(D494)),1)=MID("JABCDEFGHI",MOD(10-MOD((VALUE(MID(UPPER(TRIM(D494)),3,1))+VALUE(MID(UPPER(TRIM(D494)),5,1))+VALUE(MID(UPPER(TRIM(D494)),7,1)))+(INT(2*VALUE(MID(UPPER(TRIM(D494)),2,1))/10)+MOD(2*VALUE(MID(UPPER(TRIM(D494)),2,1)),10))+(INT(2*VALUE(MID(UPPER(TRIM(D494)),4,1))/10)+MOD(2*VALUE(MID(UPPER(TRIM(D494)),4,1)),10))+(INT(2*VALUE(MID(UPPER(TRIM(D494)),6,1))/10)+MOD(2*VALUE(MID(UPPER(TRIM(D494)),6,1)),10))+(INT(2*VALUE(MID(UPPER(TRIM(D494)),8,1))/10)+MOD(2*VALUE(MID(UPPER(TRIM(D494)),8,1)),10)),10),10)+1,1)),"OK","REVISAR")),"REVISAR")))</f>
        <v/>
      </c>
      <c r="Q494">
        <f>IF(B494="","",IF(COUNTIFS($B$2:$B$501,B494,$D$2:$D$501,D494)&gt;1,"DUPLICADA",""))</f>
        <v/>
      </c>
      <c r="R494">
        <f>IF(A494="","",ROUNDUP(MONTH(A494)/3,0))</f>
        <v/>
      </c>
      <c r="S494" s="3" t="n"/>
    </row>
    <row r="495">
      <c r="A495" s="2" t="n"/>
      <c r="B495" s="3" t="n"/>
      <c r="C495" s="3" t="n"/>
      <c r="D495" s="3" t="n"/>
      <c r="E495" s="4" t="n"/>
      <c r="F495" s="4" t="n"/>
      <c r="G495" s="4" t="n"/>
      <c r="H495" s="4" t="n"/>
      <c r="I495" s="5">
        <f>IF(E495="","",ROUND(E495*0.21,2))</f>
        <v/>
      </c>
      <c r="J495" s="5">
        <f>IF(F495="","",ROUND(F495*0.1,2))</f>
        <v/>
      </c>
      <c r="K495" s="5">
        <f>IF(G495="","",ROUND(G495*0.04,2))</f>
        <v/>
      </c>
      <c r="L495" s="4" t="n"/>
      <c r="M495" s="4" t="n"/>
      <c r="N495" s="5">
        <f>IF(A495="","",SUM(E495:K495)-N(L495))</f>
        <v/>
      </c>
      <c r="O495">
        <f>IF(OR(A495="",M495=""),"",IF(ABS(M495-N495)&lt;=0.02,"OK","REVISAR"))</f>
        <v/>
      </c>
      <c r="P495">
        <f>IF(D495="","",IF(LEN(TRIM(D495))&lt;&gt;9,"REVISAR",IFERROR(IF(OR(ISNUMBER(VALUE(LEFT(UPPER(TRIM(D495)),1))),LEFT(UPPER(TRIM(D495)),1)="X",LEFT(UPPER(TRIM(D495)),1)="Y",LEFT(UPPER(TRIM(D495)),1)="Z"),IF(MID("TRWAGMYFPDXBNJZSQVHLCKE",MOD(VALUE(SUBSTITUTE(SUBSTITUTE(SUBSTITUTE(LEFT(UPPER(TRIM(D495)),8),"X","0"),"Y","1"),"Z","2")),23)+1,1)=RIGHT(UPPER(TRIM(D495)),1),"OK","REVISAR"),IF(OR(RIGHT(UPPER(TRIM(D495)),1)=TEXT(MOD(10-MOD((VALUE(MID(UPPER(TRIM(D495)),3,1))+VALUE(MID(UPPER(TRIM(D495)),5,1))+VALUE(MID(UPPER(TRIM(D495)),7,1)))+(INT(2*VALUE(MID(UPPER(TRIM(D495)),2,1))/10)+MOD(2*VALUE(MID(UPPER(TRIM(D495)),2,1)),10))+(INT(2*VALUE(MID(UPPER(TRIM(D495)),4,1))/10)+MOD(2*VALUE(MID(UPPER(TRIM(D495)),4,1)),10))+(INT(2*VALUE(MID(UPPER(TRIM(D495)),6,1))/10)+MOD(2*VALUE(MID(UPPER(TRIM(D495)),6,1)),10))+(INT(2*VALUE(MID(UPPER(TRIM(D495)),8,1))/10)+MOD(2*VALUE(MID(UPPER(TRIM(D495)),8,1)),10)),10),10),"0"),RIGHT(UPPER(TRIM(D495)),1)=MID("JABCDEFGHI",MOD(10-MOD((VALUE(MID(UPPER(TRIM(D495)),3,1))+VALUE(MID(UPPER(TRIM(D495)),5,1))+VALUE(MID(UPPER(TRIM(D495)),7,1)))+(INT(2*VALUE(MID(UPPER(TRIM(D495)),2,1))/10)+MOD(2*VALUE(MID(UPPER(TRIM(D495)),2,1)),10))+(INT(2*VALUE(MID(UPPER(TRIM(D495)),4,1))/10)+MOD(2*VALUE(MID(UPPER(TRIM(D495)),4,1)),10))+(INT(2*VALUE(MID(UPPER(TRIM(D495)),6,1))/10)+MOD(2*VALUE(MID(UPPER(TRIM(D495)),6,1)),10))+(INT(2*VALUE(MID(UPPER(TRIM(D495)),8,1))/10)+MOD(2*VALUE(MID(UPPER(TRIM(D495)),8,1)),10)),10),10)+1,1)),"OK","REVISAR")),"REVISAR")))</f>
        <v/>
      </c>
      <c r="Q495">
        <f>IF(B495="","",IF(COUNTIFS($B$2:$B$501,B495,$D$2:$D$501,D495)&gt;1,"DUPLICADA",""))</f>
        <v/>
      </c>
      <c r="R495">
        <f>IF(A495="","",ROUNDUP(MONTH(A495)/3,0))</f>
        <v/>
      </c>
      <c r="S495" s="3" t="n"/>
    </row>
    <row r="496">
      <c r="A496" s="2" t="n"/>
      <c r="B496" s="3" t="n"/>
      <c r="C496" s="3" t="n"/>
      <c r="D496" s="3" t="n"/>
      <c r="E496" s="4" t="n"/>
      <c r="F496" s="4" t="n"/>
      <c r="G496" s="4" t="n"/>
      <c r="H496" s="4" t="n"/>
      <c r="I496" s="5">
        <f>IF(E496="","",ROUND(E496*0.21,2))</f>
        <v/>
      </c>
      <c r="J496" s="5">
        <f>IF(F496="","",ROUND(F496*0.1,2))</f>
        <v/>
      </c>
      <c r="K496" s="5">
        <f>IF(G496="","",ROUND(G496*0.04,2))</f>
        <v/>
      </c>
      <c r="L496" s="4" t="n"/>
      <c r="M496" s="4" t="n"/>
      <c r="N496" s="5">
        <f>IF(A496="","",SUM(E496:K496)-N(L496))</f>
        <v/>
      </c>
      <c r="O496">
        <f>IF(OR(A496="",M496=""),"",IF(ABS(M496-N496)&lt;=0.02,"OK","REVISAR"))</f>
        <v/>
      </c>
      <c r="P496">
        <f>IF(D496="","",IF(LEN(TRIM(D496))&lt;&gt;9,"REVISAR",IFERROR(IF(OR(ISNUMBER(VALUE(LEFT(UPPER(TRIM(D496)),1))),LEFT(UPPER(TRIM(D496)),1)="X",LEFT(UPPER(TRIM(D496)),1)="Y",LEFT(UPPER(TRIM(D496)),1)="Z"),IF(MID("TRWAGMYFPDXBNJZSQVHLCKE",MOD(VALUE(SUBSTITUTE(SUBSTITUTE(SUBSTITUTE(LEFT(UPPER(TRIM(D496)),8),"X","0"),"Y","1"),"Z","2")),23)+1,1)=RIGHT(UPPER(TRIM(D496)),1),"OK","REVISAR"),IF(OR(RIGHT(UPPER(TRIM(D496)),1)=TEXT(MOD(10-MOD((VALUE(MID(UPPER(TRIM(D496)),3,1))+VALUE(MID(UPPER(TRIM(D496)),5,1))+VALUE(MID(UPPER(TRIM(D496)),7,1)))+(INT(2*VALUE(MID(UPPER(TRIM(D496)),2,1))/10)+MOD(2*VALUE(MID(UPPER(TRIM(D496)),2,1)),10))+(INT(2*VALUE(MID(UPPER(TRIM(D496)),4,1))/10)+MOD(2*VALUE(MID(UPPER(TRIM(D496)),4,1)),10))+(INT(2*VALUE(MID(UPPER(TRIM(D496)),6,1))/10)+MOD(2*VALUE(MID(UPPER(TRIM(D496)),6,1)),10))+(INT(2*VALUE(MID(UPPER(TRIM(D496)),8,1))/10)+MOD(2*VALUE(MID(UPPER(TRIM(D496)),8,1)),10)),10),10),"0"),RIGHT(UPPER(TRIM(D496)),1)=MID("JABCDEFGHI",MOD(10-MOD((VALUE(MID(UPPER(TRIM(D496)),3,1))+VALUE(MID(UPPER(TRIM(D496)),5,1))+VALUE(MID(UPPER(TRIM(D496)),7,1)))+(INT(2*VALUE(MID(UPPER(TRIM(D496)),2,1))/10)+MOD(2*VALUE(MID(UPPER(TRIM(D496)),2,1)),10))+(INT(2*VALUE(MID(UPPER(TRIM(D496)),4,1))/10)+MOD(2*VALUE(MID(UPPER(TRIM(D496)),4,1)),10))+(INT(2*VALUE(MID(UPPER(TRIM(D496)),6,1))/10)+MOD(2*VALUE(MID(UPPER(TRIM(D496)),6,1)),10))+(INT(2*VALUE(MID(UPPER(TRIM(D496)),8,1))/10)+MOD(2*VALUE(MID(UPPER(TRIM(D496)),8,1)),10)),10),10)+1,1)),"OK","REVISAR")),"REVISAR")))</f>
        <v/>
      </c>
      <c r="Q496">
        <f>IF(B496="","",IF(COUNTIFS($B$2:$B$501,B496,$D$2:$D$501,D496)&gt;1,"DUPLICADA",""))</f>
        <v/>
      </c>
      <c r="R496">
        <f>IF(A496="","",ROUNDUP(MONTH(A496)/3,0))</f>
        <v/>
      </c>
      <c r="S496" s="3" t="n"/>
    </row>
    <row r="497">
      <c r="A497" s="2" t="n"/>
      <c r="B497" s="3" t="n"/>
      <c r="C497" s="3" t="n"/>
      <c r="D497" s="3" t="n"/>
      <c r="E497" s="4" t="n"/>
      <c r="F497" s="4" t="n"/>
      <c r="G497" s="4" t="n"/>
      <c r="H497" s="4" t="n"/>
      <c r="I497" s="5">
        <f>IF(E497="","",ROUND(E497*0.21,2))</f>
        <v/>
      </c>
      <c r="J497" s="5">
        <f>IF(F497="","",ROUND(F497*0.1,2))</f>
        <v/>
      </c>
      <c r="K497" s="5">
        <f>IF(G497="","",ROUND(G497*0.04,2))</f>
        <v/>
      </c>
      <c r="L497" s="4" t="n"/>
      <c r="M497" s="4" t="n"/>
      <c r="N497" s="5">
        <f>IF(A497="","",SUM(E497:K497)-N(L497))</f>
        <v/>
      </c>
      <c r="O497">
        <f>IF(OR(A497="",M497=""),"",IF(ABS(M497-N497)&lt;=0.02,"OK","REVISAR"))</f>
        <v/>
      </c>
      <c r="P497">
        <f>IF(D497="","",IF(LEN(TRIM(D497))&lt;&gt;9,"REVISAR",IFERROR(IF(OR(ISNUMBER(VALUE(LEFT(UPPER(TRIM(D497)),1))),LEFT(UPPER(TRIM(D497)),1)="X",LEFT(UPPER(TRIM(D497)),1)="Y",LEFT(UPPER(TRIM(D497)),1)="Z"),IF(MID("TRWAGMYFPDXBNJZSQVHLCKE",MOD(VALUE(SUBSTITUTE(SUBSTITUTE(SUBSTITUTE(LEFT(UPPER(TRIM(D497)),8),"X","0"),"Y","1"),"Z","2")),23)+1,1)=RIGHT(UPPER(TRIM(D497)),1),"OK","REVISAR"),IF(OR(RIGHT(UPPER(TRIM(D497)),1)=TEXT(MOD(10-MOD((VALUE(MID(UPPER(TRIM(D497)),3,1))+VALUE(MID(UPPER(TRIM(D497)),5,1))+VALUE(MID(UPPER(TRIM(D497)),7,1)))+(INT(2*VALUE(MID(UPPER(TRIM(D497)),2,1))/10)+MOD(2*VALUE(MID(UPPER(TRIM(D497)),2,1)),10))+(INT(2*VALUE(MID(UPPER(TRIM(D497)),4,1))/10)+MOD(2*VALUE(MID(UPPER(TRIM(D497)),4,1)),10))+(INT(2*VALUE(MID(UPPER(TRIM(D497)),6,1))/10)+MOD(2*VALUE(MID(UPPER(TRIM(D497)),6,1)),10))+(INT(2*VALUE(MID(UPPER(TRIM(D497)),8,1))/10)+MOD(2*VALUE(MID(UPPER(TRIM(D497)),8,1)),10)),10),10),"0"),RIGHT(UPPER(TRIM(D497)),1)=MID("JABCDEFGHI",MOD(10-MOD((VALUE(MID(UPPER(TRIM(D497)),3,1))+VALUE(MID(UPPER(TRIM(D497)),5,1))+VALUE(MID(UPPER(TRIM(D497)),7,1)))+(INT(2*VALUE(MID(UPPER(TRIM(D497)),2,1))/10)+MOD(2*VALUE(MID(UPPER(TRIM(D497)),2,1)),10))+(INT(2*VALUE(MID(UPPER(TRIM(D497)),4,1))/10)+MOD(2*VALUE(MID(UPPER(TRIM(D497)),4,1)),10))+(INT(2*VALUE(MID(UPPER(TRIM(D497)),6,1))/10)+MOD(2*VALUE(MID(UPPER(TRIM(D497)),6,1)),10))+(INT(2*VALUE(MID(UPPER(TRIM(D497)),8,1))/10)+MOD(2*VALUE(MID(UPPER(TRIM(D497)),8,1)),10)),10),10)+1,1)),"OK","REVISAR")),"REVISAR")))</f>
        <v/>
      </c>
      <c r="Q497">
        <f>IF(B497="","",IF(COUNTIFS($B$2:$B$501,B497,$D$2:$D$501,D497)&gt;1,"DUPLICADA",""))</f>
        <v/>
      </c>
      <c r="R497">
        <f>IF(A497="","",ROUNDUP(MONTH(A497)/3,0))</f>
        <v/>
      </c>
      <c r="S497" s="3" t="n"/>
    </row>
    <row r="498">
      <c r="A498" s="2" t="n"/>
      <c r="B498" s="3" t="n"/>
      <c r="C498" s="3" t="n"/>
      <c r="D498" s="3" t="n"/>
      <c r="E498" s="4" t="n"/>
      <c r="F498" s="4" t="n"/>
      <c r="G498" s="4" t="n"/>
      <c r="H498" s="4" t="n"/>
      <c r="I498" s="5">
        <f>IF(E498="","",ROUND(E498*0.21,2))</f>
        <v/>
      </c>
      <c r="J498" s="5">
        <f>IF(F498="","",ROUND(F498*0.1,2))</f>
        <v/>
      </c>
      <c r="K498" s="5">
        <f>IF(G498="","",ROUND(G498*0.04,2))</f>
        <v/>
      </c>
      <c r="L498" s="4" t="n"/>
      <c r="M498" s="4" t="n"/>
      <c r="N498" s="5">
        <f>IF(A498="","",SUM(E498:K498)-N(L498))</f>
        <v/>
      </c>
      <c r="O498">
        <f>IF(OR(A498="",M498=""),"",IF(ABS(M498-N498)&lt;=0.02,"OK","REVISAR"))</f>
        <v/>
      </c>
      <c r="P498">
        <f>IF(D498="","",IF(LEN(TRIM(D498))&lt;&gt;9,"REVISAR",IFERROR(IF(OR(ISNUMBER(VALUE(LEFT(UPPER(TRIM(D498)),1))),LEFT(UPPER(TRIM(D498)),1)="X",LEFT(UPPER(TRIM(D498)),1)="Y",LEFT(UPPER(TRIM(D498)),1)="Z"),IF(MID("TRWAGMYFPDXBNJZSQVHLCKE",MOD(VALUE(SUBSTITUTE(SUBSTITUTE(SUBSTITUTE(LEFT(UPPER(TRIM(D498)),8),"X","0"),"Y","1"),"Z","2")),23)+1,1)=RIGHT(UPPER(TRIM(D498)),1),"OK","REVISAR"),IF(OR(RIGHT(UPPER(TRIM(D498)),1)=TEXT(MOD(10-MOD((VALUE(MID(UPPER(TRIM(D498)),3,1))+VALUE(MID(UPPER(TRIM(D498)),5,1))+VALUE(MID(UPPER(TRIM(D498)),7,1)))+(INT(2*VALUE(MID(UPPER(TRIM(D498)),2,1))/10)+MOD(2*VALUE(MID(UPPER(TRIM(D498)),2,1)),10))+(INT(2*VALUE(MID(UPPER(TRIM(D498)),4,1))/10)+MOD(2*VALUE(MID(UPPER(TRIM(D498)),4,1)),10))+(INT(2*VALUE(MID(UPPER(TRIM(D498)),6,1))/10)+MOD(2*VALUE(MID(UPPER(TRIM(D498)),6,1)),10))+(INT(2*VALUE(MID(UPPER(TRIM(D498)),8,1))/10)+MOD(2*VALUE(MID(UPPER(TRIM(D498)),8,1)),10)),10),10),"0"),RIGHT(UPPER(TRIM(D498)),1)=MID("JABCDEFGHI",MOD(10-MOD((VALUE(MID(UPPER(TRIM(D498)),3,1))+VALUE(MID(UPPER(TRIM(D498)),5,1))+VALUE(MID(UPPER(TRIM(D498)),7,1)))+(INT(2*VALUE(MID(UPPER(TRIM(D498)),2,1))/10)+MOD(2*VALUE(MID(UPPER(TRIM(D498)),2,1)),10))+(INT(2*VALUE(MID(UPPER(TRIM(D498)),4,1))/10)+MOD(2*VALUE(MID(UPPER(TRIM(D498)),4,1)),10))+(INT(2*VALUE(MID(UPPER(TRIM(D498)),6,1))/10)+MOD(2*VALUE(MID(UPPER(TRIM(D498)),6,1)),10))+(INT(2*VALUE(MID(UPPER(TRIM(D498)),8,1))/10)+MOD(2*VALUE(MID(UPPER(TRIM(D498)),8,1)),10)),10),10)+1,1)),"OK","REVISAR")),"REVISAR")))</f>
        <v/>
      </c>
      <c r="Q498">
        <f>IF(B498="","",IF(COUNTIFS($B$2:$B$501,B498,$D$2:$D$501,D498)&gt;1,"DUPLICADA",""))</f>
        <v/>
      </c>
      <c r="R498">
        <f>IF(A498="","",ROUNDUP(MONTH(A498)/3,0))</f>
        <v/>
      </c>
      <c r="S498" s="3" t="n"/>
    </row>
    <row r="499">
      <c r="A499" s="2" t="n"/>
      <c r="B499" s="3" t="n"/>
      <c r="C499" s="3" t="n"/>
      <c r="D499" s="3" t="n"/>
      <c r="E499" s="4" t="n"/>
      <c r="F499" s="4" t="n"/>
      <c r="G499" s="4" t="n"/>
      <c r="H499" s="4" t="n"/>
      <c r="I499" s="5">
        <f>IF(E499="","",ROUND(E499*0.21,2))</f>
        <v/>
      </c>
      <c r="J499" s="5">
        <f>IF(F499="","",ROUND(F499*0.1,2))</f>
        <v/>
      </c>
      <c r="K499" s="5">
        <f>IF(G499="","",ROUND(G499*0.04,2))</f>
        <v/>
      </c>
      <c r="L499" s="4" t="n"/>
      <c r="M499" s="4" t="n"/>
      <c r="N499" s="5">
        <f>IF(A499="","",SUM(E499:K499)-N(L499))</f>
        <v/>
      </c>
      <c r="O499">
        <f>IF(OR(A499="",M499=""),"",IF(ABS(M499-N499)&lt;=0.02,"OK","REVISAR"))</f>
        <v/>
      </c>
      <c r="P499">
        <f>IF(D499="","",IF(LEN(TRIM(D499))&lt;&gt;9,"REVISAR",IFERROR(IF(OR(ISNUMBER(VALUE(LEFT(UPPER(TRIM(D499)),1))),LEFT(UPPER(TRIM(D499)),1)="X",LEFT(UPPER(TRIM(D499)),1)="Y",LEFT(UPPER(TRIM(D499)),1)="Z"),IF(MID("TRWAGMYFPDXBNJZSQVHLCKE",MOD(VALUE(SUBSTITUTE(SUBSTITUTE(SUBSTITUTE(LEFT(UPPER(TRIM(D499)),8),"X","0"),"Y","1"),"Z","2")),23)+1,1)=RIGHT(UPPER(TRIM(D499)),1),"OK","REVISAR"),IF(OR(RIGHT(UPPER(TRIM(D499)),1)=TEXT(MOD(10-MOD((VALUE(MID(UPPER(TRIM(D499)),3,1))+VALUE(MID(UPPER(TRIM(D499)),5,1))+VALUE(MID(UPPER(TRIM(D499)),7,1)))+(INT(2*VALUE(MID(UPPER(TRIM(D499)),2,1))/10)+MOD(2*VALUE(MID(UPPER(TRIM(D499)),2,1)),10))+(INT(2*VALUE(MID(UPPER(TRIM(D499)),4,1))/10)+MOD(2*VALUE(MID(UPPER(TRIM(D499)),4,1)),10))+(INT(2*VALUE(MID(UPPER(TRIM(D499)),6,1))/10)+MOD(2*VALUE(MID(UPPER(TRIM(D499)),6,1)),10))+(INT(2*VALUE(MID(UPPER(TRIM(D499)),8,1))/10)+MOD(2*VALUE(MID(UPPER(TRIM(D499)),8,1)),10)),10),10),"0"),RIGHT(UPPER(TRIM(D499)),1)=MID("JABCDEFGHI",MOD(10-MOD((VALUE(MID(UPPER(TRIM(D499)),3,1))+VALUE(MID(UPPER(TRIM(D499)),5,1))+VALUE(MID(UPPER(TRIM(D499)),7,1)))+(INT(2*VALUE(MID(UPPER(TRIM(D499)),2,1))/10)+MOD(2*VALUE(MID(UPPER(TRIM(D499)),2,1)),10))+(INT(2*VALUE(MID(UPPER(TRIM(D499)),4,1))/10)+MOD(2*VALUE(MID(UPPER(TRIM(D499)),4,1)),10))+(INT(2*VALUE(MID(UPPER(TRIM(D499)),6,1))/10)+MOD(2*VALUE(MID(UPPER(TRIM(D499)),6,1)),10))+(INT(2*VALUE(MID(UPPER(TRIM(D499)),8,1))/10)+MOD(2*VALUE(MID(UPPER(TRIM(D499)),8,1)),10)),10),10)+1,1)),"OK","REVISAR")),"REVISAR")))</f>
        <v/>
      </c>
      <c r="Q499">
        <f>IF(B499="","",IF(COUNTIFS($B$2:$B$501,B499,$D$2:$D$501,D499)&gt;1,"DUPLICADA",""))</f>
        <v/>
      </c>
      <c r="R499">
        <f>IF(A499="","",ROUNDUP(MONTH(A499)/3,0))</f>
        <v/>
      </c>
      <c r="S499" s="3" t="n"/>
    </row>
    <row r="500">
      <c r="A500" s="2" t="n"/>
      <c r="B500" s="3" t="n"/>
      <c r="C500" s="3" t="n"/>
      <c r="D500" s="3" t="n"/>
      <c r="E500" s="4" t="n"/>
      <c r="F500" s="4" t="n"/>
      <c r="G500" s="4" t="n"/>
      <c r="H500" s="4" t="n"/>
      <c r="I500" s="5">
        <f>IF(E500="","",ROUND(E500*0.21,2))</f>
        <v/>
      </c>
      <c r="J500" s="5">
        <f>IF(F500="","",ROUND(F500*0.1,2))</f>
        <v/>
      </c>
      <c r="K500" s="5">
        <f>IF(G500="","",ROUND(G500*0.04,2))</f>
        <v/>
      </c>
      <c r="L500" s="4" t="n"/>
      <c r="M500" s="4" t="n"/>
      <c r="N500" s="5">
        <f>IF(A500="","",SUM(E500:K500)-N(L500))</f>
        <v/>
      </c>
      <c r="O500">
        <f>IF(OR(A500="",M500=""),"",IF(ABS(M500-N500)&lt;=0.02,"OK","REVISAR"))</f>
        <v/>
      </c>
      <c r="P500">
        <f>IF(D500="","",IF(LEN(TRIM(D500))&lt;&gt;9,"REVISAR",IFERROR(IF(OR(ISNUMBER(VALUE(LEFT(UPPER(TRIM(D500)),1))),LEFT(UPPER(TRIM(D500)),1)="X",LEFT(UPPER(TRIM(D500)),1)="Y",LEFT(UPPER(TRIM(D500)),1)="Z"),IF(MID("TRWAGMYFPDXBNJZSQVHLCKE",MOD(VALUE(SUBSTITUTE(SUBSTITUTE(SUBSTITUTE(LEFT(UPPER(TRIM(D500)),8),"X","0"),"Y","1"),"Z","2")),23)+1,1)=RIGHT(UPPER(TRIM(D500)),1),"OK","REVISAR"),IF(OR(RIGHT(UPPER(TRIM(D500)),1)=TEXT(MOD(10-MOD((VALUE(MID(UPPER(TRIM(D500)),3,1))+VALUE(MID(UPPER(TRIM(D500)),5,1))+VALUE(MID(UPPER(TRIM(D500)),7,1)))+(INT(2*VALUE(MID(UPPER(TRIM(D500)),2,1))/10)+MOD(2*VALUE(MID(UPPER(TRIM(D500)),2,1)),10))+(INT(2*VALUE(MID(UPPER(TRIM(D500)),4,1))/10)+MOD(2*VALUE(MID(UPPER(TRIM(D500)),4,1)),10))+(INT(2*VALUE(MID(UPPER(TRIM(D500)),6,1))/10)+MOD(2*VALUE(MID(UPPER(TRIM(D500)),6,1)),10))+(INT(2*VALUE(MID(UPPER(TRIM(D500)),8,1))/10)+MOD(2*VALUE(MID(UPPER(TRIM(D500)),8,1)),10)),10),10),"0"),RIGHT(UPPER(TRIM(D500)),1)=MID("JABCDEFGHI",MOD(10-MOD((VALUE(MID(UPPER(TRIM(D500)),3,1))+VALUE(MID(UPPER(TRIM(D500)),5,1))+VALUE(MID(UPPER(TRIM(D500)),7,1)))+(INT(2*VALUE(MID(UPPER(TRIM(D500)),2,1))/10)+MOD(2*VALUE(MID(UPPER(TRIM(D500)),2,1)),10))+(INT(2*VALUE(MID(UPPER(TRIM(D500)),4,1))/10)+MOD(2*VALUE(MID(UPPER(TRIM(D500)),4,1)),10))+(INT(2*VALUE(MID(UPPER(TRIM(D500)),6,1))/10)+MOD(2*VALUE(MID(UPPER(TRIM(D500)),6,1)),10))+(INT(2*VALUE(MID(UPPER(TRIM(D500)),8,1))/10)+MOD(2*VALUE(MID(UPPER(TRIM(D500)),8,1)),10)),10),10)+1,1)),"OK","REVISAR")),"REVISAR")))</f>
        <v/>
      </c>
      <c r="Q500">
        <f>IF(B500="","",IF(COUNTIFS($B$2:$B$501,B500,$D$2:$D$501,D500)&gt;1,"DUPLICADA",""))</f>
        <v/>
      </c>
      <c r="R500">
        <f>IF(A500="","",ROUNDUP(MONTH(A500)/3,0))</f>
        <v/>
      </c>
      <c r="S500" s="3" t="n"/>
    </row>
    <row r="501">
      <c r="A501" s="2" t="n"/>
      <c r="B501" s="3" t="n"/>
      <c r="C501" s="3" t="n"/>
      <c r="D501" s="3" t="n"/>
      <c r="E501" s="4" t="n"/>
      <c r="F501" s="4" t="n"/>
      <c r="G501" s="4" t="n"/>
      <c r="H501" s="4" t="n"/>
      <c r="I501" s="5">
        <f>IF(E501="","",ROUND(E501*0.21,2))</f>
        <v/>
      </c>
      <c r="J501" s="5">
        <f>IF(F501="","",ROUND(F501*0.1,2))</f>
        <v/>
      </c>
      <c r="K501" s="5">
        <f>IF(G501="","",ROUND(G501*0.04,2))</f>
        <v/>
      </c>
      <c r="L501" s="4" t="n"/>
      <c r="M501" s="4" t="n"/>
      <c r="N501" s="5">
        <f>IF(A501="","",SUM(E501:K501)-N(L501))</f>
        <v/>
      </c>
      <c r="O501">
        <f>IF(OR(A501="",M501=""),"",IF(ABS(M501-N501)&lt;=0.02,"OK","REVISAR"))</f>
        <v/>
      </c>
      <c r="P501">
        <f>IF(D501="","",IF(LEN(TRIM(D501))&lt;&gt;9,"REVISAR",IFERROR(IF(OR(ISNUMBER(VALUE(LEFT(UPPER(TRIM(D501)),1))),LEFT(UPPER(TRIM(D501)),1)="X",LEFT(UPPER(TRIM(D501)),1)="Y",LEFT(UPPER(TRIM(D501)),1)="Z"),IF(MID("TRWAGMYFPDXBNJZSQVHLCKE",MOD(VALUE(SUBSTITUTE(SUBSTITUTE(SUBSTITUTE(LEFT(UPPER(TRIM(D501)),8),"X","0"),"Y","1"),"Z","2")),23)+1,1)=RIGHT(UPPER(TRIM(D501)),1),"OK","REVISAR"),IF(OR(RIGHT(UPPER(TRIM(D501)),1)=TEXT(MOD(10-MOD((VALUE(MID(UPPER(TRIM(D501)),3,1))+VALUE(MID(UPPER(TRIM(D501)),5,1))+VALUE(MID(UPPER(TRIM(D501)),7,1)))+(INT(2*VALUE(MID(UPPER(TRIM(D501)),2,1))/10)+MOD(2*VALUE(MID(UPPER(TRIM(D501)),2,1)),10))+(INT(2*VALUE(MID(UPPER(TRIM(D501)),4,1))/10)+MOD(2*VALUE(MID(UPPER(TRIM(D501)),4,1)),10))+(INT(2*VALUE(MID(UPPER(TRIM(D501)),6,1))/10)+MOD(2*VALUE(MID(UPPER(TRIM(D501)),6,1)),10))+(INT(2*VALUE(MID(UPPER(TRIM(D501)),8,1))/10)+MOD(2*VALUE(MID(UPPER(TRIM(D501)),8,1)),10)),10),10),"0"),RIGHT(UPPER(TRIM(D501)),1)=MID("JABCDEFGHI",MOD(10-MOD((VALUE(MID(UPPER(TRIM(D501)),3,1))+VALUE(MID(UPPER(TRIM(D501)),5,1))+VALUE(MID(UPPER(TRIM(D501)),7,1)))+(INT(2*VALUE(MID(UPPER(TRIM(D501)),2,1))/10)+MOD(2*VALUE(MID(UPPER(TRIM(D501)),2,1)),10))+(INT(2*VALUE(MID(UPPER(TRIM(D501)),4,1))/10)+MOD(2*VALUE(MID(UPPER(TRIM(D501)),4,1)),10))+(INT(2*VALUE(MID(UPPER(TRIM(D501)),6,1))/10)+MOD(2*VALUE(MID(UPPER(TRIM(D501)),6,1)),10))+(INT(2*VALUE(MID(UPPER(TRIM(D501)),8,1))/10)+MOD(2*VALUE(MID(UPPER(TRIM(D501)),8,1)),10)),10),10)+1,1)),"OK","REVISAR")),"REVISAR")))</f>
        <v/>
      </c>
      <c r="Q501">
        <f>IF(B501="","",IF(COUNTIFS($B$2:$B$501,B501,$D$2:$D$501,D501)&gt;1,"DUPLICADA",""))</f>
        <v/>
      </c>
      <c r="R501">
        <f>IF(A501="","",ROUNDUP(MONTH(A501)/3,0))</f>
        <v/>
      </c>
      <c r="S5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Resumen orientativo del modelo 303 por trimestre (€)</t>
        </is>
      </c>
      <c r="B1" s="1" t="inlineStr">
        <is>
          <t>1T</t>
        </is>
      </c>
      <c r="C1" s="1" t="inlineStr">
        <is>
          <t>2T</t>
        </is>
      </c>
      <c r="D1" s="1" t="inlineStr">
        <is>
          <t>3T</t>
        </is>
      </c>
      <c r="E1" s="1" t="inlineStr">
        <is>
          <t>4T</t>
        </is>
      </c>
    </row>
    <row r="2">
      <c r="A2" t="inlineStr">
        <is>
          <t>Base devengada 21 %</t>
        </is>
      </c>
      <c r="B2" s="5">
        <f>SUMIFS(Emitidas!E$2:E$501,Emitidas!$R$2:$R$501,1)</f>
        <v/>
      </c>
      <c r="C2" s="5">
        <f>SUMIFS(Emitidas!E$2:E$501,Emitidas!$R$2:$R$501,2)</f>
        <v/>
      </c>
      <c r="D2" s="5">
        <f>SUMIFS(Emitidas!E$2:E$501,Emitidas!$R$2:$R$501,3)</f>
        <v/>
      </c>
      <c r="E2" s="5">
        <f>SUMIFS(Emitidas!E$2:E$501,Emitidas!$R$2:$R$501,4)</f>
        <v/>
      </c>
    </row>
    <row r="3">
      <c r="A3" t="inlineStr">
        <is>
          <t>Cuota devengada 21 %</t>
        </is>
      </c>
      <c r="B3" s="5">
        <f>SUMIFS(Emitidas!I$2:I$501,Emitidas!$R$2:$R$501,1)</f>
        <v/>
      </c>
      <c r="C3" s="5">
        <f>SUMIFS(Emitidas!I$2:I$501,Emitidas!$R$2:$R$501,2)</f>
        <v/>
      </c>
      <c r="D3" s="5">
        <f>SUMIFS(Emitidas!I$2:I$501,Emitidas!$R$2:$R$501,3)</f>
        <v/>
      </c>
      <c r="E3" s="5">
        <f>SUMIFS(Emitidas!I$2:I$501,Emitidas!$R$2:$R$501,4)</f>
        <v/>
      </c>
    </row>
    <row r="4">
      <c r="A4" t="inlineStr">
        <is>
          <t>Base devengada 10 %</t>
        </is>
      </c>
      <c r="B4" s="5">
        <f>SUMIFS(Emitidas!F$2:F$501,Emitidas!$R$2:$R$501,1)</f>
        <v/>
      </c>
      <c r="C4" s="5">
        <f>SUMIFS(Emitidas!F$2:F$501,Emitidas!$R$2:$R$501,2)</f>
        <v/>
      </c>
      <c r="D4" s="5">
        <f>SUMIFS(Emitidas!F$2:F$501,Emitidas!$R$2:$R$501,3)</f>
        <v/>
      </c>
      <c r="E4" s="5">
        <f>SUMIFS(Emitidas!F$2:F$501,Emitidas!$R$2:$R$501,4)</f>
        <v/>
      </c>
    </row>
    <row r="5">
      <c r="A5" t="inlineStr">
        <is>
          <t>Cuota devengada 10 %</t>
        </is>
      </c>
      <c r="B5" s="5">
        <f>SUMIFS(Emitidas!J$2:J$501,Emitidas!$R$2:$R$501,1)</f>
        <v/>
      </c>
      <c r="C5" s="5">
        <f>SUMIFS(Emitidas!J$2:J$501,Emitidas!$R$2:$R$501,2)</f>
        <v/>
      </c>
      <c r="D5" s="5">
        <f>SUMIFS(Emitidas!J$2:J$501,Emitidas!$R$2:$R$501,3)</f>
        <v/>
      </c>
      <c r="E5" s="5">
        <f>SUMIFS(Emitidas!J$2:J$501,Emitidas!$R$2:$R$501,4)</f>
        <v/>
      </c>
    </row>
    <row r="6">
      <c r="A6" t="inlineStr">
        <is>
          <t>Base devengada 4 %</t>
        </is>
      </c>
      <c r="B6" s="5">
        <f>SUMIFS(Emitidas!G$2:G$501,Emitidas!$R$2:$R$501,1)</f>
        <v/>
      </c>
      <c r="C6" s="5">
        <f>SUMIFS(Emitidas!G$2:G$501,Emitidas!$R$2:$R$501,2)</f>
        <v/>
      </c>
      <c r="D6" s="5">
        <f>SUMIFS(Emitidas!G$2:G$501,Emitidas!$R$2:$R$501,3)</f>
        <v/>
      </c>
      <c r="E6" s="5">
        <f>SUMIFS(Emitidas!G$2:G$501,Emitidas!$R$2:$R$501,4)</f>
        <v/>
      </c>
    </row>
    <row r="7">
      <c r="A7" t="inlineStr">
        <is>
          <t>Cuota devengada 4 %</t>
        </is>
      </c>
      <c r="B7" s="5">
        <f>SUMIFS(Emitidas!K$2:K$501,Emitidas!$R$2:$R$501,1)</f>
        <v/>
      </c>
      <c r="C7" s="5">
        <f>SUMIFS(Emitidas!K$2:K$501,Emitidas!$R$2:$R$501,2)</f>
        <v/>
      </c>
      <c r="D7" s="5">
        <f>SUMIFS(Emitidas!K$2:K$501,Emitidas!$R$2:$R$501,3)</f>
        <v/>
      </c>
      <c r="E7" s="5">
        <f>SUMIFS(Emitidas!K$2:K$501,Emitidas!$R$2:$R$501,4)</f>
        <v/>
      </c>
    </row>
    <row r="8">
      <c r="A8" t="inlineStr">
        <is>
          <t>Base soportada 21 %</t>
        </is>
      </c>
      <c r="B8" s="5">
        <f>SUMIFS(Recibidas!E$2:E$501,Recibidas!$R$2:$R$501,1)</f>
        <v/>
      </c>
      <c r="C8" s="5">
        <f>SUMIFS(Recibidas!E$2:E$501,Recibidas!$R$2:$R$501,2)</f>
        <v/>
      </c>
      <c r="D8" s="5">
        <f>SUMIFS(Recibidas!E$2:E$501,Recibidas!$R$2:$R$501,3)</f>
        <v/>
      </c>
      <c r="E8" s="5">
        <f>SUMIFS(Recibidas!E$2:E$501,Recibidas!$R$2:$R$501,4)</f>
        <v/>
      </c>
    </row>
    <row r="9">
      <c r="A9" t="inlineStr">
        <is>
          <t>Cuota soportada 21 %</t>
        </is>
      </c>
      <c r="B9" s="5">
        <f>SUMIFS(Recibidas!I$2:I$501,Recibidas!$R$2:$R$501,1)</f>
        <v/>
      </c>
      <c r="C9" s="5">
        <f>SUMIFS(Recibidas!I$2:I$501,Recibidas!$R$2:$R$501,2)</f>
        <v/>
      </c>
      <c r="D9" s="5">
        <f>SUMIFS(Recibidas!I$2:I$501,Recibidas!$R$2:$R$501,3)</f>
        <v/>
      </c>
      <c r="E9" s="5">
        <f>SUMIFS(Recibidas!I$2:I$501,Recibidas!$R$2:$R$501,4)</f>
        <v/>
      </c>
    </row>
    <row r="10">
      <c r="A10" t="inlineStr">
        <is>
          <t>Base soportada 10 %</t>
        </is>
      </c>
      <c r="B10" s="5">
        <f>SUMIFS(Recibidas!F$2:F$501,Recibidas!$R$2:$R$501,1)</f>
        <v/>
      </c>
      <c r="C10" s="5">
        <f>SUMIFS(Recibidas!F$2:F$501,Recibidas!$R$2:$R$501,2)</f>
        <v/>
      </c>
      <c r="D10" s="5">
        <f>SUMIFS(Recibidas!F$2:F$501,Recibidas!$R$2:$R$501,3)</f>
        <v/>
      </c>
      <c r="E10" s="5">
        <f>SUMIFS(Recibidas!F$2:F$501,Recibidas!$R$2:$R$501,4)</f>
        <v/>
      </c>
    </row>
    <row r="11">
      <c r="A11" t="inlineStr">
        <is>
          <t>Cuota soportada 10 %</t>
        </is>
      </c>
      <c r="B11" s="5">
        <f>SUMIFS(Recibidas!J$2:J$501,Recibidas!$R$2:$R$501,1)</f>
        <v/>
      </c>
      <c r="C11" s="5">
        <f>SUMIFS(Recibidas!J$2:J$501,Recibidas!$R$2:$R$501,2)</f>
        <v/>
      </c>
      <c r="D11" s="5">
        <f>SUMIFS(Recibidas!J$2:J$501,Recibidas!$R$2:$R$501,3)</f>
        <v/>
      </c>
      <c r="E11" s="5">
        <f>SUMIFS(Recibidas!J$2:J$501,Recibidas!$R$2:$R$501,4)</f>
        <v/>
      </c>
    </row>
    <row r="12">
      <c r="A12" t="inlineStr">
        <is>
          <t>Base soportada 4 %</t>
        </is>
      </c>
      <c r="B12" s="5">
        <f>SUMIFS(Recibidas!G$2:G$501,Recibidas!$R$2:$R$501,1)</f>
        <v/>
      </c>
      <c r="C12" s="5">
        <f>SUMIFS(Recibidas!G$2:G$501,Recibidas!$R$2:$R$501,2)</f>
        <v/>
      </c>
      <c r="D12" s="5">
        <f>SUMIFS(Recibidas!G$2:G$501,Recibidas!$R$2:$R$501,3)</f>
        <v/>
      </c>
      <c r="E12" s="5">
        <f>SUMIFS(Recibidas!G$2:G$501,Recibidas!$R$2:$R$501,4)</f>
        <v/>
      </c>
    </row>
    <row r="13">
      <c r="A13" t="inlineStr">
        <is>
          <t>Cuota soportada 4 %</t>
        </is>
      </c>
      <c r="B13" s="5">
        <f>SUMIFS(Recibidas!K$2:K$501,Recibidas!$R$2:$R$501,1)</f>
        <v/>
      </c>
      <c r="C13" s="5">
        <f>SUMIFS(Recibidas!K$2:K$501,Recibidas!$R$2:$R$501,2)</f>
        <v/>
      </c>
      <c r="D13" s="5">
        <f>SUMIFS(Recibidas!K$2:K$501,Recibidas!$R$2:$R$501,3)</f>
        <v/>
      </c>
      <c r="E13" s="5">
        <f>SUMIFS(Recibidas!K$2:K$501,Recibidas!$R$2:$R$501,4)</f>
        <v/>
      </c>
    </row>
    <row r="14">
      <c r="A14" s="1" t="inlineStr">
        <is>
          <t>Total IVA devengado</t>
        </is>
      </c>
      <c r="B14" s="5">
        <f>B3+B5+B7</f>
        <v/>
      </c>
      <c r="C14" s="5">
        <f>C3+C5+C7</f>
        <v/>
      </c>
      <c r="D14" s="5">
        <f>D3+D5+D7</f>
        <v/>
      </c>
      <c r="E14" s="5">
        <f>E3+E5+E7</f>
        <v/>
      </c>
    </row>
    <row r="15">
      <c r="A15" s="1" t="inlineStr">
        <is>
          <t>Total IVA soportado (si todo es deducible)</t>
        </is>
      </c>
      <c r="B15" s="5">
        <f>B9+B11+B13</f>
        <v/>
      </c>
      <c r="C15" s="5">
        <f>C9+C11+C13</f>
        <v/>
      </c>
      <c r="D15" s="5">
        <f>D9+D11+D13</f>
        <v/>
      </c>
      <c r="E15" s="5">
        <f>E9+E11+E13</f>
        <v/>
      </c>
    </row>
    <row r="16">
      <c r="A16" s="1" t="inlineStr">
        <is>
          <t>Resultado orientativo (a ingresar si es positivo)</t>
        </is>
      </c>
      <c r="B16" s="5">
        <f>B14-B15</f>
        <v/>
      </c>
      <c r="C16" s="5">
        <f>C14-C15</f>
        <v/>
      </c>
      <c r="D16" s="5">
        <f>D14-D15</f>
        <v/>
      </c>
      <c r="E16" s="5">
        <f>E14-E15</f>
        <v/>
      </c>
    </row>
    <row r="17">
      <c r="A17" t="inlineStr">
        <is>
          <t>Retenciones practicadas a profesionales (orientativo para el 111)</t>
        </is>
      </c>
      <c r="B17" s="5">
        <f>SUMIFS(Recibidas!L$2:L$501,Recibidas!$R$2:$R$501,1)</f>
        <v/>
      </c>
      <c r="C17" s="5">
        <f>SUMIFS(Recibidas!L$2:L$501,Recibidas!$R$2:$R$501,2)</f>
        <v/>
      </c>
      <c r="D17" s="5">
        <f>SUMIFS(Recibidas!L$2:L$501,Recibidas!$R$2:$R$501,3)</f>
        <v/>
      </c>
      <c r="E17" s="5">
        <f>SUMIFS(Recibidas!L$2:L$501,Recibidas!$R$2:$R$501,4)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</cols>
  <sheetData>
    <row r="1">
      <c r="A1" s="1" t="inlineStr">
        <is>
          <t>Conciliación bancaria</t>
        </is>
      </c>
      <c r="B1" t="inlineStr">
        <is>
          <t>€</t>
        </is>
      </c>
    </row>
    <row r="2">
      <c r="A2" t="inlineStr">
        <is>
          <t>Saldo según el extracto del banco a fin de mes</t>
        </is>
      </c>
      <c r="B2" s="3" t="n">
        <v>5230.15</v>
      </c>
    </row>
    <row r="3">
      <c r="A3" t="inlineStr">
        <is>
          <t>Saldo según tu contabilidad (cuenta 572) a fin de mes</t>
        </is>
      </c>
      <c r="B3" s="3" t="n">
        <v>4980.15</v>
      </c>
    </row>
    <row r="4">
      <c r="A4" t="inlineStr">
        <is>
          <t>Diferencia a explicar</t>
        </is>
      </c>
      <c r="B4">
        <f>B2-B3</f>
        <v/>
      </c>
    </row>
    <row r="6">
      <c r="A6" t="inlineStr">
        <is>
          <t>Partidas pendientes (fecha · concepto)</t>
        </is>
      </c>
      <c r="B6" t="inlineStr">
        <is>
          <t>Importe (+ en banco y no en contabilidad; − al revés)</t>
        </is>
      </c>
    </row>
    <row r="7">
      <c r="A7" t="inlineStr">
        <is>
          <t>30/09/2026 · Cobro de Cliente Ejemplo sin registrar</t>
        </is>
      </c>
      <c r="B7" s="3" t="n">
        <v>363</v>
      </c>
    </row>
    <row r="8">
      <c r="A8" t="inlineStr">
        <is>
          <t>30/09/2026 · Comisión bancaria sin registrar</t>
        </is>
      </c>
      <c r="B8" s="3" t="n">
        <v>-113</v>
      </c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A29" s="1" t="inlineStr">
        <is>
          <t>Suma de partidas pendientes</t>
        </is>
      </c>
      <c r="B29">
        <f>SUM(B7:B28)</f>
        <v/>
      </c>
    </row>
    <row r="30">
      <c r="A30" s="1" t="inlineStr">
        <is>
          <t>¿Conciliado?</t>
        </is>
      </c>
      <c r="B30">
        <f>IF(ABS(B4-B29)&lt;=0.01,"OK","FALTA EXPLICAR "&amp;TEXT(B4-B29,"0.00")&amp;" €")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2026-10-03T14:40:32Z</dcterms:created>
  <dcterms:modified xmlns:dcterms="http://purl.org/dc/terms/" xmlns:xsi="http://www.w3.org/2001/XMLSchema-instance" xsi:type="dcterms:W3CDTF">2026-10-03T14:40:32Z</dcterms:modified>
</cp:coreProperties>
</file>